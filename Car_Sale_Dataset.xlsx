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E:\AtomCamp\0. luke youtube\Excel\My Excel Learning and Portfolio\5\"/>
    </mc:Choice>
  </mc:AlternateContent>
  <xr:revisionPtr revIDLastSave="0" documentId="13_ncr:1_{449B6B99-61B1-4412-B84E-4C67AC308D1D}" xr6:coauthVersionLast="47" xr6:coauthVersionMax="47" xr10:uidLastSave="{00000000-0000-0000-0000-000000000000}"/>
  <bookViews>
    <workbookView xWindow="-120" yWindow="-120" windowWidth="20730" windowHeight="11160" firstSheet="2" activeTab="4" xr2:uid="{00000000-000D-0000-FFFF-FFFF00000000}"/>
  </bookViews>
  <sheets>
    <sheet name="Data_overview" sheetId="2" r:id="rId1"/>
    <sheet name="Data_quality_check" sheetId="3" r:id="rId2"/>
    <sheet name="Top5_Count_make_model_trim_body" sheetId="4" r:id="rId3"/>
    <sheet name="car_sale_raw_dataset" sheetId="1" r:id="rId4"/>
    <sheet name="Price_vs_odometer" sheetId="7" r:id="rId5"/>
  </sheets>
  <calcPr calcId="191029"/>
  <pivotCaches>
    <pivotCache cacheId="1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c r="H10" i="3"/>
  <c r="H6" i="3"/>
  <c r="W8" i="1"/>
  <c r="J11" i="3"/>
  <c r="J6" i="3"/>
  <c r="L6" i="3" s="1"/>
  <c r="J8" i="3"/>
  <c r="J9" i="3"/>
  <c r="J10" i="3"/>
  <c r="L10" i="3" s="1"/>
  <c r="J7" i="3"/>
  <c r="J5" i="3"/>
  <c r="J4" i="3"/>
  <c r="J3" i="3"/>
  <c r="J2" i="3"/>
  <c r="F11" i="3"/>
  <c r="F7" i="3"/>
  <c r="F8" i="3"/>
  <c r="F9" i="3"/>
  <c r="F10" i="3"/>
  <c r="F6" i="3"/>
  <c r="F5" i="3"/>
  <c r="F4" i="3"/>
  <c r="F3" i="3"/>
  <c r="F2" i="3"/>
  <c r="B11" i="3"/>
  <c r="B6" i="3"/>
  <c r="B8" i="3"/>
  <c r="B9" i="3"/>
  <c r="B10" i="3"/>
  <c r="D10" i="3" s="1"/>
  <c r="B7" i="3"/>
  <c r="B5" i="3"/>
  <c r="B4" i="3"/>
  <c r="B3" i="3"/>
  <c r="B2" i="3"/>
  <c r="T3" i="1" l="1" a="1"/>
  <c r="T3" i="1" s="1"/>
  <c r="T4" i="1" a="1"/>
  <c r="T4" i="1"/>
  <c r="T5" i="1" a="1"/>
  <c r="T5" i="1" s="1"/>
  <c r="T6" i="1" a="1"/>
  <c r="T6" i="1"/>
  <c r="T7" i="1" a="1"/>
  <c r="T7" i="1" s="1"/>
  <c r="T8" i="1" a="1"/>
  <c r="T8" i="1"/>
  <c r="T9" i="1" a="1"/>
  <c r="T9" i="1" s="1"/>
  <c r="T10" i="1" a="1"/>
  <c r="T10" i="1"/>
  <c r="T11" i="1" a="1"/>
  <c r="T11" i="1" s="1"/>
  <c r="T12" i="1" a="1"/>
  <c r="T12" i="1" s="1"/>
  <c r="T13" i="1" a="1"/>
  <c r="T13" i="1" s="1"/>
  <c r="T14" i="1" a="1"/>
  <c r="T14" i="1"/>
  <c r="T15" i="1" a="1"/>
  <c r="T15" i="1" s="1"/>
  <c r="T16" i="1" a="1"/>
  <c r="T16" i="1" s="1"/>
  <c r="T17" i="1" a="1"/>
  <c r="T17" i="1" s="1"/>
  <c r="T18" i="1" a="1"/>
  <c r="T18" i="1"/>
  <c r="T19" i="1" a="1"/>
  <c r="T19" i="1" s="1"/>
  <c r="T20" i="1" a="1"/>
  <c r="T20" i="1" s="1"/>
  <c r="T21" i="1" a="1"/>
  <c r="T21" i="1" s="1"/>
  <c r="T22" i="1" a="1"/>
  <c r="T22" i="1"/>
  <c r="T23" i="1" a="1"/>
  <c r="T23" i="1" s="1"/>
  <c r="T24" i="1" a="1"/>
  <c r="T24" i="1" s="1"/>
  <c r="T25" i="1" a="1"/>
  <c r="T25" i="1" s="1"/>
  <c r="T26" i="1" a="1"/>
  <c r="T26" i="1"/>
  <c r="T27" i="1" a="1"/>
  <c r="T27" i="1" s="1"/>
  <c r="T28" i="1" a="1"/>
  <c r="T28" i="1" s="1"/>
  <c r="T29" i="1" a="1"/>
  <c r="T29" i="1" s="1"/>
  <c r="T30" i="1" a="1"/>
  <c r="T30" i="1"/>
  <c r="T31" i="1" a="1"/>
  <c r="T31" i="1" s="1"/>
  <c r="T32" i="1" a="1"/>
  <c r="T32" i="1" s="1"/>
  <c r="T33" i="1" a="1"/>
  <c r="T33" i="1" s="1"/>
  <c r="T34" i="1" a="1"/>
  <c r="T34" i="1"/>
  <c r="T35" i="1" a="1"/>
  <c r="T35" i="1" s="1"/>
  <c r="T36" i="1" a="1"/>
  <c r="T36" i="1" s="1"/>
  <c r="T37" i="1" a="1"/>
  <c r="T37" i="1" s="1"/>
  <c r="T38" i="1" a="1"/>
  <c r="T38" i="1"/>
  <c r="T39" i="1" a="1"/>
  <c r="T39" i="1" s="1"/>
  <c r="T40" i="1" a="1"/>
  <c r="T40" i="1" s="1"/>
  <c r="T41" i="1" a="1"/>
  <c r="T41" i="1" s="1"/>
  <c r="T42" i="1" a="1"/>
  <c r="T42" i="1"/>
  <c r="T43" i="1" a="1"/>
  <c r="T43" i="1" s="1"/>
  <c r="T44" i="1" a="1"/>
  <c r="T44" i="1" s="1"/>
  <c r="T45" i="1" a="1"/>
  <c r="T45" i="1" s="1"/>
  <c r="T46" i="1" a="1"/>
  <c r="T46" i="1"/>
  <c r="T47" i="1" a="1"/>
  <c r="T47" i="1" s="1"/>
  <c r="T48" i="1" a="1"/>
  <c r="T48" i="1" s="1"/>
  <c r="T49" i="1" a="1"/>
  <c r="T49" i="1" s="1"/>
  <c r="T50" i="1" a="1"/>
  <c r="T50" i="1"/>
  <c r="T51" i="1" a="1"/>
  <c r="T51" i="1" s="1"/>
  <c r="T52" i="1" a="1"/>
  <c r="T52" i="1" s="1"/>
  <c r="T53" i="1" a="1"/>
  <c r="T53" i="1" s="1"/>
  <c r="T54" i="1" a="1"/>
  <c r="T54" i="1" s="1"/>
  <c r="T55" i="1" a="1"/>
  <c r="T55" i="1" s="1"/>
  <c r="T56" i="1" a="1"/>
  <c r="T56" i="1" s="1"/>
  <c r="T57" i="1" a="1"/>
  <c r="T57" i="1" s="1"/>
  <c r="T58" i="1" a="1"/>
  <c r="T58" i="1"/>
  <c r="T59" i="1" a="1"/>
  <c r="T59" i="1" s="1"/>
  <c r="T60" i="1" a="1"/>
  <c r="T60" i="1" s="1"/>
  <c r="T61" i="1" a="1"/>
  <c r="T61" i="1" s="1"/>
  <c r="T62" i="1" a="1"/>
  <c r="T62" i="1" s="1"/>
  <c r="T63" i="1" a="1"/>
  <c r="T63" i="1" s="1"/>
  <c r="T64" i="1" a="1"/>
  <c r="T64" i="1" s="1"/>
  <c r="T65" i="1" a="1"/>
  <c r="T65" i="1" s="1"/>
  <c r="T66" i="1" a="1"/>
  <c r="T66" i="1"/>
  <c r="T67" i="1" a="1"/>
  <c r="T67" i="1" s="1"/>
  <c r="T68" i="1" a="1"/>
  <c r="T68" i="1" s="1"/>
  <c r="T69" i="1" a="1"/>
  <c r="T69" i="1" s="1"/>
  <c r="T70" i="1" a="1"/>
  <c r="T70" i="1" s="1"/>
  <c r="T71" i="1" a="1"/>
  <c r="T71" i="1" s="1"/>
  <c r="T72" i="1" a="1"/>
  <c r="T72" i="1" s="1"/>
  <c r="T73" i="1" a="1"/>
  <c r="T73" i="1" s="1"/>
  <c r="T74" i="1" a="1"/>
  <c r="T74" i="1"/>
  <c r="T75" i="1" a="1"/>
  <c r="T75" i="1" s="1"/>
  <c r="T76" i="1" a="1"/>
  <c r="T76" i="1" s="1"/>
  <c r="T77" i="1" a="1"/>
  <c r="T77" i="1" s="1"/>
  <c r="T78" i="1" a="1"/>
  <c r="T78" i="1" s="1"/>
  <c r="T79" i="1" a="1"/>
  <c r="T79" i="1" s="1"/>
  <c r="T80" i="1" a="1"/>
  <c r="T80" i="1" s="1"/>
  <c r="T81" i="1" a="1"/>
  <c r="T81" i="1" s="1"/>
  <c r="T82" i="1" a="1"/>
  <c r="T82" i="1"/>
  <c r="T83" i="1" a="1"/>
  <c r="T83" i="1" s="1"/>
  <c r="T84" i="1" a="1"/>
  <c r="T84" i="1" s="1"/>
  <c r="T85" i="1" a="1"/>
  <c r="T85" i="1" s="1"/>
  <c r="T86" i="1" a="1"/>
  <c r="T86" i="1" s="1"/>
  <c r="T87" i="1" a="1"/>
  <c r="T87" i="1" s="1"/>
  <c r="T88" i="1" a="1"/>
  <c r="T88" i="1" s="1"/>
  <c r="T89" i="1" a="1"/>
  <c r="T89" i="1" s="1"/>
  <c r="T90" i="1" a="1"/>
  <c r="T90" i="1"/>
  <c r="T91" i="1" a="1"/>
  <c r="T91" i="1" s="1"/>
  <c r="T92" i="1" a="1"/>
  <c r="T92" i="1" s="1"/>
  <c r="T93" i="1" a="1"/>
  <c r="T93" i="1" s="1"/>
  <c r="T94" i="1" a="1"/>
  <c r="T94" i="1" s="1"/>
  <c r="T95" i="1" a="1"/>
  <c r="T95" i="1" s="1"/>
  <c r="T96" i="1" a="1"/>
  <c r="T96" i="1" s="1"/>
  <c r="T97" i="1" a="1"/>
  <c r="T97" i="1" s="1"/>
  <c r="T98" i="1" a="1"/>
  <c r="T98" i="1"/>
  <c r="T99" i="1" a="1"/>
  <c r="T99" i="1" s="1"/>
  <c r="T100" i="1" a="1"/>
  <c r="T100" i="1" s="1"/>
  <c r="T101" i="1" a="1"/>
  <c r="T101" i="1" s="1"/>
  <c r="T102" i="1" a="1"/>
  <c r="T102" i="1" s="1"/>
  <c r="T103" i="1" a="1"/>
  <c r="T103" i="1" s="1"/>
  <c r="T104" i="1" a="1"/>
  <c r="T104" i="1" s="1"/>
  <c r="T105" i="1" a="1"/>
  <c r="T105" i="1" s="1"/>
  <c r="T106" i="1" a="1"/>
  <c r="T106" i="1"/>
  <c r="T107" i="1" a="1"/>
  <c r="T107" i="1" s="1"/>
  <c r="T108" i="1" a="1"/>
  <c r="T108" i="1" s="1"/>
  <c r="T109" i="1" a="1"/>
  <c r="T109" i="1" s="1"/>
  <c r="T110" i="1" a="1"/>
  <c r="T110" i="1" s="1"/>
  <c r="T111" i="1" a="1"/>
  <c r="T111" i="1" s="1"/>
  <c r="T112" i="1" a="1"/>
  <c r="T112" i="1" s="1"/>
  <c r="T113" i="1" a="1"/>
  <c r="T113" i="1" s="1"/>
  <c r="T114" i="1" a="1"/>
  <c r="T114" i="1"/>
  <c r="T115" i="1" a="1"/>
  <c r="T115" i="1" s="1"/>
  <c r="T116" i="1" a="1"/>
  <c r="T116" i="1" s="1"/>
  <c r="T117" i="1" a="1"/>
  <c r="T117" i="1" s="1"/>
  <c r="T118" i="1" a="1"/>
  <c r="T118" i="1" s="1"/>
  <c r="T119" i="1" a="1"/>
  <c r="T119" i="1" s="1"/>
  <c r="T120" i="1" a="1"/>
  <c r="T120" i="1" s="1"/>
  <c r="T121" i="1" a="1"/>
  <c r="T121" i="1" s="1"/>
  <c r="T122" i="1" a="1"/>
  <c r="T122" i="1"/>
  <c r="T123" i="1" a="1"/>
  <c r="T123" i="1" s="1"/>
  <c r="T124" i="1" a="1"/>
  <c r="T124" i="1" s="1"/>
  <c r="T125" i="1" a="1"/>
  <c r="T125" i="1" s="1"/>
  <c r="T126" i="1" a="1"/>
  <c r="T126" i="1" s="1"/>
  <c r="T127" i="1" a="1"/>
  <c r="T127" i="1" s="1"/>
  <c r="T128" i="1" a="1"/>
  <c r="T128" i="1" s="1"/>
  <c r="T129" i="1" a="1"/>
  <c r="T129" i="1" s="1"/>
  <c r="T130" i="1" a="1"/>
  <c r="T130" i="1"/>
  <c r="T131" i="1" a="1"/>
  <c r="T131" i="1" s="1"/>
  <c r="T132" i="1" a="1"/>
  <c r="T132" i="1" s="1"/>
  <c r="T133" i="1" a="1"/>
  <c r="T133" i="1" s="1"/>
  <c r="T134" i="1" a="1"/>
  <c r="T134" i="1" s="1"/>
  <c r="T135" i="1" a="1"/>
  <c r="T135" i="1" s="1"/>
  <c r="T136" i="1" a="1"/>
  <c r="T136" i="1" s="1"/>
  <c r="T137" i="1" a="1"/>
  <c r="T137" i="1" s="1"/>
  <c r="T138" i="1" a="1"/>
  <c r="T138" i="1"/>
  <c r="T139" i="1" a="1"/>
  <c r="T139" i="1" s="1"/>
  <c r="T140" i="1" a="1"/>
  <c r="T140" i="1" s="1"/>
  <c r="T141" i="1" a="1"/>
  <c r="T141" i="1" s="1"/>
  <c r="T142" i="1" a="1"/>
  <c r="T142" i="1" s="1"/>
  <c r="T143" i="1" a="1"/>
  <c r="T143" i="1" s="1"/>
  <c r="T144" i="1" a="1"/>
  <c r="T144" i="1" s="1"/>
  <c r="T145" i="1" a="1"/>
  <c r="T145" i="1" s="1"/>
  <c r="T146" i="1" a="1"/>
  <c r="T146" i="1"/>
  <c r="T147" i="1" a="1"/>
  <c r="T147" i="1" s="1"/>
  <c r="T148" i="1" a="1"/>
  <c r="T148" i="1" s="1"/>
  <c r="T149" i="1" a="1"/>
  <c r="T149" i="1" s="1"/>
  <c r="T150" i="1" a="1"/>
  <c r="T150" i="1" s="1"/>
  <c r="T151" i="1" a="1"/>
  <c r="T151" i="1" s="1"/>
  <c r="T152" i="1" a="1"/>
  <c r="T152" i="1" s="1"/>
  <c r="T153" i="1" a="1"/>
  <c r="T153" i="1" s="1"/>
  <c r="T154" i="1" a="1"/>
  <c r="T154" i="1"/>
  <c r="T155" i="1" a="1"/>
  <c r="T155" i="1" s="1"/>
  <c r="T156" i="1" a="1"/>
  <c r="T156" i="1" s="1"/>
  <c r="T157" i="1" a="1"/>
  <c r="T157" i="1" s="1"/>
  <c r="T158" i="1" a="1"/>
  <c r="T158" i="1" s="1"/>
  <c r="T159" i="1" a="1"/>
  <c r="T159" i="1" s="1"/>
  <c r="T160" i="1" a="1"/>
  <c r="T160" i="1" s="1"/>
  <c r="T161" i="1" a="1"/>
  <c r="T161" i="1" s="1"/>
  <c r="T162" i="1" a="1"/>
  <c r="T162" i="1"/>
  <c r="T163" i="1" a="1"/>
  <c r="T163" i="1" s="1"/>
  <c r="T164" i="1" a="1"/>
  <c r="T164" i="1" s="1"/>
  <c r="T165" i="1" a="1"/>
  <c r="T165" i="1" s="1"/>
  <c r="T166" i="1" a="1"/>
  <c r="T166" i="1" s="1"/>
  <c r="T167" i="1" a="1"/>
  <c r="T167" i="1" s="1"/>
  <c r="T168" i="1" a="1"/>
  <c r="T168" i="1" s="1"/>
  <c r="T169" i="1" a="1"/>
  <c r="T169" i="1" s="1"/>
  <c r="T170" i="1" a="1"/>
  <c r="T170" i="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c r="T232" i="1" a="1"/>
  <c r="T232" i="1" s="1"/>
  <c r="T233" i="1" a="1"/>
  <c r="T233" i="1" s="1"/>
  <c r="T234" i="1" a="1"/>
  <c r="T234" i="1" s="1"/>
  <c r="T235" i="1" a="1"/>
  <c r="T235" i="1" s="1"/>
  <c r="T236" i="1" a="1"/>
  <c r="T236" i="1" s="1"/>
  <c r="T237" i="1" a="1"/>
  <c r="T237" i="1"/>
  <c r="T238" i="1" a="1"/>
  <c r="T238" i="1" s="1"/>
  <c r="T239" i="1" a="1"/>
  <c r="T239" i="1"/>
  <c r="T240" i="1" a="1"/>
  <c r="T240" i="1" s="1"/>
  <c r="T241" i="1" a="1"/>
  <c r="T241" i="1" s="1"/>
  <c r="T242" i="1" a="1"/>
  <c r="T242" i="1" s="1"/>
  <c r="T243" i="1" a="1"/>
  <c r="T243" i="1" s="1"/>
  <c r="T244" i="1" a="1"/>
  <c r="T244" i="1" s="1"/>
  <c r="T245" i="1" a="1"/>
  <c r="T245" i="1"/>
  <c r="T246" i="1" a="1"/>
  <c r="T246" i="1" s="1"/>
  <c r="T247" i="1" a="1"/>
  <c r="T247" i="1"/>
  <c r="T248" i="1" a="1"/>
  <c r="T248" i="1" s="1"/>
  <c r="T249" i="1" a="1"/>
  <c r="T249" i="1" s="1"/>
  <c r="T250" i="1" a="1"/>
  <c r="T250" i="1" s="1"/>
  <c r="T251" i="1" a="1"/>
  <c r="T251" i="1" s="1"/>
  <c r="T252" i="1" a="1"/>
  <c r="T252" i="1" s="1"/>
  <c r="T253" i="1" a="1"/>
  <c r="T253" i="1"/>
  <c r="T254" i="1" a="1"/>
  <c r="T254" i="1" s="1"/>
  <c r="T255" i="1" a="1"/>
  <c r="T255" i="1"/>
  <c r="T256" i="1" a="1"/>
  <c r="T256" i="1" s="1"/>
  <c r="T257" i="1" a="1"/>
  <c r="T257" i="1" s="1"/>
  <c r="T258" i="1" a="1"/>
  <c r="T258" i="1" s="1"/>
  <c r="T259" i="1" a="1"/>
  <c r="T259" i="1" s="1"/>
  <c r="T260" i="1" a="1"/>
  <c r="T260" i="1" s="1"/>
  <c r="T261" i="1" a="1"/>
  <c r="T261" i="1"/>
  <c r="T262" i="1" a="1"/>
  <c r="T262" i="1" s="1"/>
  <c r="T263" i="1" a="1"/>
  <c r="T263" i="1"/>
  <c r="T264" i="1" a="1"/>
  <c r="T264" i="1" s="1"/>
  <c r="T265" i="1" a="1"/>
  <c r="T265" i="1" s="1"/>
  <c r="T266" i="1" a="1"/>
  <c r="T266" i="1" s="1"/>
  <c r="T267" i="1" a="1"/>
  <c r="T267" i="1" s="1"/>
  <c r="T268" i="1" a="1"/>
  <c r="T268" i="1" s="1"/>
  <c r="T269" i="1" a="1"/>
  <c r="T269" i="1"/>
  <c r="T270" i="1" a="1"/>
  <c r="T270" i="1" s="1"/>
  <c r="T271" i="1" a="1"/>
  <c r="T271" i="1"/>
  <c r="T272" i="1" a="1"/>
  <c r="T272" i="1" s="1"/>
  <c r="T273" i="1" a="1"/>
  <c r="T273" i="1" s="1"/>
  <c r="T274" i="1" a="1"/>
  <c r="T274" i="1" s="1"/>
  <c r="T275" i="1" a="1"/>
  <c r="T275" i="1" s="1"/>
  <c r="T276" i="1" a="1"/>
  <c r="T276" i="1" s="1"/>
  <c r="T277" i="1" a="1"/>
  <c r="T277" i="1"/>
  <c r="T278" i="1" a="1"/>
  <c r="T278" i="1" s="1"/>
  <c r="T279" i="1" a="1"/>
  <c r="T279" i="1"/>
  <c r="T280" i="1" a="1"/>
  <c r="T280" i="1" s="1"/>
  <c r="T281" i="1" a="1"/>
  <c r="T281" i="1" s="1"/>
  <c r="T282" i="1" a="1"/>
  <c r="T282" i="1" s="1"/>
  <c r="T283" i="1" a="1"/>
  <c r="T283" i="1" s="1"/>
  <c r="T284" i="1" a="1"/>
  <c r="T284" i="1" s="1"/>
  <c r="T285" i="1" a="1"/>
  <c r="T285" i="1"/>
  <c r="T286" i="1" a="1"/>
  <c r="T286" i="1" s="1"/>
  <c r="T287" i="1" a="1"/>
  <c r="T287" i="1"/>
  <c r="T288" i="1" a="1"/>
  <c r="T288" i="1" s="1"/>
  <c r="T289" i="1" a="1"/>
  <c r="T289" i="1" s="1"/>
  <c r="T290" i="1" a="1"/>
  <c r="T290" i="1" s="1"/>
  <c r="T291" i="1" a="1"/>
  <c r="T291" i="1" s="1"/>
  <c r="T292" i="1" a="1"/>
  <c r="T292" i="1" s="1"/>
  <c r="T293" i="1" a="1"/>
  <c r="T293" i="1"/>
  <c r="T294" i="1" a="1"/>
  <c r="T294" i="1" s="1"/>
  <c r="T295" i="1" a="1"/>
  <c r="T295" i="1"/>
  <c r="T296" i="1" a="1"/>
  <c r="T296" i="1" s="1"/>
  <c r="T297" i="1" a="1"/>
  <c r="T297" i="1" s="1"/>
  <c r="T298" i="1" a="1"/>
  <c r="T298" i="1" s="1"/>
  <c r="T299" i="1" a="1"/>
  <c r="T299" i="1" s="1"/>
  <c r="T300" i="1" a="1"/>
  <c r="T300" i="1" s="1"/>
  <c r="T301" i="1" a="1"/>
  <c r="T301" i="1"/>
  <c r="T302" i="1" a="1"/>
  <c r="T302" i="1" s="1"/>
  <c r="T303" i="1" a="1"/>
  <c r="T303" i="1"/>
  <c r="T304" i="1" a="1"/>
  <c r="T304" i="1" s="1"/>
  <c r="T305" i="1" a="1"/>
  <c r="T305" i="1"/>
  <c r="T306" i="1" a="1"/>
  <c r="T306" i="1" s="1"/>
  <c r="T307" i="1" a="1"/>
  <c r="T307" i="1"/>
  <c r="T308" i="1" a="1"/>
  <c r="T308" i="1" s="1"/>
  <c r="T309" i="1" a="1"/>
  <c r="T309" i="1"/>
  <c r="T310" i="1" a="1"/>
  <c r="T310" i="1" s="1"/>
  <c r="T311" i="1" a="1"/>
  <c r="T311" i="1"/>
  <c r="T312" i="1" a="1"/>
  <c r="T312" i="1" s="1"/>
  <c r="T313" i="1" a="1"/>
  <c r="T313" i="1"/>
  <c r="T314" i="1" a="1"/>
  <c r="T314" i="1" s="1"/>
  <c r="T315" i="1" a="1"/>
  <c r="T315" i="1"/>
  <c r="T316" i="1" a="1"/>
  <c r="T316" i="1" s="1"/>
  <c r="T317" i="1" a="1"/>
  <c r="T317" i="1"/>
  <c r="T318" i="1" a="1"/>
  <c r="T318" i="1" s="1"/>
  <c r="T319" i="1" a="1"/>
  <c r="T319" i="1"/>
  <c r="T320" i="1" a="1"/>
  <c r="T320" i="1" s="1"/>
  <c r="T321" i="1" a="1"/>
  <c r="T321" i="1"/>
  <c r="T322" i="1" a="1"/>
  <c r="T322" i="1" s="1"/>
  <c r="T323" i="1" a="1"/>
  <c r="T323" i="1"/>
  <c r="T324" i="1" a="1"/>
  <c r="T324" i="1" s="1"/>
  <c r="T325" i="1" a="1"/>
  <c r="T325" i="1" s="1"/>
  <c r="T326" i="1" a="1"/>
  <c r="T326" i="1" s="1"/>
  <c r="T327" i="1" a="1"/>
  <c r="T327" i="1" s="1"/>
  <c r="T328" i="1" a="1"/>
  <c r="T328" i="1" s="1"/>
  <c r="T329" i="1" a="1"/>
  <c r="T329" i="1"/>
  <c r="T330" i="1" a="1"/>
  <c r="T330" i="1" s="1"/>
  <c r="T331" i="1" a="1"/>
  <c r="T331" i="1" s="1"/>
  <c r="T332" i="1" a="1"/>
  <c r="T332" i="1" s="1"/>
  <c r="T333" i="1" a="1"/>
  <c r="T333" i="1" s="1"/>
  <c r="T334" i="1" a="1"/>
  <c r="T334" i="1" s="1"/>
  <c r="T335" i="1" a="1"/>
  <c r="T335" i="1" s="1"/>
  <c r="T336" i="1" a="1"/>
  <c r="T336" i="1" s="1"/>
  <c r="T337" i="1" a="1"/>
  <c r="T337" i="1"/>
  <c r="T338" i="1" a="1"/>
  <c r="T338" i="1" s="1"/>
  <c r="T339" i="1" a="1"/>
  <c r="T339" i="1"/>
  <c r="T340" i="1" a="1"/>
  <c r="T340" i="1" s="1"/>
  <c r="T341" i="1" a="1"/>
  <c r="T341" i="1" s="1"/>
  <c r="T342" i="1" a="1"/>
  <c r="T342" i="1" s="1"/>
  <c r="T343" i="1" a="1"/>
  <c r="T343" i="1" s="1"/>
  <c r="T344" i="1" a="1"/>
  <c r="T344" i="1" s="1"/>
  <c r="T345" i="1" a="1"/>
  <c r="T345" i="1"/>
  <c r="T346" i="1" a="1"/>
  <c r="T346" i="1" s="1"/>
  <c r="T347" i="1" a="1"/>
  <c r="T347" i="1" s="1"/>
  <c r="T348" i="1" a="1"/>
  <c r="T348" i="1" s="1"/>
  <c r="T349" i="1" a="1"/>
  <c r="T349" i="1" s="1"/>
  <c r="T350" i="1" a="1"/>
  <c r="T350" i="1" s="1"/>
  <c r="T351" i="1" a="1"/>
  <c r="T351" i="1" s="1"/>
  <c r="T352" i="1" a="1"/>
  <c r="T352" i="1" s="1"/>
  <c r="T353" i="1" a="1"/>
  <c r="T353" i="1"/>
  <c r="T354" i="1" a="1"/>
  <c r="T354" i="1" s="1"/>
  <c r="T355" i="1" a="1"/>
  <c r="T355" i="1" s="1"/>
  <c r="T356" i="1" a="1"/>
  <c r="T356" i="1" s="1"/>
  <c r="T357" i="1" a="1"/>
  <c r="T357" i="1" s="1"/>
  <c r="T358" i="1" a="1"/>
  <c r="T358" i="1" s="1"/>
  <c r="T359" i="1" a="1"/>
  <c r="T359" i="1" s="1"/>
  <c r="T360" i="1" a="1"/>
  <c r="T360" i="1" s="1"/>
  <c r="T361" i="1" a="1"/>
  <c r="T361" i="1"/>
  <c r="T362" i="1" a="1"/>
  <c r="T362" i="1" s="1"/>
  <c r="T363" i="1" a="1"/>
  <c r="T363" i="1"/>
  <c r="T364" i="1" a="1"/>
  <c r="T364" i="1" s="1"/>
  <c r="T365" i="1" a="1"/>
  <c r="T365" i="1" s="1"/>
  <c r="T366" i="1" a="1"/>
  <c r="T366" i="1" s="1"/>
  <c r="T367" i="1" a="1"/>
  <c r="T367" i="1" s="1"/>
  <c r="T368" i="1" a="1"/>
  <c r="T368" i="1" s="1"/>
  <c r="T369" i="1" a="1"/>
  <c r="T369" i="1"/>
  <c r="T370" i="1" a="1"/>
  <c r="T370" i="1" s="1"/>
  <c r="T371" i="1" a="1"/>
  <c r="T371" i="1" s="1"/>
  <c r="T372" i="1" a="1"/>
  <c r="T372" i="1" s="1"/>
  <c r="T373" i="1" a="1"/>
  <c r="T373" i="1" s="1"/>
  <c r="T374" i="1" a="1"/>
  <c r="T374" i="1" s="1"/>
  <c r="T375" i="1" a="1"/>
  <c r="T375" i="1" s="1"/>
  <c r="T376" i="1" a="1"/>
  <c r="T376" i="1" s="1"/>
  <c r="T377" i="1" a="1"/>
  <c r="T377" i="1"/>
  <c r="T378" i="1" a="1"/>
  <c r="T378" i="1" s="1"/>
  <c r="T379" i="1" a="1"/>
  <c r="T379" i="1" s="1"/>
  <c r="T380" i="1" a="1"/>
  <c r="T380" i="1" s="1"/>
  <c r="T381" i="1" a="1"/>
  <c r="T381" i="1" s="1"/>
  <c r="T382" i="1" a="1"/>
  <c r="T382" i="1" s="1"/>
  <c r="T383" i="1" a="1"/>
  <c r="T383" i="1" s="1"/>
  <c r="T384" i="1" a="1"/>
  <c r="T384" i="1" s="1"/>
  <c r="T385" i="1" a="1"/>
  <c r="T385" i="1"/>
  <c r="T386" i="1" a="1"/>
  <c r="T386" i="1" s="1"/>
  <c r="T387" i="1" a="1"/>
  <c r="T387" i="1" s="1"/>
  <c r="T388" i="1" a="1"/>
  <c r="T388" i="1" s="1"/>
  <c r="T389" i="1" a="1"/>
  <c r="T389" i="1" s="1"/>
  <c r="T390" i="1" a="1"/>
  <c r="T390" i="1" s="1"/>
  <c r="T391" i="1" a="1"/>
  <c r="T391" i="1" s="1"/>
  <c r="T392" i="1" a="1"/>
  <c r="T392" i="1" s="1"/>
  <c r="T393" i="1" a="1"/>
  <c r="T393" i="1"/>
  <c r="T394" i="1" a="1"/>
  <c r="T394" i="1" s="1"/>
  <c r="T395" i="1" a="1"/>
  <c r="T395" i="1"/>
  <c r="T396" i="1" a="1"/>
  <c r="T396" i="1" s="1"/>
  <c r="T397" i="1" a="1"/>
  <c r="T397" i="1" s="1"/>
  <c r="T398" i="1" a="1"/>
  <c r="T398" i="1" s="1"/>
  <c r="T399" i="1" a="1"/>
  <c r="T399" i="1" s="1"/>
  <c r="T400" i="1" a="1"/>
  <c r="T400" i="1" s="1"/>
  <c r="T401" i="1" a="1"/>
  <c r="T401" i="1"/>
  <c r="T402" i="1" a="1"/>
  <c r="T402" i="1" s="1"/>
  <c r="T403" i="1" a="1"/>
  <c r="T403" i="1"/>
  <c r="T404" i="1" a="1"/>
  <c r="T404" i="1" s="1"/>
  <c r="T405" i="1" a="1"/>
  <c r="T405" i="1" s="1"/>
  <c r="T406" i="1" a="1"/>
  <c r="T406" i="1" s="1"/>
  <c r="T407" i="1" a="1"/>
  <c r="T407" i="1" s="1"/>
  <c r="T408" i="1" a="1"/>
  <c r="T408" i="1" s="1"/>
  <c r="T409" i="1" a="1"/>
  <c r="T409" i="1"/>
  <c r="T410" i="1" a="1"/>
  <c r="T410" i="1" s="1"/>
  <c r="T411" i="1" a="1"/>
  <c r="T411" i="1"/>
  <c r="T412" i="1" a="1"/>
  <c r="T412" i="1" s="1"/>
  <c r="T413" i="1" a="1"/>
  <c r="T413" i="1" s="1"/>
  <c r="T414" i="1" a="1"/>
  <c r="T414" i="1" s="1"/>
  <c r="T415" i="1" a="1"/>
  <c r="T415" i="1" s="1"/>
  <c r="T416" i="1" a="1"/>
  <c r="T416" i="1" s="1"/>
  <c r="T417" i="1" a="1"/>
  <c r="T417" i="1"/>
  <c r="T418" i="1" a="1"/>
  <c r="T418" i="1" s="1"/>
  <c r="T419" i="1" a="1"/>
  <c r="T419" i="1" s="1"/>
  <c r="T420" i="1" a="1"/>
  <c r="T420" i="1" s="1"/>
  <c r="T421" i="1" a="1"/>
  <c r="T421" i="1" s="1"/>
  <c r="T422" i="1" a="1"/>
  <c r="T422" i="1" s="1"/>
  <c r="T423" i="1" a="1"/>
  <c r="T423" i="1" s="1"/>
  <c r="T424" i="1" a="1"/>
  <c r="T424" i="1" s="1"/>
  <c r="T425" i="1" a="1"/>
  <c r="T425" i="1"/>
  <c r="T426" i="1" a="1"/>
  <c r="T426" i="1" s="1"/>
  <c r="T427" i="1" a="1"/>
  <c r="T427" i="1" s="1"/>
  <c r="T428" i="1" a="1"/>
  <c r="T428" i="1" s="1"/>
  <c r="T429" i="1" a="1"/>
  <c r="T429" i="1" s="1"/>
  <c r="T430" i="1" a="1"/>
  <c r="T430" i="1" s="1"/>
  <c r="T431" i="1" a="1"/>
  <c r="T431" i="1" s="1"/>
  <c r="T432" i="1" a="1"/>
  <c r="T432" i="1" s="1"/>
  <c r="T433" i="1" a="1"/>
  <c r="T433" i="1"/>
  <c r="T434" i="1" a="1"/>
  <c r="T434" i="1" s="1"/>
  <c r="T435" i="1" a="1"/>
  <c r="T435" i="1"/>
  <c r="T436" i="1" a="1"/>
  <c r="T436" i="1" s="1"/>
  <c r="T437" i="1" a="1"/>
  <c r="T437" i="1" s="1"/>
  <c r="T438" i="1" a="1"/>
  <c r="T438" i="1" s="1"/>
  <c r="T439" i="1" a="1"/>
  <c r="T439" i="1" s="1"/>
  <c r="T440" i="1" a="1"/>
  <c r="T440" i="1" s="1"/>
  <c r="T441" i="1" a="1"/>
  <c r="T441" i="1"/>
  <c r="T442" i="1" a="1"/>
  <c r="T442" i="1" s="1"/>
  <c r="T443" i="1" a="1"/>
  <c r="T443" i="1" s="1"/>
  <c r="T444" i="1" a="1"/>
  <c r="T444" i="1" s="1"/>
  <c r="T445" i="1" a="1"/>
  <c r="T445" i="1" s="1"/>
  <c r="T446" i="1" a="1"/>
  <c r="T446" i="1" s="1"/>
  <c r="T447" i="1" a="1"/>
  <c r="T447" i="1" s="1"/>
  <c r="T448" i="1" a="1"/>
  <c r="T448" i="1" s="1"/>
  <c r="T449" i="1" a="1"/>
  <c r="T449" i="1"/>
  <c r="T450" i="1" a="1"/>
  <c r="T450" i="1" s="1"/>
  <c r="T451" i="1" a="1"/>
  <c r="T451" i="1" s="1"/>
  <c r="T452" i="1" a="1"/>
  <c r="T452" i="1" s="1"/>
  <c r="T453" i="1" a="1"/>
  <c r="T453" i="1" s="1"/>
  <c r="T454" i="1" a="1"/>
  <c r="T454" i="1" s="1"/>
  <c r="T455" i="1" a="1"/>
  <c r="T455" i="1" s="1"/>
  <c r="T456" i="1" a="1"/>
  <c r="T456" i="1" s="1"/>
  <c r="T457" i="1" a="1"/>
  <c r="T457" i="1"/>
  <c r="T458" i="1" a="1"/>
  <c r="T458" i="1" s="1"/>
  <c r="T459" i="1" a="1"/>
  <c r="T459" i="1"/>
  <c r="T460" i="1" a="1"/>
  <c r="T460" i="1" s="1"/>
  <c r="T461" i="1" a="1"/>
  <c r="T461" i="1" s="1"/>
  <c r="T462" i="1" a="1"/>
  <c r="T462" i="1" s="1"/>
  <c r="T463" i="1" a="1"/>
  <c r="T463" i="1" s="1"/>
  <c r="T464" i="1" a="1"/>
  <c r="T464" i="1" s="1"/>
  <c r="T465" i="1" a="1"/>
  <c r="T465" i="1"/>
  <c r="T466" i="1" a="1"/>
  <c r="T466" i="1" s="1"/>
  <c r="T467" i="1" a="1"/>
  <c r="T467" i="1"/>
  <c r="T468" i="1" a="1"/>
  <c r="T468" i="1" s="1"/>
  <c r="T469" i="1" a="1"/>
  <c r="T469" i="1" s="1"/>
  <c r="T470" i="1" a="1"/>
  <c r="T470" i="1" s="1"/>
  <c r="T471" i="1" a="1"/>
  <c r="T471" i="1" s="1"/>
  <c r="T472" i="1" a="1"/>
  <c r="T472" i="1" s="1"/>
  <c r="T473" i="1" a="1"/>
  <c r="T473" i="1"/>
  <c r="T474" i="1" a="1"/>
  <c r="T474" i="1" s="1"/>
  <c r="T475" i="1" a="1"/>
  <c r="T475" i="1" s="1"/>
  <c r="T476" i="1" a="1"/>
  <c r="T476" i="1" s="1"/>
  <c r="T477" i="1" a="1"/>
  <c r="T477" i="1" s="1"/>
  <c r="T478" i="1" a="1"/>
  <c r="T478" i="1" s="1"/>
  <c r="T479" i="1" a="1"/>
  <c r="T479" i="1" s="1"/>
  <c r="T480" i="1" a="1"/>
  <c r="T480" i="1" s="1"/>
  <c r="T481" i="1" a="1"/>
  <c r="T481" i="1"/>
  <c r="T482" i="1" a="1"/>
  <c r="T482" i="1" s="1"/>
  <c r="T483" i="1" a="1"/>
  <c r="T483" i="1" s="1"/>
  <c r="T484" i="1" a="1"/>
  <c r="T484" i="1" s="1"/>
  <c r="T485" i="1" a="1"/>
  <c r="T485" i="1" s="1"/>
  <c r="T486" i="1" a="1"/>
  <c r="T486" i="1" s="1"/>
  <c r="T487" i="1" a="1"/>
  <c r="T487" i="1" s="1"/>
  <c r="T488" i="1" a="1"/>
  <c r="T488" i="1" s="1"/>
  <c r="T489" i="1" a="1"/>
  <c r="T489" i="1"/>
  <c r="T490" i="1" a="1"/>
  <c r="T490" i="1" s="1"/>
  <c r="T491" i="1" a="1"/>
  <c r="T491" i="1" s="1"/>
  <c r="T492" i="1" a="1"/>
  <c r="T492" i="1" s="1"/>
  <c r="T493" i="1" a="1"/>
  <c r="T493" i="1" s="1"/>
  <c r="T494" i="1" a="1"/>
  <c r="T494" i="1" s="1"/>
  <c r="T495" i="1" a="1"/>
  <c r="T495" i="1" s="1"/>
  <c r="T496" i="1" a="1"/>
  <c r="T496" i="1" s="1"/>
  <c r="T497" i="1" a="1"/>
  <c r="T497" i="1"/>
  <c r="T498" i="1" a="1"/>
  <c r="T498" i="1" s="1"/>
  <c r="T499" i="1" a="1"/>
  <c r="T499" i="1" s="1"/>
  <c r="T500" i="1" a="1"/>
  <c r="T500" i="1" s="1"/>
  <c r="T501" i="1" a="1"/>
  <c r="T501" i="1" s="1"/>
  <c r="T502" i="1" a="1"/>
  <c r="T502" i="1" s="1"/>
  <c r="T503" i="1" a="1"/>
  <c r="T503" i="1" s="1"/>
  <c r="T504" i="1" a="1"/>
  <c r="T504" i="1" s="1"/>
  <c r="T505" i="1" a="1"/>
  <c r="T505" i="1"/>
  <c r="T506" i="1" a="1"/>
  <c r="T506" i="1" s="1"/>
  <c r="T507" i="1" a="1"/>
  <c r="T507" i="1" s="1"/>
  <c r="T508" i="1" a="1"/>
  <c r="T508" i="1" s="1"/>
  <c r="T509" i="1" a="1"/>
  <c r="T509" i="1" s="1"/>
  <c r="T510" i="1" a="1"/>
  <c r="T510" i="1" s="1"/>
  <c r="T511" i="1" a="1"/>
  <c r="T511" i="1" s="1"/>
  <c r="T512" i="1" a="1"/>
  <c r="T512" i="1" s="1"/>
  <c r="T513" i="1" a="1"/>
  <c r="T513" i="1"/>
  <c r="T514" i="1" a="1"/>
  <c r="T514" i="1" s="1"/>
  <c r="T515" i="1" a="1"/>
  <c r="T515" i="1" s="1"/>
  <c r="T516" i="1" a="1"/>
  <c r="T516" i="1" s="1"/>
  <c r="T517" i="1" a="1"/>
  <c r="T517" i="1" s="1"/>
  <c r="T518" i="1" a="1"/>
  <c r="T518" i="1" s="1"/>
  <c r="T519" i="1" a="1"/>
  <c r="T519" i="1" s="1"/>
  <c r="T520" i="1" a="1"/>
  <c r="T520" i="1" s="1"/>
  <c r="T521" i="1" a="1"/>
  <c r="T521" i="1"/>
  <c r="T522" i="1" a="1"/>
  <c r="T522" i="1" s="1"/>
  <c r="T523" i="1" a="1"/>
  <c r="T523" i="1" s="1"/>
  <c r="T524" i="1" a="1"/>
  <c r="T524" i="1" s="1"/>
  <c r="T525" i="1" a="1"/>
  <c r="T525" i="1" s="1"/>
  <c r="T526" i="1" a="1"/>
  <c r="T526" i="1" s="1"/>
  <c r="T527" i="1" a="1"/>
  <c r="T527" i="1" s="1"/>
  <c r="T528" i="1" a="1"/>
  <c r="T528" i="1" s="1"/>
  <c r="T529" i="1" a="1"/>
  <c r="T529" i="1"/>
  <c r="T530" i="1" a="1"/>
  <c r="T530" i="1" s="1"/>
  <c r="T531" i="1" a="1"/>
  <c r="T531" i="1" s="1"/>
  <c r="T532" i="1" a="1"/>
  <c r="T532" i="1" s="1"/>
  <c r="T533" i="1" a="1"/>
  <c r="T533" i="1" s="1"/>
  <c r="T534" i="1" a="1"/>
  <c r="T534" i="1" s="1"/>
  <c r="T535" i="1" a="1"/>
  <c r="T535" i="1" s="1"/>
  <c r="T536" i="1" a="1"/>
  <c r="T536" i="1" s="1"/>
  <c r="T537" i="1" a="1"/>
  <c r="T537" i="1"/>
  <c r="T538" i="1" a="1"/>
  <c r="T538" i="1" s="1"/>
  <c r="T539" i="1" a="1"/>
  <c r="T539" i="1" s="1"/>
  <c r="T540" i="1" a="1"/>
  <c r="T540" i="1" s="1"/>
  <c r="T541" i="1" a="1"/>
  <c r="T541" i="1" s="1"/>
  <c r="T542" i="1" a="1"/>
  <c r="T542" i="1" s="1"/>
  <c r="T543" i="1" a="1"/>
  <c r="T543" i="1" s="1"/>
  <c r="T544" i="1" a="1"/>
  <c r="T544" i="1" s="1"/>
  <c r="T545" i="1" a="1"/>
  <c r="T545" i="1"/>
  <c r="T546" i="1" a="1"/>
  <c r="T546" i="1" s="1"/>
  <c r="T547" i="1" a="1"/>
  <c r="T547" i="1" s="1"/>
  <c r="T548" i="1" a="1"/>
  <c r="T548" i="1" s="1"/>
  <c r="T549" i="1" a="1"/>
  <c r="T549" i="1" s="1"/>
  <c r="T550" i="1" a="1"/>
  <c r="T550" i="1" s="1"/>
  <c r="T551" i="1" a="1"/>
  <c r="T551" i="1" s="1"/>
  <c r="T552" i="1" a="1"/>
  <c r="T552" i="1" s="1"/>
  <c r="T553" i="1" a="1"/>
  <c r="T553" i="1"/>
  <c r="T554" i="1" a="1"/>
  <c r="T554" i="1" s="1"/>
  <c r="T555" i="1" a="1"/>
  <c r="T555" i="1" s="1"/>
  <c r="T556" i="1" a="1"/>
  <c r="T556" i="1" s="1"/>
  <c r="T557" i="1" a="1"/>
  <c r="T557" i="1" s="1"/>
  <c r="T558" i="1" a="1"/>
  <c r="T558" i="1" s="1"/>
  <c r="T559" i="1" a="1"/>
  <c r="T559" i="1" s="1"/>
  <c r="T560" i="1" a="1"/>
  <c r="T560" i="1" s="1"/>
  <c r="T561" i="1" a="1"/>
  <c r="T561" i="1"/>
  <c r="T562" i="1" a="1"/>
  <c r="T562" i="1" s="1"/>
  <c r="T563" i="1" a="1"/>
  <c r="T563" i="1" s="1"/>
  <c r="T564" i="1" a="1"/>
  <c r="T564" i="1" s="1"/>
  <c r="T565" i="1" a="1"/>
  <c r="T565" i="1" s="1"/>
  <c r="T566" i="1" a="1"/>
  <c r="T566" i="1" s="1"/>
  <c r="T567" i="1" a="1"/>
  <c r="T567" i="1" s="1"/>
  <c r="T568" i="1" a="1"/>
  <c r="T568" i="1" s="1"/>
  <c r="T569" i="1" a="1"/>
  <c r="T569" i="1"/>
  <c r="T570" i="1" a="1"/>
  <c r="T570" i="1" s="1"/>
  <c r="T571" i="1" a="1"/>
  <c r="T571" i="1" s="1"/>
  <c r="T572" i="1" a="1"/>
  <c r="T572" i="1" s="1"/>
  <c r="T573" i="1" a="1"/>
  <c r="T573" i="1" s="1"/>
  <c r="T574" i="1" a="1"/>
  <c r="T574" i="1" s="1"/>
  <c r="T575" i="1" a="1"/>
  <c r="T575" i="1" s="1"/>
  <c r="T576" i="1" a="1"/>
  <c r="T576" i="1" s="1"/>
  <c r="T577" i="1" a="1"/>
  <c r="T577" i="1"/>
  <c r="T578" i="1" a="1"/>
  <c r="T578" i="1" s="1"/>
  <c r="T579" i="1" a="1"/>
  <c r="T579" i="1" s="1"/>
  <c r="T580" i="1" a="1"/>
  <c r="T580" i="1" s="1"/>
  <c r="T581" i="1" a="1"/>
  <c r="T581" i="1" s="1"/>
  <c r="T582" i="1" a="1"/>
  <c r="T582" i="1" s="1"/>
  <c r="T583" i="1" a="1"/>
  <c r="T583" i="1" s="1"/>
  <c r="T584" i="1" a="1"/>
  <c r="T584" i="1" s="1"/>
  <c r="T585" i="1" a="1"/>
  <c r="T585" i="1"/>
  <c r="T586" i="1" a="1"/>
  <c r="T586" i="1" s="1"/>
  <c r="T587" i="1" a="1"/>
  <c r="T587" i="1" s="1"/>
  <c r="T588" i="1" a="1"/>
  <c r="T588" i="1" s="1"/>
  <c r="T589" i="1" a="1"/>
  <c r="T589" i="1" s="1"/>
  <c r="T590" i="1" a="1"/>
  <c r="T590" i="1" s="1"/>
  <c r="T591" i="1" a="1"/>
  <c r="T591" i="1" s="1"/>
  <c r="T592" i="1" a="1"/>
  <c r="T592" i="1" s="1"/>
  <c r="T593" i="1" a="1"/>
  <c r="T593" i="1"/>
  <c r="T594" i="1" a="1"/>
  <c r="T594" i="1" s="1"/>
  <c r="T595" i="1" a="1"/>
  <c r="T595" i="1" s="1"/>
  <c r="T596" i="1" a="1"/>
  <c r="T596" i="1" s="1"/>
  <c r="T597" i="1" a="1"/>
  <c r="T597" i="1" s="1"/>
  <c r="T598" i="1" a="1"/>
  <c r="T598" i="1" s="1"/>
  <c r="T599" i="1" a="1"/>
  <c r="T599" i="1" s="1"/>
  <c r="T600" i="1" a="1"/>
  <c r="T600" i="1" s="1"/>
  <c r="T601" i="1" a="1"/>
  <c r="T601" i="1"/>
  <c r="T602" i="1" a="1"/>
  <c r="T602" i="1" s="1"/>
  <c r="T603" i="1" a="1"/>
  <c r="T603" i="1" s="1"/>
  <c r="T604" i="1" a="1"/>
  <c r="T604" i="1" s="1"/>
  <c r="T605" i="1" a="1"/>
  <c r="T605" i="1" s="1"/>
  <c r="T606" i="1" a="1"/>
  <c r="T606" i="1" s="1"/>
  <c r="T607" i="1" a="1"/>
  <c r="T607" i="1" s="1"/>
  <c r="T608" i="1" a="1"/>
  <c r="T608" i="1" s="1"/>
  <c r="T609" i="1" a="1"/>
  <c r="T609" i="1"/>
  <c r="T610" i="1" a="1"/>
  <c r="T610" i="1" s="1"/>
  <c r="T611" i="1" a="1"/>
  <c r="T611" i="1" s="1"/>
  <c r="T612" i="1" a="1"/>
  <c r="T612" i="1" s="1"/>
  <c r="T613" i="1" a="1"/>
  <c r="T613" i="1" s="1"/>
  <c r="T614" i="1" a="1"/>
  <c r="T614" i="1" s="1"/>
  <c r="T615" i="1" a="1"/>
  <c r="T615" i="1" s="1"/>
  <c r="T616" i="1" a="1"/>
  <c r="T616" i="1" s="1"/>
  <c r="T617" i="1" a="1"/>
  <c r="T617" i="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s="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c r="T722" i="1" a="1"/>
  <c r="T722" i="1" s="1"/>
  <c r="T723" i="1" a="1"/>
  <c r="T723" i="1" s="1"/>
  <c r="T724" i="1" a="1"/>
  <c r="T724" i="1" s="1"/>
  <c r="T725" i="1" a="1"/>
  <c r="T725" i="1" s="1"/>
  <c r="T726" i="1" a="1"/>
  <c r="T726" i="1" s="1"/>
  <c r="T727" i="1" a="1"/>
  <c r="T727" i="1" s="1"/>
  <c r="T728" i="1" a="1"/>
  <c r="T728" i="1" s="1"/>
  <c r="T729" i="1" a="1"/>
  <c r="T729" i="1"/>
  <c r="T730" i="1" a="1"/>
  <c r="T730" i="1" s="1"/>
  <c r="T731" i="1" a="1"/>
  <c r="T731" i="1" s="1"/>
  <c r="T732" i="1" a="1"/>
  <c r="T732" i="1" s="1"/>
  <c r="T733" i="1" a="1"/>
  <c r="T733" i="1" s="1"/>
  <c r="T734" i="1" a="1"/>
  <c r="T734" i="1" s="1"/>
  <c r="T735" i="1" a="1"/>
  <c r="T735" i="1" s="1"/>
  <c r="T736" i="1" a="1"/>
  <c r="T736" i="1" s="1"/>
  <c r="T737" i="1" a="1"/>
  <c r="T737" i="1"/>
  <c r="T738" i="1" a="1"/>
  <c r="T738" i="1" s="1"/>
  <c r="T739" i="1" a="1"/>
  <c r="T739" i="1" s="1"/>
  <c r="T740" i="1" a="1"/>
  <c r="T740" i="1" s="1"/>
  <c r="T741" i="1" a="1"/>
  <c r="T741" i="1" s="1"/>
  <c r="T742" i="1" a="1"/>
  <c r="T742" i="1" s="1"/>
  <c r="T743" i="1" a="1"/>
  <c r="T743" i="1" s="1"/>
  <c r="T744" i="1" a="1"/>
  <c r="T744" i="1" s="1"/>
  <c r="T745" i="1" a="1"/>
  <c r="T745" i="1"/>
  <c r="T746" i="1" a="1"/>
  <c r="T746" i="1" s="1"/>
  <c r="T747" i="1" a="1"/>
  <c r="T747" i="1" s="1"/>
  <c r="T748" i="1" a="1"/>
  <c r="T748" i="1" s="1"/>
  <c r="T749" i="1" a="1"/>
  <c r="T749" i="1" s="1"/>
  <c r="T750" i="1" a="1"/>
  <c r="T750" i="1" s="1"/>
  <c r="T751" i="1" a="1"/>
  <c r="T751" i="1" s="1"/>
  <c r="T752" i="1" a="1"/>
  <c r="T752" i="1" s="1"/>
  <c r="T753" i="1" a="1"/>
  <c r="T753" i="1"/>
  <c r="T754" i="1" a="1"/>
  <c r="T754" i="1" s="1"/>
  <c r="T755" i="1" a="1"/>
  <c r="T755" i="1" s="1"/>
  <c r="T756" i="1" a="1"/>
  <c r="T756" i="1" s="1"/>
  <c r="T757" i="1" a="1"/>
  <c r="T757" i="1" s="1"/>
  <c r="T758" i="1" a="1"/>
  <c r="T758" i="1" s="1"/>
  <c r="T759" i="1" a="1"/>
  <c r="T759" i="1" s="1"/>
  <c r="T760" i="1" a="1"/>
  <c r="T760" i="1" s="1"/>
  <c r="T761" i="1" a="1"/>
  <c r="T761" i="1"/>
  <c r="T762" i="1" a="1"/>
  <c r="T762" i="1" s="1"/>
  <c r="T763" i="1" a="1"/>
  <c r="T763" i="1" s="1"/>
  <c r="T764" i="1" a="1"/>
  <c r="T764" i="1" s="1"/>
  <c r="T765" i="1" a="1"/>
  <c r="T765" i="1" s="1"/>
  <c r="T766" i="1" a="1"/>
  <c r="T766" i="1" s="1"/>
  <c r="T767" i="1" a="1"/>
  <c r="T767" i="1" s="1"/>
  <c r="T768" i="1" a="1"/>
  <c r="T768" i="1" s="1"/>
  <c r="T769" i="1" a="1"/>
  <c r="T769" i="1"/>
  <c r="T770" i="1" a="1"/>
  <c r="T770" i="1" s="1"/>
  <c r="T771" i="1" a="1"/>
  <c r="T771" i="1" s="1"/>
  <c r="T772" i="1" a="1"/>
  <c r="T772" i="1" s="1"/>
  <c r="T773" i="1" a="1"/>
  <c r="T773" i="1" s="1"/>
  <c r="T774" i="1" a="1"/>
  <c r="T774" i="1" s="1"/>
  <c r="T775" i="1" a="1"/>
  <c r="T775" i="1" s="1"/>
  <c r="T776" i="1" a="1"/>
  <c r="T776" i="1" s="1"/>
  <c r="T777" i="1" a="1"/>
  <c r="T777" i="1"/>
  <c r="T778" i="1" a="1"/>
  <c r="T778" i="1" s="1"/>
  <c r="T779" i="1" a="1"/>
  <c r="T779" i="1" s="1"/>
  <c r="T780" i="1" a="1"/>
  <c r="T780" i="1" s="1"/>
  <c r="T781" i="1" a="1"/>
  <c r="T781" i="1" s="1"/>
  <c r="T782" i="1" a="1"/>
  <c r="T782" i="1" s="1"/>
  <c r="T783" i="1" a="1"/>
  <c r="T783" i="1" s="1"/>
  <c r="T784" i="1" a="1"/>
  <c r="T784" i="1" s="1"/>
  <c r="T785" i="1" a="1"/>
  <c r="T785" i="1"/>
  <c r="T786" i="1" a="1"/>
  <c r="T786" i="1" s="1"/>
  <c r="T787" i="1" a="1"/>
  <c r="T787" i="1" s="1"/>
  <c r="T788" i="1" a="1"/>
  <c r="T788" i="1" s="1"/>
  <c r="T789" i="1" a="1"/>
  <c r="T789" i="1" s="1"/>
  <c r="T790" i="1" a="1"/>
  <c r="T790" i="1" s="1"/>
  <c r="T791" i="1" a="1"/>
  <c r="T791" i="1" s="1"/>
  <c r="T792" i="1" a="1"/>
  <c r="T792" i="1" s="1"/>
  <c r="T793" i="1" a="1"/>
  <c r="T793" i="1"/>
  <c r="T794" i="1" a="1"/>
  <c r="T794" i="1" s="1"/>
  <c r="T795" i="1" a="1"/>
  <c r="T795" i="1" s="1"/>
  <c r="T796" i="1" a="1"/>
  <c r="T796" i="1" s="1"/>
  <c r="T797" i="1" a="1"/>
  <c r="T797" i="1" s="1"/>
  <c r="T798" i="1" a="1"/>
  <c r="T798" i="1" s="1"/>
  <c r="T799" i="1" a="1"/>
  <c r="T799" i="1" s="1"/>
  <c r="T800" i="1" a="1"/>
  <c r="T800" i="1" s="1"/>
  <c r="T801" i="1" a="1"/>
  <c r="T801" i="1"/>
  <c r="T802" i="1" a="1"/>
  <c r="T802" i="1" s="1"/>
  <c r="T803" i="1" a="1"/>
  <c r="T803" i="1" s="1"/>
  <c r="T804" i="1" a="1"/>
  <c r="T804" i="1" s="1"/>
  <c r="T805" i="1" a="1"/>
  <c r="T805" i="1" s="1"/>
  <c r="T806" i="1" a="1"/>
  <c r="T806" i="1" s="1"/>
  <c r="T807" i="1" a="1"/>
  <c r="T807" i="1" s="1"/>
  <c r="T808" i="1" a="1"/>
  <c r="T808" i="1" s="1"/>
  <c r="T809" i="1" a="1"/>
  <c r="T809" i="1"/>
  <c r="T810" i="1" a="1"/>
  <c r="T810" i="1" s="1"/>
  <c r="T811" i="1" a="1"/>
  <c r="T811" i="1" s="1"/>
  <c r="T812" i="1" a="1"/>
  <c r="T812" i="1" s="1"/>
  <c r="T813" i="1" a="1"/>
  <c r="T813" i="1" s="1"/>
  <c r="T814" i="1" a="1"/>
  <c r="T814" i="1" s="1"/>
  <c r="T815" i="1" a="1"/>
  <c r="T815" i="1" s="1"/>
  <c r="T816" i="1" a="1"/>
  <c r="T816" i="1" s="1"/>
  <c r="T817" i="1" a="1"/>
  <c r="T817" i="1"/>
  <c r="T818" i="1" a="1"/>
  <c r="T818" i="1" s="1"/>
  <c r="T819" i="1" a="1"/>
  <c r="T819" i="1" s="1"/>
  <c r="T820" i="1" a="1"/>
  <c r="T820" i="1" s="1"/>
  <c r="T821" i="1" a="1"/>
  <c r="T821" i="1" s="1"/>
  <c r="T822" i="1" a="1"/>
  <c r="T822" i="1" s="1"/>
  <c r="T823" i="1" a="1"/>
  <c r="T823" i="1" s="1"/>
  <c r="T824" i="1" a="1"/>
  <c r="T824" i="1" s="1"/>
  <c r="T825" i="1" a="1"/>
  <c r="T825" i="1"/>
  <c r="T826" i="1" a="1"/>
  <c r="T826" i="1" s="1"/>
  <c r="T827" i="1" a="1"/>
  <c r="T827" i="1" s="1"/>
  <c r="T828" i="1" a="1"/>
  <c r="T828" i="1" s="1"/>
  <c r="T829" i="1" a="1"/>
  <c r="T829" i="1" s="1"/>
  <c r="T830" i="1" a="1"/>
  <c r="T830" i="1" s="1"/>
  <c r="T831" i="1" a="1"/>
  <c r="T831" i="1" s="1"/>
  <c r="T832" i="1" a="1"/>
  <c r="T832" i="1" s="1"/>
  <c r="T833" i="1" a="1"/>
  <c r="T833" i="1"/>
  <c r="T834" i="1" a="1"/>
  <c r="T834" i="1" s="1"/>
  <c r="T835" i="1" a="1"/>
  <c r="T835" i="1" s="1"/>
  <c r="T836" i="1" a="1"/>
  <c r="T836" i="1" s="1"/>
  <c r="T837" i="1" a="1"/>
  <c r="T837" i="1" s="1"/>
  <c r="T838" i="1" a="1"/>
  <c r="T838" i="1" s="1"/>
  <c r="T839" i="1" a="1"/>
  <c r="T839" i="1" s="1"/>
  <c r="T840" i="1" a="1"/>
  <c r="T840" i="1" s="1"/>
  <c r="T841" i="1" a="1"/>
  <c r="T841" i="1"/>
  <c r="T842" i="1" a="1"/>
  <c r="T842" i="1" s="1"/>
  <c r="T843" i="1" a="1"/>
  <c r="T843" i="1" s="1"/>
  <c r="T844" i="1" a="1"/>
  <c r="T844" i="1" s="1"/>
  <c r="T845" i="1" a="1"/>
  <c r="T845" i="1" s="1"/>
  <c r="T846" i="1" a="1"/>
  <c r="T846" i="1" s="1"/>
  <c r="T847" i="1" a="1"/>
  <c r="T847" i="1" s="1"/>
  <c r="T848" i="1" a="1"/>
  <c r="T848" i="1" s="1"/>
  <c r="T849" i="1" a="1"/>
  <c r="T849" i="1"/>
  <c r="T850" i="1" a="1"/>
  <c r="T850" i="1" s="1"/>
  <c r="T851" i="1" a="1"/>
  <c r="T851" i="1" s="1"/>
  <c r="T852" i="1" a="1"/>
  <c r="T852" i="1" s="1"/>
  <c r="T853" i="1" a="1"/>
  <c r="T853" i="1" s="1"/>
  <c r="T854" i="1" a="1"/>
  <c r="T854" i="1" s="1"/>
  <c r="T855" i="1" a="1"/>
  <c r="T855" i="1" s="1"/>
  <c r="T856" i="1" a="1"/>
  <c r="T856" i="1" s="1"/>
  <c r="T857" i="1" a="1"/>
  <c r="T857" i="1"/>
  <c r="T858" i="1" a="1"/>
  <c r="T858" i="1" s="1"/>
  <c r="T859" i="1" a="1"/>
  <c r="T859" i="1" s="1"/>
  <c r="T860" i="1" a="1"/>
  <c r="T860" i="1" s="1"/>
  <c r="T861" i="1" a="1"/>
  <c r="T861" i="1" s="1"/>
  <c r="T862" i="1" a="1"/>
  <c r="T862" i="1" s="1"/>
  <c r="T863" i="1" a="1"/>
  <c r="T863" i="1" s="1"/>
  <c r="T864" i="1" a="1"/>
  <c r="T864" i="1" s="1"/>
  <c r="T865" i="1" a="1"/>
  <c r="T865" i="1"/>
  <c r="T866" i="1" a="1"/>
  <c r="T866" i="1" s="1"/>
  <c r="T867" i="1" a="1"/>
  <c r="T867" i="1" s="1"/>
  <c r="T868" i="1" a="1"/>
  <c r="T868" i="1" s="1"/>
  <c r="T869" i="1" a="1"/>
  <c r="T869" i="1" s="1"/>
  <c r="T870" i="1" a="1"/>
  <c r="T870" i="1" s="1"/>
  <c r="T871" i="1" a="1"/>
  <c r="T871" i="1" s="1"/>
  <c r="T872" i="1" a="1"/>
  <c r="T872" i="1" s="1"/>
  <c r="T873" i="1" a="1"/>
  <c r="T873" i="1"/>
  <c r="T874" i="1" a="1"/>
  <c r="T874" i="1" s="1"/>
  <c r="T875" i="1" a="1"/>
  <c r="T875" i="1" s="1"/>
  <c r="T876" i="1" a="1"/>
  <c r="T876" i="1" s="1"/>
  <c r="T877" i="1" a="1"/>
  <c r="T877" i="1" s="1"/>
  <c r="T878" i="1" a="1"/>
  <c r="T878" i="1" s="1"/>
  <c r="T879" i="1" a="1"/>
  <c r="T879" i="1" s="1"/>
  <c r="T880" i="1" a="1"/>
  <c r="T880" i="1" s="1"/>
  <c r="T881" i="1" a="1"/>
  <c r="T881" i="1"/>
  <c r="T882" i="1" a="1"/>
  <c r="T882" i="1" s="1"/>
  <c r="T883" i="1" a="1"/>
  <c r="T883" i="1" s="1"/>
  <c r="T884" i="1" a="1"/>
  <c r="T884" i="1" s="1"/>
  <c r="T885" i="1" a="1"/>
  <c r="T885" i="1" s="1"/>
  <c r="T886" i="1" a="1"/>
  <c r="T886" i="1" s="1"/>
  <c r="T887" i="1" a="1"/>
  <c r="T887" i="1" s="1"/>
  <c r="T888" i="1" a="1"/>
  <c r="T888" i="1" s="1"/>
  <c r="T889" i="1" a="1"/>
  <c r="T889" i="1"/>
  <c r="T890" i="1" a="1"/>
  <c r="T890" i="1" s="1"/>
  <c r="T891" i="1" a="1"/>
  <c r="T891" i="1" s="1"/>
  <c r="T892" i="1" a="1"/>
  <c r="T892" i="1" s="1"/>
  <c r="T893" i="1" a="1"/>
  <c r="T893" i="1" s="1"/>
  <c r="T894" i="1" a="1"/>
  <c r="T894" i="1" s="1"/>
  <c r="T895" i="1" a="1"/>
  <c r="T895" i="1" s="1"/>
  <c r="T896" i="1" a="1"/>
  <c r="T896" i="1" s="1"/>
  <c r="T897" i="1" a="1"/>
  <c r="T897" i="1"/>
  <c r="T898" i="1" a="1"/>
  <c r="T898" i="1" s="1"/>
  <c r="T899" i="1" a="1"/>
  <c r="T899" i="1" s="1"/>
  <c r="T900" i="1" a="1"/>
  <c r="T900" i="1" s="1"/>
  <c r="T901" i="1" a="1"/>
  <c r="T901" i="1" s="1"/>
  <c r="T902" i="1" a="1"/>
  <c r="T902" i="1"/>
  <c r="T903" i="1" a="1"/>
  <c r="T903" i="1" s="1"/>
  <c r="T904" i="1" a="1"/>
  <c r="T904" i="1"/>
  <c r="T905" i="1" a="1"/>
  <c r="T905" i="1" s="1"/>
  <c r="T906" i="1" a="1"/>
  <c r="T906" i="1"/>
  <c r="T907" i="1" a="1"/>
  <c r="T907" i="1" s="1"/>
  <c r="T908" i="1" a="1"/>
  <c r="T908" i="1"/>
  <c r="T909" i="1" a="1"/>
  <c r="T909" i="1" s="1"/>
  <c r="T910" i="1" a="1"/>
  <c r="T910" i="1"/>
  <c r="T911" i="1" a="1"/>
  <c r="T911" i="1" s="1"/>
  <c r="T912" i="1" a="1"/>
  <c r="T912" i="1"/>
  <c r="T913" i="1" a="1"/>
  <c r="T913" i="1" s="1"/>
  <c r="T914" i="1" a="1"/>
  <c r="T914" i="1"/>
  <c r="T915" i="1" a="1"/>
  <c r="T915" i="1" s="1"/>
  <c r="T916" i="1" a="1"/>
  <c r="T916" i="1"/>
  <c r="T917" i="1" a="1"/>
  <c r="T917" i="1" s="1"/>
  <c r="T918" i="1" a="1"/>
  <c r="T918" i="1"/>
  <c r="T919" i="1" a="1"/>
  <c r="T919" i="1" s="1"/>
  <c r="T920" i="1" a="1"/>
  <c r="T920" i="1"/>
  <c r="T921" i="1" a="1"/>
  <c r="T921" i="1" s="1"/>
  <c r="T922" i="1" a="1"/>
  <c r="T922" i="1"/>
  <c r="T923" i="1" a="1"/>
  <c r="T923" i="1" s="1"/>
  <c r="T924" i="1" a="1"/>
  <c r="T924" i="1"/>
  <c r="T925" i="1" a="1"/>
  <c r="T925" i="1" s="1"/>
  <c r="T926" i="1" a="1"/>
  <c r="T926" i="1"/>
  <c r="T927" i="1" a="1"/>
  <c r="T927" i="1" s="1"/>
  <c r="T928" i="1" a="1"/>
  <c r="T928" i="1"/>
  <c r="T929" i="1" a="1"/>
  <c r="T929" i="1" s="1"/>
  <c r="T930" i="1" a="1"/>
  <c r="T930" i="1"/>
  <c r="T931" i="1" a="1"/>
  <c r="T931" i="1" s="1"/>
  <c r="T932" i="1" a="1"/>
  <c r="T932" i="1"/>
  <c r="T933" i="1" a="1"/>
  <c r="T933" i="1" s="1"/>
  <c r="T934" i="1" a="1"/>
  <c r="T934" i="1"/>
  <c r="T935" i="1" a="1"/>
  <c r="T935" i="1" s="1"/>
  <c r="T936" i="1" a="1"/>
  <c r="T936" i="1"/>
  <c r="T937" i="1" a="1"/>
  <c r="T937" i="1" s="1"/>
  <c r="T938" i="1" a="1"/>
  <c r="T938" i="1"/>
  <c r="T939" i="1" a="1"/>
  <c r="T939" i="1" s="1"/>
  <c r="T940" i="1" a="1"/>
  <c r="T940" i="1"/>
  <c r="T941" i="1" a="1"/>
  <c r="T941" i="1" s="1"/>
  <c r="T942" i="1" a="1"/>
  <c r="T942" i="1"/>
  <c r="T943" i="1" a="1"/>
  <c r="T943" i="1" s="1"/>
  <c r="T944" i="1" a="1"/>
  <c r="T944" i="1"/>
  <c r="T945" i="1" a="1"/>
  <c r="T945" i="1" s="1"/>
  <c r="T946" i="1" a="1"/>
  <c r="T946" i="1"/>
  <c r="T947" i="1" a="1"/>
  <c r="T947" i="1" s="1"/>
  <c r="T948" i="1" a="1"/>
  <c r="T948" i="1"/>
  <c r="T949" i="1" a="1"/>
  <c r="T949" i="1" s="1"/>
  <c r="T950" i="1" a="1"/>
  <c r="T950" i="1"/>
  <c r="T951" i="1" a="1"/>
  <c r="T951" i="1" s="1"/>
  <c r="T952" i="1" a="1"/>
  <c r="T952" i="1"/>
  <c r="T953" i="1" a="1"/>
  <c r="T953" i="1" s="1"/>
  <c r="T954" i="1" a="1"/>
  <c r="T954" i="1" s="1"/>
  <c r="T955" i="1" a="1"/>
  <c r="T955" i="1" s="1"/>
  <c r="T956" i="1" a="1"/>
  <c r="T956" i="1"/>
  <c r="T957" i="1" a="1"/>
  <c r="T957" i="1" s="1"/>
  <c r="T958" i="1" a="1"/>
  <c r="T958" i="1" s="1"/>
  <c r="T959" i="1" a="1"/>
  <c r="T959" i="1" s="1"/>
  <c r="T960" i="1" a="1"/>
  <c r="T960" i="1"/>
  <c r="T961" i="1" a="1"/>
  <c r="T961" i="1" s="1"/>
  <c r="T962" i="1" a="1"/>
  <c r="T962" i="1" s="1"/>
  <c r="T963" i="1" a="1"/>
  <c r="T963" i="1" s="1"/>
  <c r="T964" i="1" a="1"/>
  <c r="T964" i="1"/>
  <c r="T965" i="1" a="1"/>
  <c r="T965" i="1" s="1"/>
  <c r="T966" i="1" a="1"/>
  <c r="T966" i="1" s="1"/>
  <c r="T967" i="1" a="1"/>
  <c r="T967" i="1" s="1"/>
  <c r="T968" i="1" a="1"/>
  <c r="T968" i="1"/>
  <c r="T969" i="1" a="1"/>
  <c r="T969" i="1" s="1"/>
  <c r="T970" i="1" a="1"/>
  <c r="T970" i="1" s="1"/>
  <c r="T971" i="1" a="1"/>
  <c r="T971" i="1" s="1"/>
  <c r="T972" i="1" a="1"/>
  <c r="T972" i="1"/>
  <c r="T973" i="1" a="1"/>
  <c r="T973" i="1" s="1"/>
  <c r="T974" i="1" a="1"/>
  <c r="T974" i="1" s="1"/>
  <c r="T975" i="1" a="1"/>
  <c r="T975" i="1" s="1"/>
  <c r="T976" i="1" a="1"/>
  <c r="T976" i="1"/>
  <c r="T977" i="1" a="1"/>
  <c r="T977" i="1" s="1"/>
  <c r="T978" i="1" a="1"/>
  <c r="T978" i="1" s="1"/>
  <c r="T979" i="1" a="1"/>
  <c r="T979" i="1" s="1"/>
  <c r="T980" i="1" a="1"/>
  <c r="T980" i="1"/>
  <c r="T981" i="1" a="1"/>
  <c r="T981" i="1" s="1"/>
  <c r="T982" i="1" a="1"/>
  <c r="T982" i="1" s="1"/>
  <c r="T983" i="1" a="1"/>
  <c r="T983" i="1" s="1"/>
  <c r="T984" i="1" a="1"/>
  <c r="T984" i="1"/>
  <c r="T985" i="1" a="1"/>
  <c r="T985" i="1" s="1"/>
  <c r="T986" i="1" a="1"/>
  <c r="T986" i="1" s="1"/>
  <c r="T987" i="1" a="1"/>
  <c r="T987" i="1" s="1"/>
  <c r="T988" i="1" a="1"/>
  <c r="T988" i="1"/>
  <c r="T989" i="1" a="1"/>
  <c r="T989" i="1" s="1"/>
  <c r="T990" i="1" a="1"/>
  <c r="T990" i="1" s="1"/>
  <c r="T991" i="1" a="1"/>
  <c r="T991" i="1" s="1"/>
  <c r="T992" i="1" a="1"/>
  <c r="T992" i="1"/>
  <c r="T993" i="1" a="1"/>
  <c r="T993" i="1" s="1"/>
  <c r="T994" i="1" a="1"/>
  <c r="T994" i="1" s="1"/>
  <c r="T995" i="1" a="1"/>
  <c r="T995" i="1" s="1"/>
  <c r="T996" i="1" a="1"/>
  <c r="T996" i="1"/>
  <c r="T997" i="1" a="1"/>
  <c r="T997" i="1" s="1"/>
  <c r="T998" i="1" a="1"/>
  <c r="T998" i="1" s="1"/>
  <c r="T999" i="1" a="1"/>
  <c r="T999" i="1" s="1"/>
  <c r="T1000" i="1" a="1"/>
  <c r="T1000" i="1"/>
  <c r="T1001" i="1" a="1"/>
  <c r="T1001" i="1" s="1"/>
  <c r="T1002" i="1" a="1"/>
  <c r="T1002" i="1" s="1"/>
  <c r="T1003" i="1" a="1"/>
  <c r="T1003" i="1" s="1"/>
  <c r="T1004" i="1" a="1"/>
  <c r="T1004" i="1"/>
  <c r="T1005" i="1" a="1"/>
  <c r="T1005" i="1" s="1"/>
  <c r="T1006" i="1" a="1"/>
  <c r="T1006" i="1" s="1"/>
  <c r="T1007" i="1" a="1"/>
  <c r="T1007" i="1" s="1"/>
  <c r="T1008" i="1" a="1"/>
  <c r="T1008" i="1"/>
  <c r="T1009" i="1" a="1"/>
  <c r="T1009" i="1" s="1"/>
  <c r="T1010" i="1" a="1"/>
  <c r="T1010" i="1" s="1"/>
  <c r="T1011" i="1" a="1"/>
  <c r="T1011" i="1" s="1"/>
  <c r="T1012" i="1" a="1"/>
  <c r="T1012" i="1"/>
  <c r="T1013" i="1" a="1"/>
  <c r="T1013" i="1" s="1"/>
  <c r="T1014" i="1" a="1"/>
  <c r="T1014" i="1" s="1"/>
  <c r="T1015" i="1" a="1"/>
  <c r="T1015" i="1" s="1"/>
  <c r="T1016" i="1" a="1"/>
  <c r="T1016" i="1"/>
  <c r="T1017" i="1" a="1"/>
  <c r="T1017" i="1" s="1"/>
  <c r="T1018" i="1" a="1"/>
  <c r="T1018" i="1" s="1"/>
  <c r="T1019" i="1" a="1"/>
  <c r="T1019" i="1" s="1"/>
  <c r="T1020" i="1" a="1"/>
  <c r="T1020" i="1"/>
  <c r="T1021" i="1" a="1"/>
  <c r="T1021" i="1" s="1"/>
  <c r="T1022" i="1" a="1"/>
  <c r="T1022" i="1" s="1"/>
  <c r="T1023" i="1" a="1"/>
  <c r="T1023" i="1" s="1"/>
  <c r="T1024" i="1" a="1"/>
  <c r="T1024" i="1"/>
  <c r="T1025" i="1" a="1"/>
  <c r="T1025" i="1" s="1"/>
  <c r="T1026" i="1" a="1"/>
  <c r="T1026" i="1" s="1"/>
  <c r="T1027" i="1" a="1"/>
  <c r="T1027" i="1" s="1"/>
  <c r="T1028" i="1" a="1"/>
  <c r="T1028" i="1"/>
  <c r="T1029" i="1" a="1"/>
  <c r="T1029" i="1" s="1"/>
  <c r="T1030" i="1" a="1"/>
  <c r="T1030" i="1" s="1"/>
  <c r="T1031" i="1" a="1"/>
  <c r="T1031" i="1" s="1"/>
  <c r="T1032" i="1" a="1"/>
  <c r="T1032" i="1"/>
  <c r="T1033" i="1" a="1"/>
  <c r="T1033" i="1" s="1"/>
  <c r="T1034" i="1" a="1"/>
  <c r="T1034" i="1" s="1"/>
  <c r="T1035" i="1" a="1"/>
  <c r="T1035" i="1" s="1"/>
  <c r="T1036" i="1" a="1"/>
  <c r="T1036" i="1"/>
  <c r="T1037" i="1" a="1"/>
  <c r="T1037" i="1" s="1"/>
  <c r="T1038" i="1" a="1"/>
  <c r="T1038" i="1" s="1"/>
  <c r="T1039" i="1" a="1"/>
  <c r="T1039" i="1" s="1"/>
  <c r="T1040" i="1" a="1"/>
  <c r="T1040" i="1"/>
  <c r="T1041" i="1" a="1"/>
  <c r="T1041" i="1" s="1"/>
  <c r="T1042" i="1" a="1"/>
  <c r="T1042" i="1" s="1"/>
  <c r="T1043" i="1" a="1"/>
  <c r="T1043" i="1" s="1"/>
  <c r="T1044" i="1" a="1"/>
  <c r="T1044" i="1"/>
  <c r="T1045" i="1" a="1"/>
  <c r="T1045" i="1" s="1"/>
  <c r="T1046" i="1" a="1"/>
  <c r="T1046" i="1" s="1"/>
  <c r="T1047" i="1" a="1"/>
  <c r="T1047" i="1" s="1"/>
  <c r="T1048" i="1" a="1"/>
  <c r="T1048" i="1"/>
  <c r="T1049" i="1" a="1"/>
  <c r="T1049" i="1" s="1"/>
  <c r="T1050" i="1" a="1"/>
  <c r="T1050" i="1" s="1"/>
  <c r="T1051" i="1" a="1"/>
  <c r="T1051" i="1" s="1"/>
  <c r="T1052" i="1" a="1"/>
  <c r="T1052" i="1"/>
  <c r="T1053" i="1" a="1"/>
  <c r="T1053" i="1" s="1"/>
  <c r="T1054" i="1" a="1"/>
  <c r="T1054" i="1" s="1"/>
  <c r="T1055" i="1" a="1"/>
  <c r="T1055" i="1" s="1"/>
  <c r="T1056" i="1" a="1"/>
  <c r="T1056" i="1"/>
  <c r="T1057" i="1" a="1"/>
  <c r="T1057" i="1" s="1"/>
  <c r="T1058" i="1" a="1"/>
  <c r="T1058" i="1" s="1"/>
  <c r="T1059" i="1" a="1"/>
  <c r="T1059" i="1" s="1"/>
  <c r="T1060" i="1" a="1"/>
  <c r="T1060" i="1"/>
  <c r="T1061" i="1" a="1"/>
  <c r="T1061" i="1" s="1"/>
  <c r="T1062" i="1" a="1"/>
  <c r="T1062" i="1" s="1"/>
  <c r="T1063" i="1" a="1"/>
  <c r="T1063" i="1" s="1"/>
  <c r="T1064" i="1" a="1"/>
  <c r="T1064" i="1"/>
  <c r="T1065" i="1" a="1"/>
  <c r="T1065" i="1" s="1"/>
  <c r="T1066" i="1" a="1"/>
  <c r="T1066" i="1" s="1"/>
  <c r="T1067" i="1" a="1"/>
  <c r="T1067" i="1" s="1"/>
  <c r="T1068" i="1" a="1"/>
  <c r="T1068" i="1"/>
  <c r="T1069" i="1" a="1"/>
  <c r="T1069" i="1" s="1"/>
  <c r="T1070" i="1" a="1"/>
  <c r="T1070" i="1" s="1"/>
  <c r="T1071" i="1" a="1"/>
  <c r="T1071" i="1" s="1"/>
  <c r="T1072" i="1" a="1"/>
  <c r="T1072" i="1"/>
  <c r="T1073" i="1" a="1"/>
  <c r="T1073" i="1" s="1"/>
  <c r="T1074" i="1" a="1"/>
  <c r="T1074" i="1" s="1"/>
  <c r="T1075" i="1" a="1"/>
  <c r="T1075" i="1" s="1"/>
  <c r="T1076" i="1" a="1"/>
  <c r="T1076" i="1"/>
  <c r="T1077" i="1" a="1"/>
  <c r="T1077" i="1" s="1"/>
  <c r="T1078" i="1" a="1"/>
  <c r="T1078" i="1" s="1"/>
  <c r="T1079" i="1" a="1"/>
  <c r="T1079" i="1" s="1"/>
  <c r="T1080" i="1" a="1"/>
  <c r="T1080" i="1"/>
  <c r="T1081" i="1" a="1"/>
  <c r="T1081" i="1" s="1"/>
  <c r="T1082" i="1" a="1"/>
  <c r="T1082" i="1" s="1"/>
  <c r="T1083" i="1" a="1"/>
  <c r="T1083" i="1" s="1"/>
  <c r="T1084" i="1" a="1"/>
  <c r="T1084" i="1"/>
  <c r="T1085" i="1" a="1"/>
  <c r="T1085" i="1" s="1"/>
  <c r="T1086" i="1" a="1"/>
  <c r="T1086" i="1" s="1"/>
  <c r="T1087" i="1" a="1"/>
  <c r="T1087" i="1" s="1"/>
  <c r="T1088" i="1" a="1"/>
  <c r="T1088" i="1"/>
  <c r="T1089" i="1" a="1"/>
  <c r="T1089" i="1" s="1"/>
  <c r="T1090" i="1" a="1"/>
  <c r="T1090" i="1" s="1"/>
  <c r="T1091" i="1" a="1"/>
  <c r="T1091" i="1" s="1"/>
  <c r="T1092" i="1" a="1"/>
  <c r="T1092" i="1"/>
  <c r="T1093" i="1" a="1"/>
  <c r="T1093" i="1" s="1"/>
  <c r="T1094" i="1" a="1"/>
  <c r="T1094" i="1" s="1"/>
  <c r="T1095" i="1" a="1"/>
  <c r="T1095" i="1" s="1"/>
  <c r="T1096" i="1" a="1"/>
  <c r="T1096" i="1"/>
  <c r="T1097" i="1" a="1"/>
  <c r="T1097" i="1" s="1"/>
  <c r="T1098" i="1" a="1"/>
  <c r="T1098" i="1" s="1"/>
  <c r="T1099" i="1" a="1"/>
  <c r="T1099" i="1" s="1"/>
  <c r="T1100" i="1" a="1"/>
  <c r="T1100" i="1"/>
  <c r="T1101" i="1" a="1"/>
  <c r="T1101" i="1" s="1"/>
  <c r="T1102" i="1" a="1"/>
  <c r="T1102" i="1" s="1"/>
  <c r="T1103" i="1" a="1"/>
  <c r="T1103" i="1" s="1"/>
  <c r="T1104" i="1" a="1"/>
  <c r="T1104" i="1"/>
  <c r="T1105" i="1" a="1"/>
  <c r="T1105" i="1" s="1"/>
  <c r="T1106" i="1" a="1"/>
  <c r="T1106" i="1" s="1"/>
  <c r="T1107" i="1" a="1"/>
  <c r="T1107" i="1" s="1"/>
  <c r="T1108" i="1" a="1"/>
  <c r="T1108" i="1"/>
  <c r="T1109" i="1" a="1"/>
  <c r="T1109" i="1" s="1"/>
  <c r="T1110" i="1" a="1"/>
  <c r="T1110" i="1" s="1"/>
  <c r="T1111" i="1" a="1"/>
  <c r="T1111" i="1" s="1"/>
  <c r="T1112" i="1" a="1"/>
  <c r="T1112" i="1"/>
  <c r="T1113" i="1" a="1"/>
  <c r="T1113" i="1" s="1"/>
  <c r="T1114" i="1" a="1"/>
  <c r="T1114" i="1" s="1"/>
  <c r="T1115" i="1" a="1"/>
  <c r="T1115" i="1" s="1"/>
  <c r="T1116" i="1" a="1"/>
  <c r="T1116" i="1"/>
  <c r="T1117" i="1" a="1"/>
  <c r="T1117" i="1" s="1"/>
  <c r="T1118" i="1" a="1"/>
  <c r="T1118" i="1" s="1"/>
  <c r="T1119" i="1" a="1"/>
  <c r="T1119" i="1" s="1"/>
  <c r="T1120" i="1" a="1"/>
  <c r="T1120" i="1"/>
  <c r="T1121" i="1" a="1"/>
  <c r="T1121" i="1" s="1"/>
  <c r="T1122" i="1" a="1"/>
  <c r="T1122" i="1" s="1"/>
  <c r="T1123" i="1" a="1"/>
  <c r="T1123" i="1" s="1"/>
  <c r="T1124" i="1" a="1"/>
  <c r="T1124" i="1"/>
  <c r="T1125" i="1" a="1"/>
  <c r="T1125" i="1" s="1"/>
  <c r="T1126" i="1" a="1"/>
  <c r="T1126" i="1" s="1"/>
  <c r="T1127" i="1" a="1"/>
  <c r="T1127" i="1" s="1"/>
  <c r="T1128" i="1" a="1"/>
  <c r="T1128" i="1"/>
  <c r="T1129" i="1" a="1"/>
  <c r="T1129" i="1" s="1"/>
  <c r="T1130" i="1" a="1"/>
  <c r="T1130" i="1" s="1"/>
  <c r="T1131" i="1" a="1"/>
  <c r="T1131" i="1" s="1"/>
  <c r="T1132" i="1" a="1"/>
  <c r="T1132" i="1"/>
  <c r="T1133" i="1" a="1"/>
  <c r="T1133" i="1" s="1"/>
  <c r="T1134" i="1" a="1"/>
  <c r="T1134" i="1" s="1"/>
  <c r="T1135" i="1" a="1"/>
  <c r="T1135" i="1" s="1"/>
  <c r="T1136" i="1" a="1"/>
  <c r="T1136" i="1"/>
  <c r="T1137" i="1" a="1"/>
  <c r="T1137" i="1" s="1"/>
  <c r="T1138" i="1" a="1"/>
  <c r="T1138" i="1" s="1"/>
  <c r="T1139" i="1" a="1"/>
  <c r="T1139" i="1" s="1"/>
  <c r="T1140" i="1" a="1"/>
  <c r="T1140" i="1"/>
  <c r="T1141" i="1" a="1"/>
  <c r="T1141" i="1" s="1"/>
  <c r="T1142" i="1" a="1"/>
  <c r="T1142" i="1" s="1"/>
  <c r="T1143" i="1" a="1"/>
  <c r="T1143" i="1" s="1"/>
  <c r="T1144" i="1" a="1"/>
  <c r="T1144" i="1"/>
  <c r="T1145" i="1" a="1"/>
  <c r="T1145" i="1" s="1"/>
  <c r="T1146" i="1" a="1"/>
  <c r="T1146" i="1" s="1"/>
  <c r="T1147" i="1" a="1"/>
  <c r="T1147" i="1" s="1"/>
  <c r="T1148" i="1" a="1"/>
  <c r="T1148" i="1"/>
  <c r="T1149" i="1" a="1"/>
  <c r="T1149" i="1" s="1"/>
  <c r="T1150" i="1" a="1"/>
  <c r="T1150" i="1" s="1"/>
  <c r="T1151" i="1" a="1"/>
  <c r="T1151" i="1" s="1"/>
  <c r="T1152" i="1" a="1"/>
  <c r="T1152" i="1"/>
  <c r="T1153" i="1" a="1"/>
  <c r="T1153" i="1" s="1"/>
  <c r="T1154" i="1" a="1"/>
  <c r="T1154" i="1" s="1"/>
  <c r="T1155" i="1" a="1"/>
  <c r="T1155" i="1" s="1"/>
  <c r="T1156" i="1" a="1"/>
  <c r="T1156" i="1"/>
  <c r="T1157" i="1" a="1"/>
  <c r="T1157" i="1" s="1"/>
  <c r="T1158" i="1" a="1"/>
  <c r="T1158" i="1" s="1"/>
  <c r="T1159" i="1" a="1"/>
  <c r="T1159" i="1" s="1"/>
  <c r="T1160" i="1" a="1"/>
  <c r="T1160" i="1"/>
  <c r="T1161" i="1" a="1"/>
  <c r="T1161" i="1" s="1"/>
  <c r="T1162" i="1" a="1"/>
  <c r="T1162" i="1" s="1"/>
  <c r="T1163" i="1" a="1"/>
  <c r="T1163" i="1" s="1"/>
  <c r="T1164" i="1" a="1"/>
  <c r="T1164" i="1"/>
  <c r="T1165" i="1" a="1"/>
  <c r="T1165" i="1" s="1"/>
  <c r="T1166" i="1" a="1"/>
  <c r="T1166" i="1" s="1"/>
  <c r="T1167" i="1" a="1"/>
  <c r="T1167" i="1" s="1"/>
  <c r="T1168" i="1" a="1"/>
  <c r="T1168" i="1"/>
  <c r="T1169" i="1" a="1"/>
  <c r="T1169" i="1" s="1"/>
  <c r="T1170" i="1" a="1"/>
  <c r="T1170" i="1" s="1"/>
  <c r="T1171" i="1" a="1"/>
  <c r="T1171" i="1" s="1"/>
  <c r="T1172" i="1" a="1"/>
  <c r="T1172" i="1"/>
  <c r="T1173" i="1" a="1"/>
  <c r="T1173" i="1" s="1"/>
  <c r="T1174" i="1" a="1"/>
  <c r="T1174" i="1" s="1"/>
  <c r="T1175" i="1" a="1"/>
  <c r="T1175" i="1" s="1"/>
  <c r="T1176" i="1" a="1"/>
  <c r="T1176" i="1"/>
  <c r="T1177" i="1" a="1"/>
  <c r="T1177" i="1" s="1"/>
  <c r="T1178" i="1" a="1"/>
  <c r="T1178" i="1" s="1"/>
  <c r="T1179" i="1" a="1"/>
  <c r="T1179" i="1" s="1"/>
  <c r="T1180" i="1" a="1"/>
  <c r="T1180" i="1"/>
  <c r="T1181" i="1" a="1"/>
  <c r="T1181" i="1" s="1"/>
  <c r="T1182" i="1" a="1"/>
  <c r="T1182" i="1" s="1"/>
  <c r="T1183" i="1" a="1"/>
  <c r="T1183" i="1" s="1"/>
  <c r="T1184" i="1" a="1"/>
  <c r="T1184" i="1"/>
  <c r="T1185" i="1" a="1"/>
  <c r="T1185" i="1" s="1"/>
  <c r="T1186" i="1" a="1"/>
  <c r="T1186" i="1" s="1"/>
  <c r="T1187" i="1" a="1"/>
  <c r="T1187" i="1" s="1"/>
  <c r="T1188" i="1" a="1"/>
  <c r="T1188" i="1"/>
  <c r="T1189" i="1" a="1"/>
  <c r="T1189" i="1" s="1"/>
  <c r="T1190" i="1" a="1"/>
  <c r="T1190" i="1" s="1"/>
  <c r="T1191" i="1" a="1"/>
  <c r="T1191" i="1" s="1"/>
  <c r="T1192" i="1" a="1"/>
  <c r="T1192" i="1"/>
  <c r="T1193" i="1" a="1"/>
  <c r="T1193" i="1" s="1"/>
  <c r="T1194" i="1" a="1"/>
  <c r="T1194" i="1" s="1"/>
  <c r="T1195" i="1" a="1"/>
  <c r="T1195" i="1" s="1"/>
  <c r="T1196" i="1" a="1"/>
  <c r="T1196" i="1"/>
  <c r="T1197" i="1" a="1"/>
  <c r="T1197" i="1" s="1"/>
  <c r="T1198" i="1" a="1"/>
  <c r="T1198" i="1" s="1"/>
  <c r="T1199" i="1" a="1"/>
  <c r="T1199" i="1" s="1"/>
  <c r="T1200" i="1" a="1"/>
  <c r="T1200" i="1"/>
  <c r="T1201" i="1" a="1"/>
  <c r="T1201" i="1" s="1"/>
  <c r="T1202" i="1" a="1"/>
  <c r="T1202" i="1" s="1"/>
  <c r="T1203" i="1" a="1"/>
  <c r="T1203" i="1" s="1"/>
  <c r="T1204" i="1" a="1"/>
  <c r="T1204" i="1"/>
  <c r="T1205" i="1" a="1"/>
  <c r="T1205" i="1" s="1"/>
  <c r="T1206" i="1" a="1"/>
  <c r="T1206" i="1" s="1"/>
  <c r="T1207" i="1" a="1"/>
  <c r="T1207" i="1" s="1"/>
  <c r="T1208" i="1" a="1"/>
  <c r="T1208" i="1"/>
  <c r="T1209" i="1" a="1"/>
  <c r="T1209" i="1" s="1"/>
  <c r="T1210" i="1" a="1"/>
  <c r="T1210" i="1" s="1"/>
  <c r="T1211" i="1" a="1"/>
  <c r="T1211" i="1" s="1"/>
  <c r="T1212" i="1" a="1"/>
  <c r="T1212" i="1"/>
  <c r="T1213" i="1" a="1"/>
  <c r="T1213" i="1" s="1"/>
  <c r="T1214" i="1" a="1"/>
  <c r="T1214" i="1" s="1"/>
  <c r="T1215" i="1" a="1"/>
  <c r="T1215" i="1" s="1"/>
  <c r="T1216" i="1" a="1"/>
  <c r="T1216" i="1"/>
  <c r="T1217" i="1" a="1"/>
  <c r="T1217" i="1" s="1"/>
  <c r="T1218" i="1" a="1"/>
  <c r="T1218" i="1" s="1"/>
  <c r="T1219" i="1" a="1"/>
  <c r="T1219" i="1" s="1"/>
  <c r="T1220" i="1" a="1"/>
  <c r="T1220" i="1"/>
  <c r="T1221" i="1" a="1"/>
  <c r="T1221" i="1" s="1"/>
  <c r="T1222" i="1" a="1"/>
  <c r="T1222" i="1" s="1"/>
  <c r="T1223" i="1" a="1"/>
  <c r="T1223" i="1" s="1"/>
  <c r="T1224" i="1" a="1"/>
  <c r="T1224" i="1"/>
  <c r="T1225" i="1" a="1"/>
  <c r="T1225" i="1" s="1"/>
  <c r="T1226" i="1" a="1"/>
  <c r="T1226" i="1" s="1"/>
  <c r="T1227" i="1" a="1"/>
  <c r="T1227" i="1" s="1"/>
  <c r="T1228" i="1" a="1"/>
  <c r="T1228" i="1"/>
  <c r="T1229" i="1" a="1"/>
  <c r="T1229" i="1" s="1"/>
  <c r="T1230" i="1" a="1"/>
  <c r="T1230" i="1" s="1"/>
  <c r="T1231" i="1" a="1"/>
  <c r="T1231" i="1" s="1"/>
  <c r="T1232" i="1" a="1"/>
  <c r="T1232" i="1"/>
  <c r="T1233" i="1" a="1"/>
  <c r="T1233" i="1" s="1"/>
  <c r="T1234" i="1" a="1"/>
  <c r="T1234" i="1" s="1"/>
  <c r="T1235" i="1" a="1"/>
  <c r="T1235" i="1" s="1"/>
  <c r="T1236" i="1" a="1"/>
  <c r="T1236" i="1"/>
  <c r="T1237" i="1" a="1"/>
  <c r="T1237" i="1" s="1"/>
  <c r="T1238" i="1" a="1"/>
  <c r="T1238" i="1" s="1"/>
  <c r="T1239" i="1" a="1"/>
  <c r="T1239" i="1" s="1"/>
  <c r="T1240" i="1" a="1"/>
  <c r="T1240" i="1"/>
  <c r="T1241" i="1" a="1"/>
  <c r="T1241" i="1" s="1"/>
  <c r="T1242" i="1" a="1"/>
  <c r="T1242" i="1" s="1"/>
  <c r="T1243" i="1" a="1"/>
  <c r="T1243" i="1" s="1"/>
  <c r="T1244" i="1" a="1"/>
  <c r="T1244" i="1"/>
  <c r="T1245" i="1" a="1"/>
  <c r="T1245" i="1" s="1"/>
  <c r="T1246" i="1" a="1"/>
  <c r="T1246" i="1" s="1"/>
  <c r="T1247" i="1" a="1"/>
  <c r="T1247" i="1" s="1"/>
  <c r="T1248" i="1" a="1"/>
  <c r="T1248" i="1"/>
  <c r="T1249" i="1" a="1"/>
  <c r="T1249" i="1" s="1"/>
  <c r="T1250" i="1" a="1"/>
  <c r="T1250" i="1" s="1"/>
  <c r="T1251" i="1" a="1"/>
  <c r="T1251" i="1" s="1"/>
  <c r="T1252" i="1" a="1"/>
  <c r="T1252" i="1"/>
  <c r="T1253" i="1" a="1"/>
  <c r="T1253" i="1" s="1"/>
  <c r="T1254" i="1" a="1"/>
  <c r="T1254" i="1" s="1"/>
  <c r="T1255" i="1" a="1"/>
  <c r="T1255" i="1" s="1"/>
  <c r="T1256" i="1" a="1"/>
  <c r="T1256" i="1"/>
  <c r="T1257" i="1" a="1"/>
  <c r="T1257" i="1" s="1"/>
  <c r="T1258" i="1" a="1"/>
  <c r="T1258" i="1" s="1"/>
  <c r="T1259" i="1" a="1"/>
  <c r="T1259" i="1" s="1"/>
  <c r="T1260" i="1" a="1"/>
  <c r="T1260" i="1"/>
  <c r="T1261" i="1" a="1"/>
  <c r="T1261" i="1" s="1"/>
  <c r="T1262" i="1" a="1"/>
  <c r="T1262" i="1" s="1"/>
  <c r="T1263" i="1" a="1"/>
  <c r="T1263" i="1" s="1"/>
  <c r="T1264" i="1" a="1"/>
  <c r="T1264" i="1"/>
  <c r="T1265" i="1" a="1"/>
  <c r="T1265" i="1" s="1"/>
  <c r="T1266" i="1" a="1"/>
  <c r="T1266" i="1" s="1"/>
  <c r="T1267" i="1" a="1"/>
  <c r="T1267" i="1" s="1"/>
  <c r="T1268" i="1" a="1"/>
  <c r="T1268" i="1"/>
  <c r="T1269" i="1" a="1"/>
  <c r="T1269" i="1" s="1"/>
  <c r="T1270" i="1" a="1"/>
  <c r="T1270" i="1" s="1"/>
  <c r="T1271" i="1" a="1"/>
  <c r="T1271" i="1" s="1"/>
  <c r="T1272" i="1" a="1"/>
  <c r="T1272" i="1"/>
  <c r="T1273" i="1" a="1"/>
  <c r="T1273" i="1" s="1"/>
  <c r="T1274" i="1" a="1"/>
  <c r="T1274" i="1" s="1"/>
  <c r="T1275" i="1" a="1"/>
  <c r="T1275" i="1" s="1"/>
  <c r="T1276" i="1" a="1"/>
  <c r="T1276" i="1"/>
  <c r="T1277" i="1" a="1"/>
  <c r="T1277" i="1" s="1"/>
  <c r="T1278" i="1" a="1"/>
  <c r="T1278" i="1" s="1"/>
  <c r="T1279" i="1" a="1"/>
  <c r="T1279" i="1" s="1"/>
  <c r="T1280" i="1" a="1"/>
  <c r="T1280" i="1"/>
  <c r="T1281" i="1" a="1"/>
  <c r="T1281" i="1" s="1"/>
  <c r="T1282" i="1" a="1"/>
  <c r="T1282" i="1" s="1"/>
  <c r="T1283" i="1" a="1"/>
  <c r="T1283" i="1" s="1"/>
  <c r="T1284" i="1" a="1"/>
  <c r="T1284" i="1"/>
  <c r="T1285" i="1" a="1"/>
  <c r="T1285" i="1" s="1"/>
  <c r="T1286" i="1" a="1"/>
  <c r="T1286" i="1" s="1"/>
  <c r="T1287" i="1" a="1"/>
  <c r="T1287" i="1" s="1"/>
  <c r="T1288" i="1" a="1"/>
  <c r="T1288" i="1"/>
  <c r="T1289" i="1" a="1"/>
  <c r="T1289" i="1" s="1"/>
  <c r="T1290" i="1" a="1"/>
  <c r="T1290" i="1" s="1"/>
  <c r="T1291" i="1" a="1"/>
  <c r="T1291" i="1" s="1"/>
  <c r="T1292" i="1" a="1"/>
  <c r="T1292" i="1"/>
  <c r="T1293" i="1" a="1"/>
  <c r="T1293" i="1" s="1"/>
  <c r="T1294" i="1" a="1"/>
  <c r="T1294" i="1" s="1"/>
  <c r="T1295" i="1" a="1"/>
  <c r="T1295" i="1" s="1"/>
  <c r="T1296" i="1" a="1"/>
  <c r="T1296" i="1"/>
  <c r="T1297" i="1" a="1"/>
  <c r="T1297" i="1" s="1"/>
  <c r="T1298" i="1" a="1"/>
  <c r="T1298" i="1" s="1"/>
  <c r="T1299" i="1" a="1"/>
  <c r="T1299" i="1" s="1"/>
  <c r="T1300" i="1" a="1"/>
  <c r="T1300" i="1"/>
  <c r="T1301" i="1" a="1"/>
  <c r="T1301" i="1" s="1"/>
  <c r="T1302" i="1" a="1"/>
  <c r="T1302" i="1" s="1"/>
  <c r="T1303" i="1" a="1"/>
  <c r="T1303" i="1" s="1"/>
  <c r="T1304" i="1" a="1"/>
  <c r="T1304" i="1"/>
  <c r="T1305" i="1" a="1"/>
  <c r="T1305" i="1" s="1"/>
  <c r="T1306" i="1" a="1"/>
  <c r="T1306" i="1" s="1"/>
  <c r="T1307" i="1" a="1"/>
  <c r="T1307" i="1" s="1"/>
  <c r="T1308" i="1" a="1"/>
  <c r="T1308" i="1"/>
  <c r="T1309" i="1" a="1"/>
  <c r="T1309" i="1" s="1"/>
  <c r="T1310" i="1" a="1"/>
  <c r="T1310" i="1" s="1"/>
  <c r="T1311" i="1" a="1"/>
  <c r="T1311" i="1" s="1"/>
  <c r="T1312" i="1" a="1"/>
  <c r="T1312" i="1"/>
  <c r="T1313" i="1" a="1"/>
  <c r="T1313" i="1" s="1"/>
  <c r="T1314" i="1" a="1"/>
  <c r="T1314" i="1" s="1"/>
  <c r="T1315" i="1" a="1"/>
  <c r="T1315" i="1" s="1"/>
  <c r="T1316" i="1" a="1"/>
  <c r="T1316" i="1"/>
  <c r="T1317" i="1" a="1"/>
  <c r="T1317" i="1" s="1"/>
  <c r="T1318" i="1" a="1"/>
  <c r="T1318" i="1" s="1"/>
  <c r="T1319" i="1" a="1"/>
  <c r="T1319" i="1" s="1"/>
  <c r="T1320" i="1" a="1"/>
  <c r="T1320" i="1"/>
  <c r="T1321" i="1" a="1"/>
  <c r="T1321" i="1" s="1"/>
  <c r="T1322" i="1" a="1"/>
  <c r="T1322" i="1" s="1"/>
  <c r="T1323" i="1" a="1"/>
  <c r="T1323" i="1" s="1"/>
  <c r="T1324" i="1" a="1"/>
  <c r="T1324" i="1"/>
  <c r="T1325" i="1" a="1"/>
  <c r="T1325" i="1" s="1"/>
  <c r="T1326" i="1" a="1"/>
  <c r="T1326" i="1" s="1"/>
  <c r="T1327" i="1" a="1"/>
  <c r="T1327" i="1" s="1"/>
  <c r="T1328" i="1" a="1"/>
  <c r="T1328" i="1"/>
  <c r="T1329" i="1" a="1"/>
  <c r="T1329" i="1" s="1"/>
  <c r="T1330" i="1" a="1"/>
  <c r="T1330" i="1" s="1"/>
  <c r="T1331" i="1" a="1"/>
  <c r="T1331" i="1" s="1"/>
  <c r="T1332" i="1" a="1"/>
  <c r="T1332" i="1"/>
  <c r="T1333" i="1" a="1"/>
  <c r="T1333" i="1" s="1"/>
  <c r="T1334" i="1" a="1"/>
  <c r="T1334" i="1" s="1"/>
  <c r="T1335" i="1" a="1"/>
  <c r="T1335" i="1" s="1"/>
  <c r="T1336" i="1" a="1"/>
  <c r="T1336" i="1"/>
  <c r="T1337" i="1" a="1"/>
  <c r="T1337" i="1" s="1"/>
  <c r="T1338" i="1" a="1"/>
  <c r="T1338" i="1" s="1"/>
  <c r="T1339" i="1" a="1"/>
  <c r="T1339" i="1" s="1"/>
  <c r="T1340" i="1" a="1"/>
  <c r="T1340" i="1"/>
  <c r="T1341" i="1" a="1"/>
  <c r="T1341" i="1" s="1"/>
  <c r="T1342" i="1" a="1"/>
  <c r="T1342" i="1" s="1"/>
  <c r="T1343" i="1" a="1"/>
  <c r="T1343" i="1" s="1"/>
  <c r="T1344" i="1" a="1"/>
  <c r="T1344" i="1"/>
  <c r="T1345" i="1" a="1"/>
  <c r="T1345" i="1" s="1"/>
  <c r="T1346" i="1" a="1"/>
  <c r="T1346" i="1" s="1"/>
  <c r="T1347" i="1" a="1"/>
  <c r="T1347" i="1" s="1"/>
  <c r="T1348" i="1" a="1"/>
  <c r="T1348" i="1"/>
  <c r="T1349" i="1" a="1"/>
  <c r="T1349" i="1" s="1"/>
  <c r="T1350" i="1" a="1"/>
  <c r="T1350" i="1" s="1"/>
  <c r="T1351" i="1" a="1"/>
  <c r="T1351" i="1" s="1"/>
  <c r="T1352" i="1" a="1"/>
  <c r="T1352" i="1"/>
  <c r="T1353" i="1" a="1"/>
  <c r="T1353" i="1" s="1"/>
  <c r="T1354" i="1" a="1"/>
  <c r="T1354" i="1" s="1"/>
  <c r="T1355" i="1" a="1"/>
  <c r="T1355" i="1" s="1"/>
  <c r="T1356" i="1" a="1"/>
  <c r="T1356" i="1"/>
  <c r="T1357" i="1" a="1"/>
  <c r="T1357" i="1" s="1"/>
  <c r="T1358" i="1" a="1"/>
  <c r="T1358" i="1" s="1"/>
  <c r="T1359" i="1" a="1"/>
  <c r="T1359" i="1" s="1"/>
  <c r="T1360" i="1" a="1"/>
  <c r="T1360" i="1"/>
  <c r="T1361" i="1" a="1"/>
  <c r="T1361" i="1" s="1"/>
  <c r="T1362" i="1" a="1"/>
  <c r="T1362" i="1" s="1"/>
  <c r="T1363" i="1" a="1"/>
  <c r="T1363" i="1" s="1"/>
  <c r="T1364" i="1" a="1"/>
  <c r="T1364" i="1"/>
  <c r="T1365" i="1" a="1"/>
  <c r="T1365" i="1" s="1"/>
  <c r="T1366" i="1" a="1"/>
  <c r="T1366" i="1" s="1"/>
  <c r="T1367" i="1" a="1"/>
  <c r="T1367" i="1" s="1"/>
  <c r="T1368" i="1" a="1"/>
  <c r="T1368" i="1"/>
  <c r="T1369" i="1" a="1"/>
  <c r="T1369" i="1" s="1"/>
  <c r="T1370" i="1" a="1"/>
  <c r="T1370" i="1" s="1"/>
  <c r="T1371" i="1" a="1"/>
  <c r="T1371" i="1" s="1"/>
  <c r="T1372" i="1" a="1"/>
  <c r="T1372" i="1"/>
  <c r="T1373" i="1" a="1"/>
  <c r="T1373" i="1" s="1"/>
  <c r="T1374" i="1" a="1"/>
  <c r="T1374" i="1" s="1"/>
  <c r="T1375" i="1" a="1"/>
  <c r="T1375" i="1" s="1"/>
  <c r="T1376" i="1" a="1"/>
  <c r="T1376" i="1"/>
  <c r="T1377" i="1" a="1"/>
  <c r="T1377" i="1" s="1"/>
  <c r="T1378" i="1" a="1"/>
  <c r="T1378" i="1" s="1"/>
  <c r="T1379" i="1" a="1"/>
  <c r="T1379" i="1" s="1"/>
  <c r="T1380" i="1" a="1"/>
  <c r="T1380" i="1"/>
  <c r="T1381" i="1" a="1"/>
  <c r="T1381" i="1" s="1"/>
  <c r="T1382" i="1" a="1"/>
  <c r="T1382" i="1" s="1"/>
  <c r="T1383" i="1" a="1"/>
  <c r="T1383" i="1" s="1"/>
  <c r="T1384" i="1" a="1"/>
  <c r="T1384" i="1"/>
  <c r="T1385" i="1" a="1"/>
  <c r="T1385" i="1" s="1"/>
  <c r="T1386" i="1" a="1"/>
  <c r="T1386" i="1" s="1"/>
  <c r="T1387" i="1" a="1"/>
  <c r="T1387" i="1" s="1"/>
  <c r="T1388" i="1" a="1"/>
  <c r="T1388" i="1"/>
  <c r="T1389" i="1" a="1"/>
  <c r="T1389" i="1" s="1"/>
  <c r="T1390" i="1" a="1"/>
  <c r="T1390" i="1" s="1"/>
  <c r="T1391" i="1" a="1"/>
  <c r="T1391" i="1" s="1"/>
  <c r="T1392" i="1" a="1"/>
  <c r="T1392" i="1"/>
  <c r="T1393" i="1" a="1"/>
  <c r="T1393" i="1" s="1"/>
  <c r="T1394" i="1" a="1"/>
  <c r="T1394" i="1" s="1"/>
  <c r="T1395" i="1" a="1"/>
  <c r="T1395" i="1" s="1"/>
  <c r="T1396" i="1" a="1"/>
  <c r="T1396" i="1"/>
  <c r="T1397" i="1" a="1"/>
  <c r="T1397" i="1" s="1"/>
  <c r="T1398" i="1" a="1"/>
  <c r="T1398" i="1" s="1"/>
  <c r="T1399" i="1" a="1"/>
  <c r="T1399" i="1" s="1"/>
  <c r="T1400" i="1" a="1"/>
  <c r="T1400" i="1"/>
  <c r="T1401" i="1" a="1"/>
  <c r="T1401" i="1" s="1"/>
  <c r="T1402" i="1" a="1"/>
  <c r="T1402" i="1" s="1"/>
  <c r="T1403" i="1" a="1"/>
  <c r="T1403" i="1" s="1"/>
  <c r="T1404" i="1" a="1"/>
  <c r="T1404" i="1"/>
  <c r="T1405" i="1" a="1"/>
  <c r="T1405" i="1" s="1"/>
  <c r="T1406" i="1" a="1"/>
  <c r="T1406" i="1" s="1"/>
  <c r="T1407" i="1" a="1"/>
  <c r="T1407" i="1" s="1"/>
  <c r="T1408" i="1" a="1"/>
  <c r="T1408" i="1"/>
  <c r="T1409" i="1" a="1"/>
  <c r="T1409" i="1" s="1"/>
  <c r="T1410" i="1" a="1"/>
  <c r="T1410" i="1" s="1"/>
  <c r="T1411" i="1" a="1"/>
  <c r="T1411" i="1" s="1"/>
  <c r="T1412" i="1" a="1"/>
  <c r="T1412" i="1"/>
  <c r="T1413" i="1" a="1"/>
  <c r="T1413" i="1" s="1"/>
  <c r="T1414" i="1" a="1"/>
  <c r="T1414" i="1" s="1"/>
  <c r="T1415" i="1" a="1"/>
  <c r="T1415" i="1" s="1"/>
  <c r="T1416" i="1" a="1"/>
  <c r="T1416" i="1"/>
  <c r="T1417" i="1" a="1"/>
  <c r="T1417" i="1" s="1"/>
  <c r="T1418" i="1" a="1"/>
  <c r="T1418" i="1" s="1"/>
  <c r="T1419" i="1" a="1"/>
  <c r="T1419" i="1" s="1"/>
  <c r="T1420" i="1" a="1"/>
  <c r="T1420" i="1"/>
  <c r="T1421" i="1" a="1"/>
  <c r="T1421" i="1" s="1"/>
  <c r="T1422" i="1" a="1"/>
  <c r="T1422" i="1" s="1"/>
  <c r="T1423" i="1" a="1"/>
  <c r="T1423" i="1" s="1"/>
  <c r="T1424" i="1" a="1"/>
  <c r="T1424" i="1"/>
  <c r="T1425" i="1" a="1"/>
  <c r="T1425" i="1" s="1"/>
  <c r="T1426" i="1" a="1"/>
  <c r="T1426" i="1" s="1"/>
  <c r="T1427" i="1" a="1"/>
  <c r="T1427" i="1" s="1"/>
  <c r="T1428" i="1" a="1"/>
  <c r="T1428" i="1"/>
  <c r="T1429" i="1" a="1"/>
  <c r="T1429" i="1" s="1"/>
  <c r="T1430" i="1" a="1"/>
  <c r="T1430" i="1" s="1"/>
  <c r="T1431" i="1" a="1"/>
  <c r="T1431" i="1" s="1"/>
  <c r="T1432" i="1" a="1"/>
  <c r="T1432" i="1"/>
  <c r="T1433" i="1" a="1"/>
  <c r="T1433" i="1" s="1"/>
  <c r="T1434" i="1" a="1"/>
  <c r="T1434" i="1" s="1"/>
  <c r="T1435" i="1" a="1"/>
  <c r="T1435" i="1" s="1"/>
  <c r="T1436" i="1" a="1"/>
  <c r="T1436" i="1"/>
  <c r="T1437" i="1" a="1"/>
  <c r="T1437" i="1" s="1"/>
  <c r="T1438" i="1" a="1"/>
  <c r="T1438" i="1" s="1"/>
  <c r="T1439" i="1" a="1"/>
  <c r="T1439" i="1" s="1"/>
  <c r="T1440" i="1" a="1"/>
  <c r="T1440" i="1"/>
  <c r="T1441" i="1" a="1"/>
  <c r="T1441" i="1" s="1"/>
  <c r="T1442" i="1" a="1"/>
  <c r="T1442" i="1" s="1"/>
  <c r="T1443" i="1" a="1"/>
  <c r="T1443" i="1" s="1"/>
  <c r="T1444" i="1" a="1"/>
  <c r="T1444" i="1"/>
  <c r="T1445" i="1" a="1"/>
  <c r="T1445" i="1" s="1"/>
  <c r="T1446" i="1" a="1"/>
  <c r="T1446" i="1" s="1"/>
  <c r="T1447" i="1" a="1"/>
  <c r="T1447" i="1" s="1"/>
  <c r="T1448" i="1" a="1"/>
  <c r="T1448" i="1"/>
  <c r="T1449" i="1" a="1"/>
  <c r="T1449" i="1" s="1"/>
  <c r="T1450" i="1" a="1"/>
  <c r="T1450" i="1" s="1"/>
  <c r="T1451" i="1" a="1"/>
  <c r="T1451" i="1" s="1"/>
  <c r="T1452" i="1" a="1"/>
  <c r="T1452" i="1"/>
  <c r="T1453" i="1" a="1"/>
  <c r="T1453" i="1" s="1"/>
  <c r="T1454" i="1" a="1"/>
  <c r="T1454" i="1" s="1"/>
  <c r="T1455" i="1" a="1"/>
  <c r="T1455" i="1" s="1"/>
  <c r="T1456" i="1" a="1"/>
  <c r="T1456" i="1"/>
  <c r="T1457" i="1" a="1"/>
  <c r="T1457" i="1" s="1"/>
  <c r="T1458" i="1" a="1"/>
  <c r="T1458" i="1" s="1"/>
  <c r="T1459" i="1" a="1"/>
  <c r="T1459" i="1" s="1"/>
  <c r="T1460" i="1" a="1"/>
  <c r="T1460" i="1"/>
  <c r="T1461" i="1" a="1"/>
  <c r="T1461" i="1" s="1"/>
  <c r="T1462" i="1" a="1"/>
  <c r="T1462" i="1" s="1"/>
  <c r="T1463" i="1" a="1"/>
  <c r="T1463" i="1" s="1"/>
  <c r="T1464" i="1" a="1"/>
  <c r="T1464" i="1"/>
  <c r="T1465" i="1" a="1"/>
  <c r="T1465" i="1" s="1"/>
  <c r="T1466" i="1" a="1"/>
  <c r="T1466" i="1" s="1"/>
  <c r="T1467" i="1" a="1"/>
  <c r="T1467" i="1" s="1"/>
  <c r="T1468" i="1" a="1"/>
  <c r="T1468" i="1"/>
  <c r="T1469" i="1" a="1"/>
  <c r="T1469" i="1" s="1"/>
  <c r="T1470" i="1" a="1"/>
  <c r="T1470" i="1" s="1"/>
  <c r="T1471" i="1" a="1"/>
  <c r="T1471" i="1" s="1"/>
  <c r="T1472" i="1" a="1"/>
  <c r="T1472" i="1"/>
  <c r="T1473" i="1" a="1"/>
  <c r="T1473" i="1" s="1"/>
  <c r="T1474" i="1" a="1"/>
  <c r="T1474" i="1" s="1"/>
  <c r="T1475" i="1" a="1"/>
  <c r="T1475" i="1" s="1"/>
  <c r="T1476" i="1" a="1"/>
  <c r="T1476" i="1"/>
  <c r="T1477" i="1" a="1"/>
  <c r="T1477" i="1" s="1"/>
  <c r="T1478" i="1" a="1"/>
  <c r="T1478" i="1" s="1"/>
  <c r="T1479" i="1" a="1"/>
  <c r="T1479" i="1" s="1"/>
  <c r="T1480" i="1" a="1"/>
  <c r="T1480" i="1"/>
  <c r="T1481" i="1" a="1"/>
  <c r="T1481" i="1" s="1"/>
  <c r="T1482" i="1" a="1"/>
  <c r="T1482" i="1" s="1"/>
  <c r="T1483" i="1" a="1"/>
  <c r="T1483" i="1" s="1"/>
  <c r="T1484" i="1" a="1"/>
  <c r="T1484" i="1"/>
  <c r="T1485" i="1" a="1"/>
  <c r="T1485" i="1" s="1"/>
  <c r="T1486" i="1" a="1"/>
  <c r="T1486" i="1" s="1"/>
  <c r="T1487" i="1" a="1"/>
  <c r="T1487" i="1" s="1"/>
  <c r="T1488" i="1" a="1"/>
  <c r="T1488" i="1"/>
  <c r="T1489" i="1" a="1"/>
  <c r="T1489" i="1" s="1"/>
  <c r="T1490" i="1" a="1"/>
  <c r="T1490" i="1" s="1"/>
  <c r="T1491" i="1" a="1"/>
  <c r="T1491" i="1" s="1"/>
  <c r="T1492" i="1" a="1"/>
  <c r="T1492" i="1"/>
  <c r="T1493" i="1" a="1"/>
  <c r="T1493" i="1" s="1"/>
  <c r="T1494" i="1" a="1"/>
  <c r="T1494" i="1" s="1"/>
  <c r="T1495" i="1" a="1"/>
  <c r="T1495" i="1" s="1"/>
  <c r="T1496" i="1" a="1"/>
  <c r="T1496" i="1"/>
  <c r="T1497" i="1" a="1"/>
  <c r="T1497" i="1" s="1"/>
  <c r="T1498" i="1" a="1"/>
  <c r="T1498" i="1" s="1"/>
  <c r="T1499" i="1" a="1"/>
  <c r="T1499" i="1" s="1"/>
  <c r="T1500" i="1" a="1"/>
  <c r="T1500" i="1"/>
  <c r="T1501" i="1" a="1"/>
  <c r="T1501" i="1" s="1"/>
  <c r="T1502" i="1" a="1"/>
  <c r="T1502" i="1" s="1"/>
  <c r="T1503" i="1" a="1"/>
  <c r="T1503" i="1" s="1"/>
  <c r="T1504" i="1" a="1"/>
  <c r="T1504" i="1"/>
  <c r="T1505" i="1" a="1"/>
  <c r="T1505" i="1" s="1"/>
  <c r="T1506" i="1" a="1"/>
  <c r="T1506" i="1" s="1"/>
  <c r="T1507" i="1" a="1"/>
  <c r="T1507" i="1" s="1"/>
  <c r="T1508" i="1" a="1"/>
  <c r="T1508" i="1"/>
  <c r="T1509" i="1" a="1"/>
  <c r="T1509" i="1" s="1"/>
  <c r="T1510" i="1" a="1"/>
  <c r="T1510" i="1" s="1"/>
  <c r="T1511" i="1" a="1"/>
  <c r="T1511" i="1" s="1"/>
  <c r="T1512" i="1" a="1"/>
  <c r="T1512" i="1"/>
  <c r="T1513" i="1" a="1"/>
  <c r="T1513" i="1" s="1"/>
  <c r="T1514" i="1" a="1"/>
  <c r="T1514" i="1" s="1"/>
  <c r="T1515" i="1" a="1"/>
  <c r="T1515" i="1" s="1"/>
  <c r="T1516" i="1" a="1"/>
  <c r="T1516" i="1"/>
  <c r="T1517" i="1" a="1"/>
  <c r="T1517" i="1" s="1"/>
  <c r="T1518" i="1" a="1"/>
  <c r="T1518" i="1" s="1"/>
  <c r="T1519" i="1" a="1"/>
  <c r="T1519" i="1" s="1"/>
  <c r="T1520" i="1" a="1"/>
  <c r="T1520" i="1"/>
  <c r="T1521" i="1" a="1"/>
  <c r="T1521" i="1" s="1"/>
  <c r="T1522" i="1" a="1"/>
  <c r="T1522" i="1" s="1"/>
  <c r="T1523" i="1" a="1"/>
  <c r="T1523" i="1" s="1"/>
  <c r="T1524" i="1" a="1"/>
  <c r="T1524" i="1"/>
  <c r="T1525" i="1" a="1"/>
  <c r="T1525" i="1" s="1"/>
  <c r="T1526" i="1" a="1"/>
  <c r="T1526" i="1" s="1"/>
  <c r="T1527" i="1" a="1"/>
  <c r="T1527" i="1" s="1"/>
  <c r="T1528" i="1" a="1"/>
  <c r="T1528" i="1"/>
  <c r="T1529" i="1" a="1"/>
  <c r="T1529" i="1" s="1"/>
  <c r="T1530" i="1" a="1"/>
  <c r="T1530" i="1" s="1"/>
  <c r="T1531" i="1" a="1"/>
  <c r="T1531" i="1" s="1"/>
  <c r="T1532" i="1" a="1"/>
  <c r="T1532" i="1"/>
  <c r="T1533" i="1" a="1"/>
  <c r="T1533" i="1" s="1"/>
  <c r="T1534" i="1" a="1"/>
  <c r="T1534" i="1" s="1"/>
  <c r="T1535" i="1" a="1"/>
  <c r="T1535" i="1" s="1"/>
  <c r="T1536" i="1" a="1"/>
  <c r="T1536" i="1"/>
  <c r="T1537" i="1" a="1"/>
  <c r="T1537" i="1" s="1"/>
  <c r="T1538" i="1" a="1"/>
  <c r="T1538" i="1" s="1"/>
  <c r="T1539" i="1" a="1"/>
  <c r="T1539" i="1" s="1"/>
  <c r="T1540" i="1" a="1"/>
  <c r="T1540" i="1" s="1"/>
  <c r="T1541" i="1" a="1"/>
  <c r="T1541" i="1" s="1"/>
  <c r="T1542" i="1" a="1"/>
  <c r="T1542" i="1" s="1"/>
  <c r="T1543" i="1" a="1"/>
  <c r="T1543" i="1" s="1"/>
  <c r="T1544" i="1" a="1"/>
  <c r="T1544" i="1" s="1"/>
  <c r="T1545" i="1" a="1"/>
  <c r="T1545" i="1" s="1"/>
  <c r="T1546" i="1" a="1"/>
  <c r="T1546" i="1" s="1"/>
  <c r="T1547" i="1" a="1"/>
  <c r="T1547" i="1" s="1"/>
  <c r="T1548" i="1" a="1"/>
  <c r="T1548" i="1" s="1"/>
  <c r="T1549" i="1" a="1"/>
  <c r="T1549" i="1" s="1"/>
  <c r="T1550" i="1" a="1"/>
  <c r="T1550" i="1" s="1"/>
  <c r="T1551" i="1" a="1"/>
  <c r="T1551" i="1" s="1"/>
  <c r="T1552" i="1" a="1"/>
  <c r="T1552" i="1" s="1"/>
  <c r="T1553" i="1" a="1"/>
  <c r="T1553" i="1" s="1"/>
  <c r="T1554" i="1" a="1"/>
  <c r="T1554" i="1" s="1"/>
  <c r="T1555" i="1" a="1"/>
  <c r="T1555" i="1" s="1"/>
  <c r="T1556" i="1" a="1"/>
  <c r="T1556" i="1" s="1"/>
  <c r="T1557" i="1" a="1"/>
  <c r="T1557" i="1" s="1"/>
  <c r="T1558" i="1" a="1"/>
  <c r="T1558" i="1" s="1"/>
  <c r="T1559" i="1" a="1"/>
  <c r="T1559" i="1" s="1"/>
  <c r="T1560" i="1" a="1"/>
  <c r="T1560" i="1" s="1"/>
  <c r="T1561" i="1" a="1"/>
  <c r="T1561" i="1" s="1"/>
  <c r="T1562" i="1" a="1"/>
  <c r="T1562" i="1" s="1"/>
  <c r="T1563" i="1" a="1"/>
  <c r="T1563" i="1" s="1"/>
  <c r="T1564" i="1" a="1"/>
  <c r="T1564" i="1" s="1"/>
  <c r="T1565" i="1" a="1"/>
  <c r="T1565" i="1" s="1"/>
  <c r="T1566" i="1" a="1"/>
  <c r="T1566" i="1" s="1"/>
  <c r="T1567" i="1" a="1"/>
  <c r="T1567" i="1" s="1"/>
  <c r="T1568" i="1" a="1"/>
  <c r="T1568" i="1" s="1"/>
  <c r="T1569" i="1" a="1"/>
  <c r="T1569" i="1" s="1"/>
  <c r="T1570" i="1" a="1"/>
  <c r="T1570" i="1" s="1"/>
  <c r="T1571" i="1" a="1"/>
  <c r="T1571" i="1" s="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s="1"/>
  <c r="T1583" i="1" a="1"/>
  <c r="T1583" i="1" s="1"/>
  <c r="T1584" i="1" a="1"/>
  <c r="T1584" i="1" s="1"/>
  <c r="T1585" i="1" a="1"/>
  <c r="T1585" i="1" s="1"/>
  <c r="T1586" i="1" a="1"/>
  <c r="T1586" i="1" s="1"/>
  <c r="T1587" i="1" a="1"/>
  <c r="T1587" i="1" s="1"/>
  <c r="T1588" i="1" a="1"/>
  <c r="T1588" i="1" s="1"/>
  <c r="T1589" i="1" a="1"/>
  <c r="T1589" i="1" s="1"/>
  <c r="T1590" i="1" a="1"/>
  <c r="T1590" i="1" s="1"/>
  <c r="T1591" i="1" a="1"/>
  <c r="T1591" i="1" s="1"/>
  <c r="T1592" i="1" a="1"/>
  <c r="T1592" i="1" s="1"/>
  <c r="T1593" i="1" a="1"/>
  <c r="T1593" i="1" s="1"/>
  <c r="T1594" i="1" a="1"/>
  <c r="T1594" i="1" s="1"/>
  <c r="T1595" i="1" a="1"/>
  <c r="T1595" i="1" s="1"/>
  <c r="T1596" i="1" a="1"/>
  <c r="T1596" i="1" s="1"/>
  <c r="T1597" i="1" a="1"/>
  <c r="T1597" i="1" s="1"/>
  <c r="T1598" i="1" a="1"/>
  <c r="T1598" i="1" s="1"/>
  <c r="T1599" i="1" a="1"/>
  <c r="T1599" i="1" s="1"/>
  <c r="T1600" i="1" a="1"/>
  <c r="T1600" i="1" s="1"/>
  <c r="T1601" i="1" a="1"/>
  <c r="T1601" i="1" s="1"/>
  <c r="T1602" i="1" a="1"/>
  <c r="T1602" i="1" s="1"/>
  <c r="T1603" i="1" a="1"/>
  <c r="T1603" i="1" s="1"/>
  <c r="T1604" i="1" a="1"/>
  <c r="T1604" i="1" s="1"/>
  <c r="T1605" i="1" a="1"/>
  <c r="T1605" i="1" s="1"/>
  <c r="T1606" i="1" a="1"/>
  <c r="T1606" i="1" s="1"/>
  <c r="T1607" i="1" a="1"/>
  <c r="T1607" i="1" s="1"/>
  <c r="T1608" i="1" a="1"/>
  <c r="T1608" i="1" s="1"/>
  <c r="T1609" i="1" a="1"/>
  <c r="T1609" i="1" s="1"/>
  <c r="T1610" i="1" a="1"/>
  <c r="T1610" i="1" s="1"/>
  <c r="T1611" i="1" a="1"/>
  <c r="T1611" i="1" s="1"/>
  <c r="T1612" i="1" a="1"/>
  <c r="T1612" i="1" s="1"/>
  <c r="T1613" i="1" a="1"/>
  <c r="T1613" i="1" s="1"/>
  <c r="T1614" i="1" a="1"/>
  <c r="T1614" i="1" s="1"/>
  <c r="T1615" i="1" a="1"/>
  <c r="T1615" i="1" s="1"/>
  <c r="T1616" i="1" a="1"/>
  <c r="T1616" i="1" s="1"/>
  <c r="T1617" i="1" a="1"/>
  <c r="T1617" i="1" s="1"/>
  <c r="T1618" i="1" a="1"/>
  <c r="T1618" i="1" s="1"/>
  <c r="T1619" i="1" a="1"/>
  <c r="T1619" i="1" s="1"/>
  <c r="T1620" i="1" a="1"/>
  <c r="T1620" i="1" s="1"/>
  <c r="T1621" i="1" a="1"/>
  <c r="T1621" i="1" s="1"/>
  <c r="T1622" i="1" a="1"/>
  <c r="T1622" i="1" s="1"/>
  <c r="T1623" i="1" a="1"/>
  <c r="T1623" i="1" s="1"/>
  <c r="T1624" i="1" a="1"/>
  <c r="T1624" i="1" s="1"/>
  <c r="T1625" i="1" a="1"/>
  <c r="T1625" i="1" s="1"/>
  <c r="T1626" i="1" a="1"/>
  <c r="T1626" i="1" s="1"/>
  <c r="T1627" i="1" a="1"/>
  <c r="T1627" i="1" s="1"/>
  <c r="T1628" i="1" a="1"/>
  <c r="T1628" i="1" s="1"/>
  <c r="T1629" i="1" a="1"/>
  <c r="T1629" i="1" s="1"/>
  <c r="T1630" i="1" a="1"/>
  <c r="T1630" i="1" s="1"/>
  <c r="T1631" i="1" a="1"/>
  <c r="T1631" i="1" s="1"/>
  <c r="T1632" i="1" a="1"/>
  <c r="T1632" i="1" s="1"/>
  <c r="T1633" i="1" a="1"/>
  <c r="T1633" i="1" s="1"/>
  <c r="T1634" i="1" a="1"/>
  <c r="T1634" i="1" s="1"/>
  <c r="T1635" i="1" a="1"/>
  <c r="T1635" i="1" s="1"/>
  <c r="T1636" i="1" a="1"/>
  <c r="T1636" i="1" s="1"/>
  <c r="T1637" i="1" a="1"/>
  <c r="T1637" i="1" s="1"/>
  <c r="T1638" i="1" a="1"/>
  <c r="T1638" i="1" s="1"/>
  <c r="T1639" i="1" a="1"/>
  <c r="T1639" i="1" s="1"/>
  <c r="T1640" i="1" a="1"/>
  <c r="T1640" i="1" s="1"/>
  <c r="T1641" i="1" a="1"/>
  <c r="T1641" i="1" s="1"/>
  <c r="T1642" i="1" a="1"/>
  <c r="T1642" i="1" s="1"/>
  <c r="T1643" i="1" a="1"/>
  <c r="T1643" i="1" s="1"/>
  <c r="T1644" i="1" a="1"/>
  <c r="T1644" i="1" s="1"/>
  <c r="T1645" i="1" a="1"/>
  <c r="T1645" i="1" s="1"/>
  <c r="T1646" i="1" a="1"/>
  <c r="T1646" i="1" s="1"/>
  <c r="T1647" i="1" a="1"/>
  <c r="T1647" i="1" s="1"/>
  <c r="T1648" i="1" a="1"/>
  <c r="T1648" i="1" s="1"/>
  <c r="T1649" i="1" a="1"/>
  <c r="T1649" i="1" s="1"/>
  <c r="T1650" i="1" a="1"/>
  <c r="T1650" i="1" s="1"/>
  <c r="T1651" i="1" a="1"/>
  <c r="T1651" i="1" s="1"/>
  <c r="T1652" i="1" a="1"/>
  <c r="T1652" i="1" s="1"/>
  <c r="T1653" i="1" a="1"/>
  <c r="T1653" i="1" s="1"/>
  <c r="T1654" i="1" a="1"/>
  <c r="T1654" i="1" s="1"/>
  <c r="T1655" i="1" a="1"/>
  <c r="T1655" i="1" s="1"/>
  <c r="T1656" i="1" a="1"/>
  <c r="T1656" i="1" s="1"/>
  <c r="T1657" i="1" a="1"/>
  <c r="T1657" i="1" s="1"/>
  <c r="T1658" i="1" a="1"/>
  <c r="T1658" i="1" s="1"/>
  <c r="T1659" i="1" a="1"/>
  <c r="T1659" i="1" s="1"/>
  <c r="T1660" i="1" a="1"/>
  <c r="T1660" i="1" s="1"/>
  <c r="T1661" i="1" a="1"/>
  <c r="T1661" i="1" s="1"/>
  <c r="T1662" i="1" a="1"/>
  <c r="T1662" i="1" s="1"/>
  <c r="T1663" i="1" a="1"/>
  <c r="T1663" i="1" s="1"/>
  <c r="T1664" i="1" a="1"/>
  <c r="T1664" i="1" s="1"/>
  <c r="T1665" i="1" a="1"/>
  <c r="T1665" i="1" s="1"/>
  <c r="T1666" i="1" a="1"/>
  <c r="T1666" i="1" s="1"/>
  <c r="T1667" i="1" a="1"/>
  <c r="T1667" i="1" s="1"/>
  <c r="T1668" i="1" a="1"/>
  <c r="T1668" i="1" s="1"/>
  <c r="T1669" i="1" a="1"/>
  <c r="T1669" i="1" s="1"/>
  <c r="T1670" i="1" a="1"/>
  <c r="T1670" i="1" s="1"/>
  <c r="T1671" i="1" a="1"/>
  <c r="T1671" i="1" s="1"/>
  <c r="T1672" i="1" a="1"/>
  <c r="T1672" i="1" s="1"/>
  <c r="T1673" i="1" a="1"/>
  <c r="T1673" i="1" s="1"/>
  <c r="T1674" i="1" a="1"/>
  <c r="T1674" i="1" s="1"/>
  <c r="T1675" i="1" a="1"/>
  <c r="T1675" i="1" s="1"/>
  <c r="T1676" i="1" a="1"/>
  <c r="T1676" i="1" s="1"/>
  <c r="T1677" i="1" a="1"/>
  <c r="T1677" i="1" s="1"/>
  <c r="T1678" i="1" a="1"/>
  <c r="T1678" i="1" s="1"/>
  <c r="T1679" i="1" a="1"/>
  <c r="T1679" i="1" s="1"/>
  <c r="T1680" i="1" a="1"/>
  <c r="T1680" i="1" s="1"/>
  <c r="T1681" i="1" a="1"/>
  <c r="T1681" i="1" s="1"/>
  <c r="T1682" i="1" a="1"/>
  <c r="T1682" i="1" s="1"/>
  <c r="T1683" i="1" a="1"/>
  <c r="T1683" i="1" s="1"/>
  <c r="T1684" i="1" a="1"/>
  <c r="T1684" i="1" s="1"/>
  <c r="T1685" i="1" a="1"/>
  <c r="T1685" i="1" s="1"/>
  <c r="T1686" i="1" a="1"/>
  <c r="T1686" i="1" s="1"/>
  <c r="T1687" i="1" a="1"/>
  <c r="T1687" i="1" s="1"/>
  <c r="T1688" i="1" a="1"/>
  <c r="T1688" i="1" s="1"/>
  <c r="T1689" i="1" a="1"/>
  <c r="T1689" i="1" s="1"/>
  <c r="T1690" i="1" a="1"/>
  <c r="T1690" i="1" s="1"/>
  <c r="T1691" i="1" a="1"/>
  <c r="T1691" i="1" s="1"/>
  <c r="T1692" i="1" a="1"/>
  <c r="T1692" i="1" s="1"/>
  <c r="T1693" i="1" a="1"/>
  <c r="T1693" i="1" s="1"/>
  <c r="T1694" i="1" a="1"/>
  <c r="T1694" i="1" s="1"/>
  <c r="T1695" i="1" a="1"/>
  <c r="T1695" i="1" s="1"/>
  <c r="T1696" i="1" a="1"/>
  <c r="T1696" i="1" s="1"/>
  <c r="T1697" i="1" a="1"/>
  <c r="T1697" i="1" s="1"/>
  <c r="T1698" i="1" a="1"/>
  <c r="T1698" i="1" s="1"/>
  <c r="T1699" i="1" a="1"/>
  <c r="T1699" i="1" s="1"/>
  <c r="T1700" i="1" a="1"/>
  <c r="T1700" i="1" s="1"/>
  <c r="T1701" i="1" a="1"/>
  <c r="T1701" i="1" s="1"/>
  <c r="T1702" i="1" a="1"/>
  <c r="T1702" i="1" s="1"/>
  <c r="T1703" i="1" a="1"/>
  <c r="T1703" i="1" s="1"/>
  <c r="T1704" i="1" a="1"/>
  <c r="T1704" i="1" s="1"/>
  <c r="T1705" i="1" a="1"/>
  <c r="T1705" i="1" s="1"/>
  <c r="T1706" i="1" a="1"/>
  <c r="T1706" i="1" s="1"/>
  <c r="T1707" i="1" a="1"/>
  <c r="T1707" i="1" s="1"/>
  <c r="T1708" i="1" a="1"/>
  <c r="T1708" i="1" s="1"/>
  <c r="T1709" i="1" a="1"/>
  <c r="T1709" i="1" s="1"/>
  <c r="T1710" i="1" a="1"/>
  <c r="T1710" i="1" s="1"/>
  <c r="T1711" i="1" a="1"/>
  <c r="T1711" i="1" s="1"/>
  <c r="T1712" i="1" a="1"/>
  <c r="T1712" i="1" s="1"/>
  <c r="T1713" i="1" a="1"/>
  <c r="T1713" i="1" s="1"/>
  <c r="T1714" i="1" a="1"/>
  <c r="T1714" i="1" s="1"/>
  <c r="T1715" i="1" a="1"/>
  <c r="T1715" i="1" s="1"/>
  <c r="T1716" i="1" a="1"/>
  <c r="T1716" i="1" s="1"/>
  <c r="T1717" i="1" a="1"/>
  <c r="T1717" i="1" s="1"/>
  <c r="T1718" i="1" a="1"/>
  <c r="T1718" i="1" s="1"/>
  <c r="T1719" i="1" a="1"/>
  <c r="T1719" i="1" s="1"/>
  <c r="T1720" i="1" a="1"/>
  <c r="T1720" i="1" s="1"/>
  <c r="T1721" i="1" a="1"/>
  <c r="T1721" i="1" s="1"/>
  <c r="T1722" i="1" a="1"/>
  <c r="T1722" i="1" s="1"/>
  <c r="T1723" i="1" a="1"/>
  <c r="T1723" i="1" s="1"/>
  <c r="T1724" i="1" a="1"/>
  <c r="T1724" i="1" s="1"/>
  <c r="T1725" i="1" a="1"/>
  <c r="T1725" i="1" s="1"/>
  <c r="T1726" i="1" a="1"/>
  <c r="T1726" i="1" s="1"/>
  <c r="T1727" i="1" a="1"/>
  <c r="T1727" i="1" s="1"/>
  <c r="T1728" i="1" a="1"/>
  <c r="T1728" i="1" s="1"/>
  <c r="T1729" i="1" a="1"/>
  <c r="T1729" i="1" s="1"/>
  <c r="T1730" i="1" a="1"/>
  <c r="T1730" i="1" s="1"/>
  <c r="T1731" i="1" a="1"/>
  <c r="T1731" i="1" s="1"/>
  <c r="T1732" i="1" a="1"/>
  <c r="T1732" i="1" s="1"/>
  <c r="T1733" i="1" a="1"/>
  <c r="T1733" i="1" s="1"/>
  <c r="T1734" i="1" a="1"/>
  <c r="T1734" i="1" s="1"/>
  <c r="T1735" i="1" a="1"/>
  <c r="T1735" i="1" s="1"/>
  <c r="T1736" i="1" a="1"/>
  <c r="T1736" i="1" s="1"/>
  <c r="T1737" i="1" a="1"/>
  <c r="T1737" i="1" s="1"/>
  <c r="T1738" i="1" a="1"/>
  <c r="T1738" i="1" s="1"/>
  <c r="T1739" i="1" a="1"/>
  <c r="T1739" i="1" s="1"/>
  <c r="T1740" i="1" a="1"/>
  <c r="T1740" i="1" s="1"/>
  <c r="T1741" i="1" a="1"/>
  <c r="T1741" i="1" s="1"/>
  <c r="T1742" i="1" a="1"/>
  <c r="T1742" i="1" s="1"/>
  <c r="T1743" i="1" a="1"/>
  <c r="T1743" i="1" s="1"/>
  <c r="T1744" i="1" a="1"/>
  <c r="T1744" i="1" s="1"/>
  <c r="T1745" i="1" a="1"/>
  <c r="T1745" i="1" s="1"/>
  <c r="T1746" i="1" a="1"/>
  <c r="T1746" i="1" s="1"/>
  <c r="T1747" i="1" a="1"/>
  <c r="T1747" i="1" s="1"/>
  <c r="T1748" i="1" a="1"/>
  <c r="T1748" i="1" s="1"/>
  <c r="T1749" i="1" a="1"/>
  <c r="T1749" i="1" s="1"/>
  <c r="T1750" i="1" a="1"/>
  <c r="T1750" i="1" s="1"/>
  <c r="T1751" i="1" a="1"/>
  <c r="T1751" i="1" s="1"/>
  <c r="T1752" i="1" a="1"/>
  <c r="T1752" i="1" s="1"/>
  <c r="T1753" i="1" a="1"/>
  <c r="T1753" i="1" s="1"/>
  <c r="T1754" i="1" a="1"/>
  <c r="T1754" i="1" s="1"/>
  <c r="T1755" i="1" a="1"/>
  <c r="T1755" i="1" s="1"/>
  <c r="T1756" i="1" a="1"/>
  <c r="T1756" i="1" s="1"/>
  <c r="T1757" i="1" a="1"/>
  <c r="T1757" i="1" s="1"/>
  <c r="T1758" i="1" a="1"/>
  <c r="T1758" i="1" s="1"/>
  <c r="T1759" i="1" a="1"/>
  <c r="T1759" i="1" s="1"/>
  <c r="T1760" i="1" a="1"/>
  <c r="T1760" i="1" s="1"/>
  <c r="T1761" i="1" a="1"/>
  <c r="T1761" i="1" s="1"/>
  <c r="T1762" i="1" a="1"/>
  <c r="T1762" i="1" s="1"/>
  <c r="T1763" i="1" a="1"/>
  <c r="T1763" i="1" s="1"/>
  <c r="T1764" i="1" a="1"/>
  <c r="T1764" i="1" s="1"/>
  <c r="T1765" i="1" a="1"/>
  <c r="T1765" i="1" s="1"/>
  <c r="T1766" i="1" a="1"/>
  <c r="T1766" i="1" s="1"/>
  <c r="T1767" i="1" a="1"/>
  <c r="T1767" i="1" s="1"/>
  <c r="T1768" i="1" a="1"/>
  <c r="T1768" i="1" s="1"/>
  <c r="T1769" i="1" a="1"/>
  <c r="T1769" i="1" s="1"/>
  <c r="T1770" i="1" a="1"/>
  <c r="T1770" i="1" s="1"/>
  <c r="T1771" i="1" a="1"/>
  <c r="T1771" i="1" s="1"/>
  <c r="T1772" i="1" a="1"/>
  <c r="T1772" i="1" s="1"/>
  <c r="T1773" i="1" a="1"/>
  <c r="T1773" i="1" s="1"/>
  <c r="T1774" i="1" a="1"/>
  <c r="T1774" i="1" s="1"/>
  <c r="T1775" i="1" a="1"/>
  <c r="T1775" i="1" s="1"/>
  <c r="T1776" i="1" a="1"/>
  <c r="T1776" i="1" s="1"/>
  <c r="T1777" i="1" a="1"/>
  <c r="T1777" i="1" s="1"/>
  <c r="T1778" i="1" a="1"/>
  <c r="T1778" i="1" s="1"/>
  <c r="T1779" i="1" a="1"/>
  <c r="T1779" i="1" s="1"/>
  <c r="T1780" i="1" a="1"/>
  <c r="T1780" i="1" s="1"/>
  <c r="T1781" i="1" a="1"/>
  <c r="T1781" i="1" s="1"/>
  <c r="T1782" i="1" a="1"/>
  <c r="T1782" i="1" s="1"/>
  <c r="T1783" i="1" a="1"/>
  <c r="T1783" i="1" s="1"/>
  <c r="T1784" i="1" a="1"/>
  <c r="T1784" i="1" s="1"/>
  <c r="T1785" i="1" a="1"/>
  <c r="T1785" i="1" s="1"/>
  <c r="T1786" i="1" a="1"/>
  <c r="T1786" i="1" s="1"/>
  <c r="T1787" i="1" a="1"/>
  <c r="T1787" i="1" s="1"/>
  <c r="T1788" i="1" a="1"/>
  <c r="T1788" i="1" s="1"/>
  <c r="T1789" i="1" a="1"/>
  <c r="T1789" i="1" s="1"/>
  <c r="T1790" i="1" a="1"/>
  <c r="T1790" i="1" s="1"/>
  <c r="T1791" i="1" a="1"/>
  <c r="T1791" i="1" s="1"/>
  <c r="T1792" i="1" a="1"/>
  <c r="T1792" i="1" s="1"/>
  <c r="T1793" i="1" a="1"/>
  <c r="T1793" i="1" s="1"/>
  <c r="T1794" i="1" a="1"/>
  <c r="T1794" i="1" s="1"/>
  <c r="T1795" i="1" a="1"/>
  <c r="T1795" i="1" s="1"/>
  <c r="T1796" i="1" a="1"/>
  <c r="T1796" i="1" s="1"/>
  <c r="T1797" i="1" a="1"/>
  <c r="T1797" i="1" s="1"/>
  <c r="T1798" i="1" a="1"/>
  <c r="T1798" i="1" s="1"/>
  <c r="T1799" i="1" a="1"/>
  <c r="T1799" i="1" s="1"/>
  <c r="T1800" i="1" a="1"/>
  <c r="T1800" i="1" s="1"/>
  <c r="T1801" i="1" a="1"/>
  <c r="T1801" i="1" s="1"/>
  <c r="T1802" i="1" a="1"/>
  <c r="T1802" i="1" s="1"/>
  <c r="T1803" i="1" a="1"/>
  <c r="T1803" i="1" s="1"/>
  <c r="T1804" i="1" a="1"/>
  <c r="T1804" i="1" s="1"/>
  <c r="T1805" i="1" a="1"/>
  <c r="T1805" i="1" s="1"/>
  <c r="T1806" i="1" a="1"/>
  <c r="T1806" i="1" s="1"/>
  <c r="T1807" i="1" a="1"/>
  <c r="T1807" i="1" s="1"/>
  <c r="T1808" i="1" a="1"/>
  <c r="T1808" i="1" s="1"/>
  <c r="T1809" i="1" a="1"/>
  <c r="T1809" i="1" s="1"/>
  <c r="T1810" i="1" a="1"/>
  <c r="T1810" i="1" s="1"/>
  <c r="T1811" i="1" a="1"/>
  <c r="T1811" i="1" s="1"/>
  <c r="T1812" i="1" a="1"/>
  <c r="T1812" i="1" s="1"/>
  <c r="T1813" i="1" a="1"/>
  <c r="T1813" i="1" s="1"/>
  <c r="T1814" i="1" a="1"/>
  <c r="T1814" i="1" s="1"/>
  <c r="T1815" i="1" a="1"/>
  <c r="T1815" i="1" s="1"/>
  <c r="T1816" i="1" a="1"/>
  <c r="T1816" i="1" s="1"/>
  <c r="T1817" i="1" a="1"/>
  <c r="T1817" i="1" s="1"/>
  <c r="T1818" i="1" a="1"/>
  <c r="T1818" i="1" s="1"/>
  <c r="T1819" i="1" a="1"/>
  <c r="T1819" i="1" s="1"/>
  <c r="T1820" i="1" a="1"/>
  <c r="T1820" i="1" s="1"/>
  <c r="T1821" i="1" a="1"/>
  <c r="T1821" i="1" s="1"/>
  <c r="T1822" i="1" a="1"/>
  <c r="T1822" i="1" s="1"/>
  <c r="T1823" i="1" a="1"/>
  <c r="T1823" i="1" s="1"/>
  <c r="T1824" i="1" a="1"/>
  <c r="T1824" i="1" s="1"/>
  <c r="T1825" i="1" a="1"/>
  <c r="T1825" i="1" s="1"/>
  <c r="T1826" i="1" a="1"/>
  <c r="T1826" i="1" s="1"/>
  <c r="T1827" i="1" a="1"/>
  <c r="T1827" i="1" s="1"/>
  <c r="T1828" i="1" a="1"/>
  <c r="T1828" i="1" s="1"/>
  <c r="T1829" i="1" a="1"/>
  <c r="T1829" i="1" s="1"/>
  <c r="T1830" i="1" a="1"/>
  <c r="T1830" i="1" s="1"/>
  <c r="T1831" i="1" a="1"/>
  <c r="T1831" i="1" s="1"/>
  <c r="T1832" i="1" a="1"/>
  <c r="T1832" i="1" s="1"/>
  <c r="T1833" i="1" a="1"/>
  <c r="T1833" i="1" s="1"/>
  <c r="T1834" i="1" a="1"/>
  <c r="T1834" i="1" s="1"/>
  <c r="T1835" i="1" a="1"/>
  <c r="T1835" i="1" s="1"/>
  <c r="T1836" i="1" a="1"/>
  <c r="T1836" i="1" s="1"/>
  <c r="T1837" i="1" a="1"/>
  <c r="T1837" i="1" s="1"/>
  <c r="T1838" i="1" a="1"/>
  <c r="T1838" i="1" s="1"/>
  <c r="T1839" i="1" a="1"/>
  <c r="T1839" i="1" s="1"/>
  <c r="T1840" i="1" a="1"/>
  <c r="T1840" i="1" s="1"/>
  <c r="T1841" i="1" a="1"/>
  <c r="T1841" i="1" s="1"/>
  <c r="T1842" i="1" a="1"/>
  <c r="T1842" i="1" s="1"/>
  <c r="T1843" i="1" a="1"/>
  <c r="T1843" i="1" s="1"/>
  <c r="T1844" i="1" a="1"/>
  <c r="T1844" i="1" s="1"/>
  <c r="T1845" i="1" a="1"/>
  <c r="T1845" i="1" s="1"/>
  <c r="T1846" i="1" a="1"/>
  <c r="T1846" i="1" s="1"/>
  <c r="T1847" i="1" a="1"/>
  <c r="T1847" i="1" s="1"/>
  <c r="T1848" i="1" a="1"/>
  <c r="T1848" i="1" s="1"/>
  <c r="T1849" i="1" a="1"/>
  <c r="T1849" i="1" s="1"/>
  <c r="T1850" i="1" a="1"/>
  <c r="T1850" i="1" s="1"/>
  <c r="T1851" i="1" a="1"/>
  <c r="T1851" i="1" s="1"/>
  <c r="T1852" i="1" a="1"/>
  <c r="T1852" i="1" s="1"/>
  <c r="T1853" i="1" a="1"/>
  <c r="T1853" i="1" s="1"/>
  <c r="T1854" i="1" a="1"/>
  <c r="T1854" i="1" s="1"/>
  <c r="T1855" i="1" a="1"/>
  <c r="T1855" i="1" s="1"/>
  <c r="T1856" i="1" a="1"/>
  <c r="T1856" i="1" s="1"/>
  <c r="T1857" i="1" a="1"/>
  <c r="T1857" i="1" s="1"/>
  <c r="T1858" i="1" a="1"/>
  <c r="T1858" i="1" s="1"/>
  <c r="T1859" i="1" a="1"/>
  <c r="T1859" i="1" s="1"/>
  <c r="T1860" i="1" a="1"/>
  <c r="T1860" i="1" s="1"/>
  <c r="T1861" i="1" a="1"/>
  <c r="T1861" i="1" s="1"/>
  <c r="T1862" i="1" a="1"/>
  <c r="T1862" i="1" s="1"/>
  <c r="T1863" i="1" a="1"/>
  <c r="T1863" i="1" s="1"/>
  <c r="T1864" i="1" a="1"/>
  <c r="T1864" i="1" s="1"/>
  <c r="T1865" i="1" a="1"/>
  <c r="T1865" i="1" s="1"/>
  <c r="T1866" i="1" a="1"/>
  <c r="T1866" i="1" s="1"/>
  <c r="T1867" i="1" a="1"/>
  <c r="T1867" i="1" s="1"/>
  <c r="T1868" i="1" a="1"/>
  <c r="T1868" i="1" s="1"/>
  <c r="T1869" i="1" a="1"/>
  <c r="T1869" i="1" s="1"/>
  <c r="T1870" i="1" a="1"/>
  <c r="T1870" i="1" s="1"/>
  <c r="T1871" i="1" a="1"/>
  <c r="T1871" i="1" s="1"/>
  <c r="T1872" i="1" a="1"/>
  <c r="T1872" i="1" s="1"/>
  <c r="T1873" i="1" a="1"/>
  <c r="T1873" i="1" s="1"/>
  <c r="T1874" i="1" a="1"/>
  <c r="T1874" i="1" s="1"/>
  <c r="T1875" i="1" a="1"/>
  <c r="T1875" i="1" s="1"/>
  <c r="T1876" i="1" a="1"/>
  <c r="T1876" i="1" s="1"/>
  <c r="T1877" i="1" a="1"/>
  <c r="T1877" i="1" s="1"/>
  <c r="T1878" i="1" a="1"/>
  <c r="T1878" i="1" s="1"/>
  <c r="T1879" i="1" a="1"/>
  <c r="T1879" i="1" s="1"/>
  <c r="T1880" i="1" a="1"/>
  <c r="T1880" i="1" s="1"/>
  <c r="T1881" i="1" a="1"/>
  <c r="T1881" i="1" s="1"/>
  <c r="T1882" i="1" a="1"/>
  <c r="T1882" i="1" s="1"/>
  <c r="T1883" i="1" a="1"/>
  <c r="T1883" i="1" s="1"/>
  <c r="T1884" i="1" a="1"/>
  <c r="T1884" i="1" s="1"/>
  <c r="T1885" i="1" a="1"/>
  <c r="T1885" i="1" s="1"/>
  <c r="T1886" i="1" a="1"/>
  <c r="T1886" i="1" s="1"/>
  <c r="T1887" i="1" a="1"/>
  <c r="T1887" i="1" s="1"/>
  <c r="T1888" i="1" a="1"/>
  <c r="T1888" i="1" s="1"/>
  <c r="T1889" i="1" a="1"/>
  <c r="T1889" i="1" s="1"/>
  <c r="T1890" i="1" a="1"/>
  <c r="T1890" i="1" s="1"/>
  <c r="T1891" i="1" a="1"/>
  <c r="T1891" i="1" s="1"/>
  <c r="T1892" i="1" a="1"/>
  <c r="T1892" i="1" s="1"/>
  <c r="T1893" i="1" a="1"/>
  <c r="T1893" i="1" s="1"/>
  <c r="T1894" i="1" a="1"/>
  <c r="T1894" i="1" s="1"/>
  <c r="T1895" i="1" a="1"/>
  <c r="T1895" i="1" s="1"/>
  <c r="T1896" i="1" a="1"/>
  <c r="T1896" i="1" s="1"/>
  <c r="T1897" i="1" a="1"/>
  <c r="T1897" i="1" s="1"/>
  <c r="T1898" i="1" a="1"/>
  <c r="T1898" i="1" s="1"/>
  <c r="T1899" i="1" a="1"/>
  <c r="T1899" i="1" s="1"/>
  <c r="T1900" i="1" a="1"/>
  <c r="T1900" i="1" s="1"/>
  <c r="T1901" i="1" a="1"/>
  <c r="T1901" i="1" s="1"/>
  <c r="T1902" i="1" a="1"/>
  <c r="T1902" i="1" s="1"/>
  <c r="T1903" i="1" a="1"/>
  <c r="T1903" i="1" s="1"/>
  <c r="T1904" i="1" a="1"/>
  <c r="T1904" i="1" s="1"/>
  <c r="T1905" i="1" a="1"/>
  <c r="T1905" i="1" s="1"/>
  <c r="T1906" i="1" a="1"/>
  <c r="T1906" i="1" s="1"/>
  <c r="T1907" i="1" a="1"/>
  <c r="T1907" i="1" s="1"/>
  <c r="T1908" i="1" a="1"/>
  <c r="T1908" i="1" s="1"/>
  <c r="T1909" i="1" a="1"/>
  <c r="T1909" i="1" s="1"/>
  <c r="T1910" i="1" a="1"/>
  <c r="T1910" i="1" s="1"/>
  <c r="T1911" i="1" a="1"/>
  <c r="T1911" i="1" s="1"/>
  <c r="T1912" i="1" a="1"/>
  <c r="T1912" i="1" s="1"/>
  <c r="T1913" i="1" a="1"/>
  <c r="T1913" i="1" s="1"/>
  <c r="T1914" i="1" a="1"/>
  <c r="T1914" i="1" s="1"/>
  <c r="T1915" i="1" a="1"/>
  <c r="T1915" i="1" s="1"/>
  <c r="T1916" i="1" a="1"/>
  <c r="T1916" i="1" s="1"/>
  <c r="T1917" i="1" a="1"/>
  <c r="T1917" i="1" s="1"/>
  <c r="T1918" i="1" a="1"/>
  <c r="T1918" i="1" s="1"/>
  <c r="T1919" i="1" a="1"/>
  <c r="T1919" i="1" s="1"/>
  <c r="T1920" i="1" a="1"/>
  <c r="T1920" i="1" s="1"/>
  <c r="T1921" i="1" a="1"/>
  <c r="T1921" i="1" s="1"/>
  <c r="T1922" i="1" a="1"/>
  <c r="T1922" i="1" s="1"/>
  <c r="T1923" i="1" a="1"/>
  <c r="T1923" i="1" s="1"/>
  <c r="T1924" i="1" a="1"/>
  <c r="T1924" i="1" s="1"/>
  <c r="T1925" i="1" a="1"/>
  <c r="T1925" i="1" s="1"/>
  <c r="T1926" i="1" a="1"/>
  <c r="T1926" i="1" s="1"/>
  <c r="T1927" i="1" a="1"/>
  <c r="T1927" i="1" s="1"/>
  <c r="T1928" i="1" a="1"/>
  <c r="T1928" i="1" s="1"/>
  <c r="T1929" i="1" a="1"/>
  <c r="T1929" i="1" s="1"/>
  <c r="T1930" i="1" a="1"/>
  <c r="T1930" i="1" s="1"/>
  <c r="T1931" i="1" a="1"/>
  <c r="T1931" i="1" s="1"/>
  <c r="T1932" i="1" a="1"/>
  <c r="T1932" i="1" s="1"/>
  <c r="T1933" i="1" a="1"/>
  <c r="T1933" i="1" s="1"/>
  <c r="T1934" i="1" a="1"/>
  <c r="T1934" i="1" s="1"/>
  <c r="T1935" i="1" a="1"/>
  <c r="T1935" i="1" s="1"/>
  <c r="T1936" i="1" a="1"/>
  <c r="T1936" i="1" s="1"/>
  <c r="T1937" i="1" a="1"/>
  <c r="T1937" i="1" s="1"/>
  <c r="T1938" i="1" a="1"/>
  <c r="T1938" i="1" s="1"/>
  <c r="T1939" i="1" a="1"/>
  <c r="T1939" i="1" s="1"/>
  <c r="T1940" i="1" a="1"/>
  <c r="T1940" i="1" s="1"/>
  <c r="T1941" i="1" a="1"/>
  <c r="T1941" i="1" s="1"/>
  <c r="T1942" i="1" a="1"/>
  <c r="T1942" i="1" s="1"/>
  <c r="T1943" i="1" a="1"/>
  <c r="T1943" i="1" s="1"/>
  <c r="T1944" i="1" a="1"/>
  <c r="T1944" i="1" s="1"/>
  <c r="T1945" i="1" a="1"/>
  <c r="T1945" i="1" s="1"/>
  <c r="T1946" i="1" a="1"/>
  <c r="T1946" i="1" s="1"/>
  <c r="T1947" i="1" a="1"/>
  <c r="T1947" i="1" s="1"/>
  <c r="T1948" i="1" a="1"/>
  <c r="T1948" i="1" s="1"/>
  <c r="T1949" i="1" a="1"/>
  <c r="T1949" i="1" s="1"/>
  <c r="T1950" i="1" a="1"/>
  <c r="T1950" i="1" s="1"/>
  <c r="T1951" i="1" a="1"/>
  <c r="T1951" i="1" s="1"/>
  <c r="T1952" i="1" a="1"/>
  <c r="T1952" i="1" s="1"/>
  <c r="T1953" i="1" a="1"/>
  <c r="T1953" i="1" s="1"/>
  <c r="T1954" i="1" a="1"/>
  <c r="T1954" i="1" s="1"/>
  <c r="T1955" i="1" a="1"/>
  <c r="T1955" i="1" s="1"/>
  <c r="T1956" i="1" a="1"/>
  <c r="T1956" i="1" s="1"/>
  <c r="T1957" i="1" a="1"/>
  <c r="T1957" i="1" s="1"/>
  <c r="T1958" i="1" a="1"/>
  <c r="T1958" i="1" s="1"/>
  <c r="T1959" i="1" a="1"/>
  <c r="T1959" i="1" s="1"/>
  <c r="T1960" i="1" a="1"/>
  <c r="T1960" i="1" s="1"/>
  <c r="T1961" i="1" a="1"/>
  <c r="T1961" i="1" s="1"/>
  <c r="T1962" i="1" a="1"/>
  <c r="T1962" i="1" s="1"/>
  <c r="T1963" i="1" a="1"/>
  <c r="T1963" i="1" s="1"/>
  <c r="T1964" i="1" a="1"/>
  <c r="T1964" i="1" s="1"/>
  <c r="T1965" i="1" a="1"/>
  <c r="T1965" i="1" s="1"/>
  <c r="T1966" i="1" a="1"/>
  <c r="T1966" i="1" s="1"/>
  <c r="T1967" i="1" a="1"/>
  <c r="T1967" i="1" s="1"/>
  <c r="T1968" i="1" a="1"/>
  <c r="T1968" i="1" s="1"/>
  <c r="T1969" i="1" a="1"/>
  <c r="T1969" i="1" s="1"/>
  <c r="T1970" i="1" a="1"/>
  <c r="T1970" i="1" s="1"/>
  <c r="T1971" i="1" a="1"/>
  <c r="T1971" i="1" s="1"/>
  <c r="T1972" i="1" a="1"/>
  <c r="T1972" i="1" s="1"/>
  <c r="T1973" i="1" a="1"/>
  <c r="T1973" i="1" s="1"/>
  <c r="T1974" i="1" a="1"/>
  <c r="T1974" i="1" s="1"/>
  <c r="T1975" i="1" a="1"/>
  <c r="T1975" i="1" s="1"/>
  <c r="T1976" i="1" a="1"/>
  <c r="T1976" i="1" s="1"/>
  <c r="T1977" i="1" a="1"/>
  <c r="T1977" i="1" s="1"/>
  <c r="T1978" i="1" a="1"/>
  <c r="T1978" i="1" s="1"/>
  <c r="T1979" i="1" a="1"/>
  <c r="T1979" i="1" s="1"/>
  <c r="T1980" i="1" a="1"/>
  <c r="T1980" i="1" s="1"/>
  <c r="T1981" i="1" a="1"/>
  <c r="T1981" i="1" s="1"/>
  <c r="T1982" i="1" a="1"/>
  <c r="T1982" i="1" s="1"/>
  <c r="T1983" i="1" a="1"/>
  <c r="T1983" i="1" s="1"/>
  <c r="T1984" i="1" a="1"/>
  <c r="T1984" i="1" s="1"/>
  <c r="T1985" i="1" a="1"/>
  <c r="T1985" i="1" s="1"/>
  <c r="T1986" i="1" a="1"/>
  <c r="T1986" i="1" s="1"/>
  <c r="T1987" i="1" a="1"/>
  <c r="T1987" i="1" s="1"/>
  <c r="T1988" i="1" a="1"/>
  <c r="T1988" i="1" s="1"/>
  <c r="T1989" i="1" a="1"/>
  <c r="T1989" i="1" s="1"/>
  <c r="T1990" i="1" a="1"/>
  <c r="T1990" i="1" s="1"/>
  <c r="T1991" i="1" a="1"/>
  <c r="T1991" i="1" s="1"/>
  <c r="T1992" i="1" a="1"/>
  <c r="T1992" i="1" s="1"/>
  <c r="T1993" i="1" a="1"/>
  <c r="T1993" i="1" s="1"/>
  <c r="T1994" i="1" a="1"/>
  <c r="T1994" i="1" s="1"/>
  <c r="T1995" i="1" a="1"/>
  <c r="T1995" i="1" s="1"/>
  <c r="T1996" i="1" a="1"/>
  <c r="T1996" i="1" s="1"/>
  <c r="T1997" i="1" a="1"/>
  <c r="T1997" i="1" s="1"/>
  <c r="T1998" i="1" a="1"/>
  <c r="T1998" i="1" s="1"/>
  <c r="T1999" i="1" a="1"/>
  <c r="T1999" i="1" s="1"/>
  <c r="T2000" i="1" a="1"/>
  <c r="T2000" i="1" s="1"/>
  <c r="T2" i="1" a="1"/>
  <c r="T2" i="1" s="1"/>
  <c r="X4" i="1"/>
  <c r="X3" i="1"/>
  <c r="X2" i="1"/>
  <c r="S3" i="1" l="1" a="1"/>
  <c r="S3" i="1" s="1"/>
  <c r="S4" i="1" a="1"/>
  <c r="S4" i="1" s="1"/>
  <c r="S5" i="1" a="1"/>
  <c r="S5" i="1" s="1"/>
  <c r="S6" i="1" a="1"/>
  <c r="S6" i="1" s="1"/>
  <c r="S7" i="1" a="1"/>
  <c r="S7" i="1" s="1"/>
  <c r="S8" i="1" a="1"/>
  <c r="S8" i="1" s="1"/>
  <c r="S9" i="1" a="1"/>
  <c r="S9" i="1" s="1"/>
  <c r="S10" i="1" a="1"/>
  <c r="S10" i="1"/>
  <c r="S11" i="1" a="1"/>
  <c r="S11" i="1" s="1"/>
  <c r="S12" i="1" a="1"/>
  <c r="S12" i="1" s="1"/>
  <c r="S13" i="1" a="1"/>
  <c r="S13" i="1" s="1"/>
  <c r="S14" i="1" a="1"/>
  <c r="S14" i="1" s="1"/>
  <c r="S15" i="1" a="1"/>
  <c r="S15" i="1" s="1"/>
  <c r="S16" i="1" a="1"/>
  <c r="S16" i="1" s="1"/>
  <c r="S17" i="1" a="1"/>
  <c r="S17" i="1" s="1"/>
  <c r="S18" i="1" a="1"/>
  <c r="S18" i="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c r="S155" i="1" a="1"/>
  <c r="S155" i="1" s="1"/>
  <c r="S156" i="1" a="1"/>
  <c r="S156" i="1" s="1"/>
  <c r="S157" i="1" a="1"/>
  <c r="S157" i="1" s="1"/>
  <c r="S158" i="1" a="1"/>
  <c r="S158" i="1" s="1"/>
  <c r="S159" i="1" a="1"/>
  <c r="S159" i="1" s="1"/>
  <c r="S160" i="1" a="1"/>
  <c r="S160" i="1" s="1"/>
  <c r="S161" i="1" a="1"/>
  <c r="S161" i="1" s="1"/>
  <c r="S162" i="1" a="1"/>
  <c r="S162" i="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36" i="1" a="1"/>
  <c r="S336" i="1" s="1"/>
  <c r="S337" i="1" a="1"/>
  <c r="S337" i="1" s="1"/>
  <c r="S338" i="1" a="1"/>
  <c r="S338" i="1" s="1"/>
  <c r="S339" i="1" a="1"/>
  <c r="S339" i="1" s="1"/>
  <c r="S340" i="1" a="1"/>
  <c r="S340" i="1" s="1"/>
  <c r="S341" i="1" a="1"/>
  <c r="S341" i="1" s="1"/>
  <c r="S342" i="1" a="1"/>
  <c r="S342" i="1" s="1"/>
  <c r="S343" i="1" a="1"/>
  <c r="S343" i="1" s="1"/>
  <c r="S344" i="1" a="1"/>
  <c r="S344" i="1" s="1"/>
  <c r="S345" i="1" a="1"/>
  <c r="S345" i="1" s="1"/>
  <c r="S346" i="1" a="1"/>
  <c r="S346" i="1" s="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s="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s="1"/>
  <c r="S375" i="1" a="1"/>
  <c r="S375" i="1" s="1"/>
  <c r="S376" i="1" a="1"/>
  <c r="S376" i="1" s="1"/>
  <c r="S377" i="1" a="1"/>
  <c r="S377" i="1" s="1"/>
  <c r="S378" i="1" a="1"/>
  <c r="S378" i="1" s="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s="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s="1"/>
  <c r="S407" i="1" a="1"/>
  <c r="S407" i="1" s="1"/>
  <c r="S408" i="1" a="1"/>
  <c r="S408" i="1" s="1"/>
  <c r="S409" i="1" a="1"/>
  <c r="S409" i="1" s="1"/>
  <c r="S410" i="1" a="1"/>
  <c r="S410" i="1" s="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s="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s="1"/>
  <c r="S439" i="1" a="1"/>
  <c r="S439" i="1" s="1"/>
  <c r="S440" i="1" a="1"/>
  <c r="S440" i="1" s="1"/>
  <c r="S441" i="1" a="1"/>
  <c r="S441" i="1" s="1"/>
  <c r="S442" i="1" a="1"/>
  <c r="S442" i="1" s="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s="1"/>
  <c r="S471" i="1" a="1"/>
  <c r="S471" i="1" s="1"/>
  <c r="S472" i="1" a="1"/>
  <c r="S472" i="1" s="1"/>
  <c r="S473" i="1" a="1"/>
  <c r="S473" i="1" s="1"/>
  <c r="S474" i="1" a="1"/>
  <c r="S474" i="1" s="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s="1"/>
  <c r="S503" i="1" a="1"/>
  <c r="S503" i="1" s="1"/>
  <c r="S504" i="1" a="1"/>
  <c r="S504" i="1" s="1"/>
  <c r="S505" i="1" a="1"/>
  <c r="S505" i="1" s="1"/>
  <c r="S506" i="1" a="1"/>
  <c r="S506" i="1" s="1"/>
  <c r="S507" i="1" a="1"/>
  <c r="S507" i="1" s="1"/>
  <c r="S508" i="1" a="1"/>
  <c r="S508" i="1" s="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s="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s="1"/>
  <c r="S535" i="1" a="1"/>
  <c r="S535" i="1" s="1"/>
  <c r="S536" i="1" a="1"/>
  <c r="S536" i="1" s="1"/>
  <c r="S537" i="1" a="1"/>
  <c r="S537" i="1" s="1"/>
  <c r="S538" i="1" a="1"/>
  <c r="S538" i="1" s="1"/>
  <c r="S539" i="1" a="1"/>
  <c r="S539" i="1" s="1"/>
  <c r="S540" i="1" a="1"/>
  <c r="S540" i="1" s="1"/>
  <c r="S541" i="1" a="1"/>
  <c r="S541" i="1" s="1"/>
  <c r="S542" i="1" a="1"/>
  <c r="S542" i="1" s="1"/>
  <c r="S543" i="1" a="1"/>
  <c r="S543" i="1" s="1"/>
  <c r="S544" i="1" a="1"/>
  <c r="S544" i="1" s="1"/>
  <c r="S545" i="1" a="1"/>
  <c r="S545" i="1" s="1"/>
  <c r="S546" i="1" a="1"/>
  <c r="S546" i="1" s="1"/>
  <c r="S547" i="1" a="1"/>
  <c r="S547" i="1" s="1"/>
  <c r="S548" i="1" a="1"/>
  <c r="S548" i="1" s="1"/>
  <c r="S549" i="1" a="1"/>
  <c r="S549" i="1" s="1"/>
  <c r="S550" i="1" a="1"/>
  <c r="S550" i="1" s="1"/>
  <c r="S551" i="1" a="1"/>
  <c r="S551" i="1" s="1"/>
  <c r="S552" i="1" a="1"/>
  <c r="S552" i="1" s="1"/>
  <c r="S553" i="1" a="1"/>
  <c r="S553" i="1" s="1"/>
  <c r="S554" i="1" a="1"/>
  <c r="S554" i="1" s="1"/>
  <c r="S555" i="1" a="1"/>
  <c r="S555" i="1" s="1"/>
  <c r="S556" i="1" a="1"/>
  <c r="S556" i="1" s="1"/>
  <c r="S557" i="1" a="1"/>
  <c r="S557" i="1" s="1"/>
  <c r="S558" i="1" a="1"/>
  <c r="S558" i="1" s="1"/>
  <c r="S559" i="1" a="1"/>
  <c r="S559" i="1" s="1"/>
  <c r="S560" i="1" a="1"/>
  <c r="S560" i="1" s="1"/>
  <c r="S561" i="1" a="1"/>
  <c r="S561" i="1" s="1"/>
  <c r="S562" i="1" a="1"/>
  <c r="S562" i="1" s="1"/>
  <c r="S563" i="1" a="1"/>
  <c r="S563" i="1" s="1"/>
  <c r="S564" i="1" a="1"/>
  <c r="S564" i="1" s="1"/>
  <c r="S565" i="1" a="1"/>
  <c r="S565" i="1" s="1"/>
  <c r="S566" i="1" a="1"/>
  <c r="S566" i="1" s="1"/>
  <c r="S567" i="1" a="1"/>
  <c r="S567" i="1" s="1"/>
  <c r="S568" i="1" a="1"/>
  <c r="S568" i="1" s="1"/>
  <c r="S569" i="1" a="1"/>
  <c r="S569" i="1" s="1"/>
  <c r="S570" i="1" a="1"/>
  <c r="S570" i="1" s="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s="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s="1"/>
  <c r="S599" i="1" a="1"/>
  <c r="S599" i="1" s="1"/>
  <c r="S600" i="1" a="1"/>
  <c r="S600" i="1" s="1"/>
  <c r="S601" i="1" a="1"/>
  <c r="S601" i="1" s="1"/>
  <c r="S602" i="1" a="1"/>
  <c r="S602" i="1" s="1"/>
  <c r="S603" i="1" a="1"/>
  <c r="S603" i="1" s="1"/>
  <c r="S604" i="1" a="1"/>
  <c r="S604" i="1" s="1"/>
  <c r="S605" i="1" a="1"/>
  <c r="S605" i="1" s="1"/>
  <c r="S606" i="1" a="1"/>
  <c r="S606" i="1" s="1"/>
  <c r="S607" i="1" a="1"/>
  <c r="S607" i="1" s="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s="1"/>
  <c r="S623" i="1" a="1"/>
  <c r="S623" i="1" s="1"/>
  <c r="S624" i="1" a="1"/>
  <c r="S624" i="1" s="1"/>
  <c r="S625" i="1" a="1"/>
  <c r="S625" i="1" s="1"/>
  <c r="S626" i="1" a="1"/>
  <c r="S626" i="1" s="1"/>
  <c r="S627" i="1" a="1"/>
  <c r="S627" i="1" s="1"/>
  <c r="S628" i="1" a="1"/>
  <c r="S628" i="1" s="1"/>
  <c r="S629" i="1" a="1"/>
  <c r="S629" i="1" s="1"/>
  <c r="S630" i="1" a="1"/>
  <c r="S630" i="1" s="1"/>
  <c r="S631" i="1" a="1"/>
  <c r="S631" i="1" s="1"/>
  <c r="S632" i="1" a="1"/>
  <c r="S632" i="1" s="1"/>
  <c r="S633" i="1" a="1"/>
  <c r="S633" i="1" s="1"/>
  <c r="S634" i="1" a="1"/>
  <c r="S634" i="1" s="1"/>
  <c r="S635" i="1" a="1"/>
  <c r="S635" i="1" s="1"/>
  <c r="S636" i="1" a="1"/>
  <c r="S636" i="1" s="1"/>
  <c r="S637" i="1" a="1"/>
  <c r="S637" i="1" s="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s="1"/>
  <c r="S649" i="1" a="1"/>
  <c r="S649" i="1" s="1"/>
  <c r="S650" i="1" a="1"/>
  <c r="S650" i="1" s="1"/>
  <c r="S651" i="1" a="1"/>
  <c r="S651" i="1" s="1"/>
  <c r="S652" i="1" a="1"/>
  <c r="S652" i="1" s="1"/>
  <c r="S653" i="1" a="1"/>
  <c r="S653" i="1" s="1"/>
  <c r="S654" i="1" a="1"/>
  <c r="S654" i="1" s="1"/>
  <c r="S655" i="1" a="1"/>
  <c r="S655" i="1" s="1"/>
  <c r="S656" i="1" a="1"/>
  <c r="S656" i="1" s="1"/>
  <c r="S657" i="1" a="1"/>
  <c r="S657" i="1" s="1"/>
  <c r="S658" i="1" a="1"/>
  <c r="S658" i="1" s="1"/>
  <c r="S659" i="1" a="1"/>
  <c r="S659" i="1" s="1"/>
  <c r="S660" i="1" a="1"/>
  <c r="S660" i="1" s="1"/>
  <c r="S661" i="1" a="1"/>
  <c r="S661" i="1" s="1"/>
  <c r="S662" i="1" a="1"/>
  <c r="S662" i="1" s="1"/>
  <c r="S663" i="1" a="1"/>
  <c r="S663" i="1" s="1"/>
  <c r="S664" i="1" a="1"/>
  <c r="S664" i="1" s="1"/>
  <c r="S665" i="1" a="1"/>
  <c r="S665" i="1" s="1"/>
  <c r="S666" i="1" a="1"/>
  <c r="S666" i="1" s="1"/>
  <c r="S667" i="1" a="1"/>
  <c r="S667" i="1" s="1"/>
  <c r="S668" i="1" a="1"/>
  <c r="S668" i="1" s="1"/>
  <c r="S669" i="1" a="1"/>
  <c r="S669" i="1" s="1"/>
  <c r="S670" i="1" a="1"/>
  <c r="S670" i="1" s="1"/>
  <c r="S671" i="1" a="1"/>
  <c r="S671" i="1" s="1"/>
  <c r="S672" i="1" a="1"/>
  <c r="S672" i="1" s="1"/>
  <c r="S673" i="1" a="1"/>
  <c r="S673" i="1" s="1"/>
  <c r="S674" i="1" a="1"/>
  <c r="S674" i="1" s="1"/>
  <c r="S675" i="1" a="1"/>
  <c r="S675" i="1" s="1"/>
  <c r="S676" i="1" a="1"/>
  <c r="S676" i="1" s="1"/>
  <c r="S677" i="1" a="1"/>
  <c r="S677" i="1" s="1"/>
  <c r="S678" i="1" a="1"/>
  <c r="S678" i="1" s="1"/>
  <c r="S679" i="1" a="1"/>
  <c r="S679" i="1" s="1"/>
  <c r="S680" i="1" a="1"/>
  <c r="S680" i="1" s="1"/>
  <c r="S681" i="1" a="1"/>
  <c r="S681" i="1" s="1"/>
  <c r="S682" i="1" a="1"/>
  <c r="S682" i="1" s="1"/>
  <c r="S683" i="1" a="1"/>
  <c r="S683" i="1" s="1"/>
  <c r="S684" i="1" a="1"/>
  <c r="S684" i="1" s="1"/>
  <c r="S685" i="1" a="1"/>
  <c r="S685" i="1" s="1"/>
  <c r="S686" i="1" a="1"/>
  <c r="S686" i="1" s="1"/>
  <c r="S687" i="1" a="1"/>
  <c r="S687" i="1" s="1"/>
  <c r="S688" i="1" a="1"/>
  <c r="S688" i="1" s="1"/>
  <c r="S689" i="1" a="1"/>
  <c r="S689" i="1" s="1"/>
  <c r="S690" i="1" a="1"/>
  <c r="S690" i="1" s="1"/>
  <c r="S691" i="1" a="1"/>
  <c r="S691" i="1" s="1"/>
  <c r="S692" i="1" a="1"/>
  <c r="S692" i="1" s="1"/>
  <c r="S693" i="1" a="1"/>
  <c r="S693" i="1" s="1"/>
  <c r="S694" i="1" a="1"/>
  <c r="S694" i="1" s="1"/>
  <c r="S695" i="1" a="1"/>
  <c r="S695" i="1" s="1"/>
  <c r="S696" i="1" a="1"/>
  <c r="S696" i="1" s="1"/>
  <c r="S697" i="1" a="1"/>
  <c r="S697" i="1" s="1"/>
  <c r="S698" i="1" a="1"/>
  <c r="S698" i="1" s="1"/>
  <c r="S699" i="1" a="1"/>
  <c r="S699" i="1" s="1"/>
  <c r="S700" i="1" a="1"/>
  <c r="S700" i="1" s="1"/>
  <c r="S701" i="1" a="1"/>
  <c r="S701" i="1" s="1"/>
  <c r="S702" i="1" a="1"/>
  <c r="S702" i="1" s="1"/>
  <c r="S703" i="1" a="1"/>
  <c r="S703" i="1" s="1"/>
  <c r="S704" i="1" a="1"/>
  <c r="S704" i="1" s="1"/>
  <c r="S705" i="1" a="1"/>
  <c r="S705" i="1" s="1"/>
  <c r="S706" i="1" a="1"/>
  <c r="S706" i="1" s="1"/>
  <c r="S707" i="1" a="1"/>
  <c r="S707" i="1" s="1"/>
  <c r="S708" i="1" a="1"/>
  <c r="S708" i="1" s="1"/>
  <c r="S709" i="1" a="1"/>
  <c r="S709" i="1" s="1"/>
  <c r="S710" i="1" a="1"/>
  <c r="S710" i="1" s="1"/>
  <c r="S711" i="1" a="1"/>
  <c r="S711" i="1" s="1"/>
  <c r="S712" i="1" a="1"/>
  <c r="S712" i="1" s="1"/>
  <c r="S713" i="1" a="1"/>
  <c r="S713" i="1" s="1"/>
  <c r="S714" i="1" a="1"/>
  <c r="S714" i="1" s="1"/>
  <c r="S715" i="1" a="1"/>
  <c r="S715" i="1" s="1"/>
  <c r="S716" i="1" a="1"/>
  <c r="S716" i="1" s="1"/>
  <c r="S717" i="1" a="1"/>
  <c r="S717" i="1" s="1"/>
  <c r="S718" i="1" a="1"/>
  <c r="S718" i="1" s="1"/>
  <c r="S719" i="1" a="1"/>
  <c r="S719" i="1" s="1"/>
  <c r="S720" i="1" a="1"/>
  <c r="S720" i="1" s="1"/>
  <c r="S721" i="1" a="1"/>
  <c r="S721" i="1" s="1"/>
  <c r="S722" i="1" a="1"/>
  <c r="S722" i="1" s="1"/>
  <c r="S723" i="1" a="1"/>
  <c r="S723" i="1" s="1"/>
  <c r="S724" i="1" a="1"/>
  <c r="S724" i="1" s="1"/>
  <c r="S725" i="1" a="1"/>
  <c r="S725" i="1" s="1"/>
  <c r="S726" i="1" a="1"/>
  <c r="S726" i="1" s="1"/>
  <c r="S727" i="1" a="1"/>
  <c r="S727" i="1" s="1"/>
  <c r="S728" i="1" a="1"/>
  <c r="S728" i="1" s="1"/>
  <c r="S729" i="1" a="1"/>
  <c r="S729" i="1" s="1"/>
  <c r="S730" i="1" a="1"/>
  <c r="S730" i="1" s="1"/>
  <c r="S731" i="1" a="1"/>
  <c r="S731" i="1" s="1"/>
  <c r="S732" i="1" a="1"/>
  <c r="S732" i="1" s="1"/>
  <c r="S733" i="1" a="1"/>
  <c r="S733" i="1" s="1"/>
  <c r="S734" i="1" a="1"/>
  <c r="S734" i="1" s="1"/>
  <c r="S735" i="1" a="1"/>
  <c r="S735" i="1" s="1"/>
  <c r="S736" i="1" a="1"/>
  <c r="S736" i="1" s="1"/>
  <c r="S737" i="1" a="1"/>
  <c r="S737" i="1" s="1"/>
  <c r="S738" i="1" a="1"/>
  <c r="S738" i="1" s="1"/>
  <c r="S739" i="1" a="1"/>
  <c r="S739" i="1" s="1"/>
  <c r="S740" i="1" a="1"/>
  <c r="S740" i="1" s="1"/>
  <c r="S741" i="1" a="1"/>
  <c r="S741" i="1" s="1"/>
  <c r="S742" i="1" a="1"/>
  <c r="S742" i="1" s="1"/>
  <c r="S743" i="1" a="1"/>
  <c r="S743" i="1" s="1"/>
  <c r="S744" i="1" a="1"/>
  <c r="S744" i="1" s="1"/>
  <c r="S745" i="1" a="1"/>
  <c r="S745" i="1" s="1"/>
  <c r="S746" i="1" a="1"/>
  <c r="S746" i="1" s="1"/>
  <c r="S747" i="1" a="1"/>
  <c r="S747" i="1" s="1"/>
  <c r="S748" i="1" a="1"/>
  <c r="S748" i="1" s="1"/>
  <c r="S749" i="1" a="1"/>
  <c r="S749" i="1" s="1"/>
  <c r="S750" i="1" a="1"/>
  <c r="S750" i="1" s="1"/>
  <c r="S751" i="1" a="1"/>
  <c r="S751" i="1" s="1"/>
  <c r="S752" i="1" a="1"/>
  <c r="S752" i="1" s="1"/>
  <c r="S753" i="1" a="1"/>
  <c r="S753" i="1" s="1"/>
  <c r="S754" i="1" a="1"/>
  <c r="S754" i="1" s="1"/>
  <c r="S755" i="1" a="1"/>
  <c r="S755" i="1" s="1"/>
  <c r="S756" i="1" a="1"/>
  <c r="S756" i="1" s="1"/>
  <c r="S757" i="1" a="1"/>
  <c r="S757" i="1" s="1"/>
  <c r="S758" i="1" a="1"/>
  <c r="S758" i="1" s="1"/>
  <c r="S759" i="1" a="1"/>
  <c r="S759" i="1" s="1"/>
  <c r="S760" i="1" a="1"/>
  <c r="S760" i="1" s="1"/>
  <c r="S761" i="1" a="1"/>
  <c r="S761" i="1" s="1"/>
  <c r="S762" i="1" a="1"/>
  <c r="S762" i="1" s="1"/>
  <c r="S763" i="1" a="1"/>
  <c r="S763" i="1" s="1"/>
  <c r="S764" i="1" a="1"/>
  <c r="S764" i="1" s="1"/>
  <c r="S765" i="1" a="1"/>
  <c r="S765" i="1" s="1"/>
  <c r="S766" i="1" a="1"/>
  <c r="S766" i="1" s="1"/>
  <c r="S767" i="1" a="1"/>
  <c r="S767" i="1" s="1"/>
  <c r="S768" i="1" a="1"/>
  <c r="S768" i="1" s="1"/>
  <c r="S769" i="1" a="1"/>
  <c r="S769" i="1" s="1"/>
  <c r="S770" i="1" a="1"/>
  <c r="S770" i="1" s="1"/>
  <c r="S771" i="1" a="1"/>
  <c r="S771" i="1" s="1"/>
  <c r="S772" i="1" a="1"/>
  <c r="S772" i="1" s="1"/>
  <c r="S773" i="1" a="1"/>
  <c r="S773" i="1" s="1"/>
  <c r="S774" i="1" a="1"/>
  <c r="S774" i="1" s="1"/>
  <c r="S775" i="1" a="1"/>
  <c r="S775" i="1" s="1"/>
  <c r="S776" i="1" a="1"/>
  <c r="S776" i="1" s="1"/>
  <c r="S777" i="1" a="1"/>
  <c r="S777" i="1" s="1"/>
  <c r="S778" i="1" a="1"/>
  <c r="S778" i="1" s="1"/>
  <c r="S779" i="1" a="1"/>
  <c r="S779" i="1" s="1"/>
  <c r="S780" i="1" a="1"/>
  <c r="S780" i="1" s="1"/>
  <c r="S781" i="1" a="1"/>
  <c r="S781" i="1" s="1"/>
  <c r="S782" i="1" a="1"/>
  <c r="S782" i="1" s="1"/>
  <c r="S783" i="1" a="1"/>
  <c r="S783" i="1" s="1"/>
  <c r="S784" i="1" a="1"/>
  <c r="S784" i="1" s="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s="1"/>
  <c r="S796" i="1" a="1"/>
  <c r="S796" i="1" s="1"/>
  <c r="S797" i="1" a="1"/>
  <c r="S797" i="1" s="1"/>
  <c r="S798" i="1" a="1"/>
  <c r="S798" i="1" s="1"/>
  <c r="S799" i="1" a="1"/>
  <c r="S799" i="1" s="1"/>
  <c r="S800" i="1" a="1"/>
  <c r="S800" i="1" s="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s="1"/>
  <c r="S817" i="1" a="1"/>
  <c r="S817" i="1" s="1"/>
  <c r="S818" i="1" a="1"/>
  <c r="S818" i="1" s="1"/>
  <c r="S819" i="1" a="1"/>
  <c r="S819" i="1" s="1"/>
  <c r="S820" i="1" a="1"/>
  <c r="S820" i="1" s="1"/>
  <c r="S821" i="1" a="1"/>
  <c r="S821" i="1" s="1"/>
  <c r="S822" i="1" a="1"/>
  <c r="S822" i="1" s="1"/>
  <c r="S823" i="1" a="1"/>
  <c r="S823" i="1" s="1"/>
  <c r="S824" i="1" a="1"/>
  <c r="S824" i="1" s="1"/>
  <c r="S825" i="1" a="1"/>
  <c r="S825" i="1" s="1"/>
  <c r="S826" i="1" a="1"/>
  <c r="S826" i="1" s="1"/>
  <c r="S827" i="1" a="1"/>
  <c r="S827" i="1" s="1"/>
  <c r="S828" i="1" a="1"/>
  <c r="S828" i="1" s="1"/>
  <c r="S829" i="1" a="1"/>
  <c r="S829" i="1" s="1"/>
  <c r="S830" i="1" a="1"/>
  <c r="S830" i="1" s="1"/>
  <c r="S831" i="1" a="1"/>
  <c r="S831" i="1" s="1"/>
  <c r="S832" i="1" a="1"/>
  <c r="S832" i="1" s="1"/>
  <c r="S833" i="1" a="1"/>
  <c r="S833" i="1" s="1"/>
  <c r="S834" i="1" a="1"/>
  <c r="S834" i="1" s="1"/>
  <c r="S835" i="1" a="1"/>
  <c r="S835" i="1" s="1"/>
  <c r="S836" i="1" a="1"/>
  <c r="S836" i="1" s="1"/>
  <c r="S837" i="1" a="1"/>
  <c r="S837" i="1" s="1"/>
  <c r="S838" i="1" a="1"/>
  <c r="S838" i="1" s="1"/>
  <c r="S839" i="1" a="1"/>
  <c r="S839" i="1" s="1"/>
  <c r="S840" i="1" a="1"/>
  <c r="S840" i="1" s="1"/>
  <c r="S841" i="1" a="1"/>
  <c r="S841" i="1" s="1"/>
  <c r="S842" i="1" a="1"/>
  <c r="S842" i="1" s="1"/>
  <c r="S843" i="1" a="1"/>
  <c r="S843" i="1" s="1"/>
  <c r="S844" i="1" a="1"/>
  <c r="S844" i="1" s="1"/>
  <c r="S845" i="1" a="1"/>
  <c r="S845" i="1" s="1"/>
  <c r="S846" i="1" a="1"/>
  <c r="S846" i="1" s="1"/>
  <c r="S847" i="1" a="1"/>
  <c r="S847" i="1" s="1"/>
  <c r="S848" i="1" a="1"/>
  <c r="S848" i="1" s="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s="1"/>
  <c r="S862" i="1" a="1"/>
  <c r="S862" i="1" s="1"/>
  <c r="S863" i="1" a="1"/>
  <c r="S863" i="1" s="1"/>
  <c r="S864" i="1" a="1"/>
  <c r="S864" i="1" s="1"/>
  <c r="S865" i="1" a="1"/>
  <c r="S865" i="1" s="1"/>
  <c r="S866" i="1" a="1"/>
  <c r="S866" i="1" s="1"/>
  <c r="S867" i="1" a="1"/>
  <c r="S867" i="1" s="1"/>
  <c r="S868" i="1" a="1"/>
  <c r="S868" i="1" s="1"/>
  <c r="S869" i="1" a="1"/>
  <c r="S869" i="1" s="1"/>
  <c r="S870" i="1" a="1"/>
  <c r="S870" i="1" s="1"/>
  <c r="S871" i="1" a="1"/>
  <c r="S871" i="1" s="1"/>
  <c r="S872" i="1" a="1"/>
  <c r="S872" i="1" s="1"/>
  <c r="S873" i="1" a="1"/>
  <c r="S873" i="1" s="1"/>
  <c r="S874" i="1" a="1"/>
  <c r="S874" i="1" s="1"/>
  <c r="S875" i="1" a="1"/>
  <c r="S875" i="1" s="1"/>
  <c r="S876" i="1" a="1"/>
  <c r="S876" i="1" s="1"/>
  <c r="S877" i="1" a="1"/>
  <c r="S877" i="1" s="1"/>
  <c r="S878" i="1" a="1"/>
  <c r="S878" i="1" s="1"/>
  <c r="S879" i="1" a="1"/>
  <c r="S879" i="1" s="1"/>
  <c r="S880" i="1" a="1"/>
  <c r="S880" i="1" s="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s="1"/>
  <c r="S894" i="1" a="1"/>
  <c r="S894" i="1" s="1"/>
  <c r="S895" i="1" a="1"/>
  <c r="S895" i="1" s="1"/>
  <c r="S896" i="1" a="1"/>
  <c r="S896" i="1" s="1"/>
  <c r="S897" i="1" a="1"/>
  <c r="S897" i="1" s="1"/>
  <c r="S898" i="1" a="1"/>
  <c r="S898" i="1" s="1"/>
  <c r="S899" i="1" a="1"/>
  <c r="S899" i="1" s="1"/>
  <c r="S900" i="1" a="1"/>
  <c r="S900" i="1" s="1"/>
  <c r="S901" i="1" a="1"/>
  <c r="S901" i="1" s="1"/>
  <c r="S902" i="1" a="1"/>
  <c r="S902" i="1" s="1"/>
  <c r="S903" i="1" a="1"/>
  <c r="S903" i="1" s="1"/>
  <c r="S904" i="1" a="1"/>
  <c r="S904" i="1" s="1"/>
  <c r="S905" i="1" a="1"/>
  <c r="S905" i="1" s="1"/>
  <c r="S906" i="1" a="1"/>
  <c r="S906" i="1" s="1"/>
  <c r="S907" i="1" a="1"/>
  <c r="S907" i="1" s="1"/>
  <c r="S908" i="1" a="1"/>
  <c r="S908" i="1" s="1"/>
  <c r="S909" i="1" a="1"/>
  <c r="S909" i="1" s="1"/>
  <c r="S910" i="1" a="1"/>
  <c r="S910" i="1" s="1"/>
  <c r="S911" i="1" a="1"/>
  <c r="S911" i="1" s="1"/>
  <c r="S912" i="1" a="1"/>
  <c r="S912" i="1" s="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s="1"/>
  <c r="S926" i="1" a="1"/>
  <c r="S926" i="1" s="1"/>
  <c r="S927" i="1" a="1"/>
  <c r="S927" i="1" s="1"/>
  <c r="S928" i="1" a="1"/>
  <c r="S928" i="1" s="1"/>
  <c r="S929" i="1" a="1"/>
  <c r="S929" i="1" s="1"/>
  <c r="S930" i="1" a="1"/>
  <c r="S930" i="1" s="1"/>
  <c r="S931" i="1" a="1"/>
  <c r="S931" i="1" s="1"/>
  <c r="S932" i="1" a="1"/>
  <c r="S932" i="1" s="1"/>
  <c r="S933" i="1" a="1"/>
  <c r="S933" i="1" s="1"/>
  <c r="S934" i="1" a="1"/>
  <c r="S934" i="1" s="1"/>
  <c r="S935" i="1" a="1"/>
  <c r="S935" i="1" s="1"/>
  <c r="S936" i="1" a="1"/>
  <c r="S936" i="1" s="1"/>
  <c r="S937" i="1" a="1"/>
  <c r="S937" i="1" s="1"/>
  <c r="S938" i="1" a="1"/>
  <c r="S938" i="1" s="1"/>
  <c r="S939" i="1" a="1"/>
  <c r="S939" i="1" s="1"/>
  <c r="S940" i="1" a="1"/>
  <c r="S940" i="1" s="1"/>
  <c r="S941" i="1" a="1"/>
  <c r="S941" i="1" s="1"/>
  <c r="S942" i="1" a="1"/>
  <c r="S942" i="1" s="1"/>
  <c r="S943" i="1" a="1"/>
  <c r="S943" i="1" s="1"/>
  <c r="S944" i="1" a="1"/>
  <c r="S944" i="1" s="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s="1"/>
  <c r="S961" i="1" a="1"/>
  <c r="S961" i="1" s="1"/>
  <c r="S962" i="1" a="1"/>
  <c r="S962" i="1" s="1"/>
  <c r="S963" i="1" a="1"/>
  <c r="S963" i="1" s="1"/>
  <c r="S964" i="1" a="1"/>
  <c r="S964" i="1" s="1"/>
  <c r="S965" i="1" a="1"/>
  <c r="S965" i="1" s="1"/>
  <c r="S966" i="1" a="1"/>
  <c r="S966" i="1" s="1"/>
  <c r="S967" i="1" a="1"/>
  <c r="S967" i="1" s="1"/>
  <c r="S968" i="1" a="1"/>
  <c r="S968" i="1" s="1"/>
  <c r="S969" i="1" a="1"/>
  <c r="S969" i="1" s="1"/>
  <c r="S970" i="1" a="1"/>
  <c r="S970" i="1" s="1"/>
  <c r="S971" i="1" a="1"/>
  <c r="S971" i="1" s="1"/>
  <c r="S972" i="1" a="1"/>
  <c r="S972" i="1" s="1"/>
  <c r="S973" i="1" a="1"/>
  <c r="S973" i="1" s="1"/>
  <c r="S974" i="1" a="1"/>
  <c r="S974" i="1" s="1"/>
  <c r="S975" i="1" a="1"/>
  <c r="S975" i="1" s="1"/>
  <c r="S976" i="1" a="1"/>
  <c r="S976" i="1" s="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s="1"/>
  <c r="S990" i="1" a="1"/>
  <c r="S990" i="1" s="1"/>
  <c r="S991" i="1" a="1"/>
  <c r="S991" i="1" s="1"/>
  <c r="S992" i="1" a="1"/>
  <c r="S992" i="1" s="1"/>
  <c r="S993" i="1" a="1"/>
  <c r="S993" i="1" s="1"/>
  <c r="S994" i="1" a="1"/>
  <c r="S994" i="1" s="1"/>
  <c r="S995" i="1" a="1"/>
  <c r="S995" i="1" s="1"/>
  <c r="S996" i="1" a="1"/>
  <c r="S996" i="1" s="1"/>
  <c r="S997" i="1" a="1"/>
  <c r="S997" i="1" s="1"/>
  <c r="S998" i="1" a="1"/>
  <c r="S998" i="1" s="1"/>
  <c r="S999" i="1" a="1"/>
  <c r="S999" i="1" s="1"/>
  <c r="S1000" i="1" a="1"/>
  <c r="S1000" i="1" s="1"/>
  <c r="S1001" i="1" a="1"/>
  <c r="S1001" i="1" s="1"/>
  <c r="S1002" i="1" a="1"/>
  <c r="S1002" i="1" s="1"/>
  <c r="S1003" i="1" a="1"/>
  <c r="S1003" i="1" s="1"/>
  <c r="S1004" i="1" a="1"/>
  <c r="S1004" i="1" s="1"/>
  <c r="S1005" i="1" a="1"/>
  <c r="S1005" i="1" s="1"/>
  <c r="S1006" i="1" a="1"/>
  <c r="S1006" i="1" s="1"/>
  <c r="S1007" i="1" a="1"/>
  <c r="S1007" i="1" s="1"/>
  <c r="S1008" i="1" a="1"/>
  <c r="S1008" i="1" s="1"/>
  <c r="S1009" i="1" a="1"/>
  <c r="S1009" i="1" s="1"/>
  <c r="S1010" i="1" a="1"/>
  <c r="S1010" i="1" s="1"/>
  <c r="S1011" i="1" a="1"/>
  <c r="S1011" i="1" s="1"/>
  <c r="S1012" i="1" a="1"/>
  <c r="S1012" i="1" s="1"/>
  <c r="S1013" i="1" a="1"/>
  <c r="S1013" i="1" s="1"/>
  <c r="S1014" i="1" a="1"/>
  <c r="S1014" i="1" s="1"/>
  <c r="S1015" i="1" a="1"/>
  <c r="S1015" i="1" s="1"/>
  <c r="S1016" i="1" a="1"/>
  <c r="S1016" i="1" s="1"/>
  <c r="S1017" i="1" a="1"/>
  <c r="S1017" i="1" s="1"/>
  <c r="S1018" i="1" a="1"/>
  <c r="S1018" i="1" s="1"/>
  <c r="S1019" i="1" a="1"/>
  <c r="S1019" i="1" s="1"/>
  <c r="S1020" i="1" a="1"/>
  <c r="S1020" i="1" s="1"/>
  <c r="S1021" i="1" a="1"/>
  <c r="S1021" i="1" s="1"/>
  <c r="S1022" i="1" a="1"/>
  <c r="S1022" i="1" s="1"/>
  <c r="S1023" i="1" a="1"/>
  <c r="S1023" i="1" s="1"/>
  <c r="S1024" i="1" a="1"/>
  <c r="S1024" i="1" s="1"/>
  <c r="S1025" i="1" a="1"/>
  <c r="S1025" i="1" s="1"/>
  <c r="S1026" i="1" a="1"/>
  <c r="S1026" i="1" s="1"/>
  <c r="S1027" i="1" a="1"/>
  <c r="S1027" i="1" s="1"/>
  <c r="S1028" i="1" a="1"/>
  <c r="S1028" i="1" s="1"/>
  <c r="S1029" i="1" a="1"/>
  <c r="S1029" i="1" s="1"/>
  <c r="S1030" i="1" a="1"/>
  <c r="S1030" i="1" s="1"/>
  <c r="S1031" i="1" a="1"/>
  <c r="S1031" i="1" s="1"/>
  <c r="S1032" i="1" a="1"/>
  <c r="S1032" i="1" s="1"/>
  <c r="S1033" i="1" a="1"/>
  <c r="S1033" i="1" s="1"/>
  <c r="S1034" i="1" a="1"/>
  <c r="S1034" i="1" s="1"/>
  <c r="S1035" i="1" a="1"/>
  <c r="S1035" i="1" s="1"/>
  <c r="S1036" i="1" a="1"/>
  <c r="S1036" i="1" s="1"/>
  <c r="S1037" i="1" a="1"/>
  <c r="S1037" i="1" s="1"/>
  <c r="S1038" i="1" a="1"/>
  <c r="S1038" i="1" s="1"/>
  <c r="S1039" i="1" a="1"/>
  <c r="S1039" i="1" s="1"/>
  <c r="S1040" i="1" a="1"/>
  <c r="S1040" i="1" s="1"/>
  <c r="S1041" i="1" a="1"/>
  <c r="S1041" i="1" s="1"/>
  <c r="S1042" i="1" a="1"/>
  <c r="S1042" i="1" s="1"/>
  <c r="S1043" i="1" a="1"/>
  <c r="S1043" i="1" s="1"/>
  <c r="S1044" i="1" a="1"/>
  <c r="S1044" i="1" s="1"/>
  <c r="S1045" i="1" a="1"/>
  <c r="S1045" i="1" s="1"/>
  <c r="S1046" i="1" a="1"/>
  <c r="S1046" i="1" s="1"/>
  <c r="S1047" i="1" a="1"/>
  <c r="S1047" i="1" s="1"/>
  <c r="S1048" i="1" a="1"/>
  <c r="S1048" i="1" s="1"/>
  <c r="S1049" i="1" a="1"/>
  <c r="S1049" i="1" s="1"/>
  <c r="S1050" i="1" a="1"/>
  <c r="S1050" i="1" s="1"/>
  <c r="S1051" i="1" a="1"/>
  <c r="S1051" i="1" s="1"/>
  <c r="S1052" i="1" a="1"/>
  <c r="S1052" i="1" s="1"/>
  <c r="S1053" i="1" a="1"/>
  <c r="S1053" i="1" s="1"/>
  <c r="S1054" i="1" a="1"/>
  <c r="S1054" i="1" s="1"/>
  <c r="S1055" i="1" a="1"/>
  <c r="S1055" i="1" s="1"/>
  <c r="S1056" i="1" a="1"/>
  <c r="S1056" i="1" s="1"/>
  <c r="S1057" i="1" a="1"/>
  <c r="S1057" i="1" s="1"/>
  <c r="S1058" i="1" a="1"/>
  <c r="S1058" i="1" s="1"/>
  <c r="S1059" i="1" a="1"/>
  <c r="S1059" i="1" s="1"/>
  <c r="S1060" i="1" a="1"/>
  <c r="S1060" i="1" s="1"/>
  <c r="S1061" i="1" a="1"/>
  <c r="S1061" i="1" s="1"/>
  <c r="S1062" i="1" a="1"/>
  <c r="S1062" i="1" s="1"/>
  <c r="S1063" i="1" a="1"/>
  <c r="S1063" i="1" s="1"/>
  <c r="S1064" i="1" a="1"/>
  <c r="S1064" i="1" s="1"/>
  <c r="S1065" i="1" a="1"/>
  <c r="S1065" i="1" s="1"/>
  <c r="S1066" i="1" a="1"/>
  <c r="S1066" i="1" s="1"/>
  <c r="S1067" i="1" a="1"/>
  <c r="S1067" i="1" s="1"/>
  <c r="S1068" i="1" a="1"/>
  <c r="S1068" i="1" s="1"/>
  <c r="S1069" i="1" a="1"/>
  <c r="S1069" i="1" s="1"/>
  <c r="S1070" i="1" a="1"/>
  <c r="S1070" i="1" s="1"/>
  <c r="S1071" i="1" a="1"/>
  <c r="S1071" i="1" s="1"/>
  <c r="S1072" i="1" a="1"/>
  <c r="S1072" i="1" s="1"/>
  <c r="S1073" i="1" a="1"/>
  <c r="S1073" i="1" s="1"/>
  <c r="S1074" i="1" a="1"/>
  <c r="S1074" i="1" s="1"/>
  <c r="S1075" i="1" a="1"/>
  <c r="S1075" i="1" s="1"/>
  <c r="S1076" i="1" a="1"/>
  <c r="S1076" i="1" s="1"/>
  <c r="S1077" i="1" a="1"/>
  <c r="S1077" i="1" s="1"/>
  <c r="S1078" i="1" a="1"/>
  <c r="S1078" i="1" s="1"/>
  <c r="S1079" i="1" a="1"/>
  <c r="S1079" i="1" s="1"/>
  <c r="S1080" i="1" a="1"/>
  <c r="S1080" i="1" s="1"/>
  <c r="S1081" i="1" a="1"/>
  <c r="S1081" i="1" s="1"/>
  <c r="S1082" i="1" a="1"/>
  <c r="S1082" i="1" s="1"/>
  <c r="S1083" i="1" a="1"/>
  <c r="S1083" i="1" s="1"/>
  <c r="S1084" i="1" a="1"/>
  <c r="S1084" i="1" s="1"/>
  <c r="S1085" i="1" a="1"/>
  <c r="S1085" i="1" s="1"/>
  <c r="S1086" i="1" a="1"/>
  <c r="S1086" i="1" s="1"/>
  <c r="S1087" i="1" a="1"/>
  <c r="S1087" i="1" s="1"/>
  <c r="S1088" i="1" a="1"/>
  <c r="S1088" i="1" s="1"/>
  <c r="S1089" i="1" a="1"/>
  <c r="S1089" i="1" s="1"/>
  <c r="S1090" i="1" a="1"/>
  <c r="S1090" i="1" s="1"/>
  <c r="S1091" i="1" a="1"/>
  <c r="S1091" i="1" s="1"/>
  <c r="S1092" i="1" a="1"/>
  <c r="S1092" i="1" s="1"/>
  <c r="S1093" i="1" a="1"/>
  <c r="S1093" i="1" s="1"/>
  <c r="S1094" i="1" a="1"/>
  <c r="S1094" i="1" s="1"/>
  <c r="S1095" i="1" a="1"/>
  <c r="S1095" i="1" s="1"/>
  <c r="S1096" i="1" a="1"/>
  <c r="S1096" i="1" s="1"/>
  <c r="S1097" i="1" a="1"/>
  <c r="S1097" i="1" s="1"/>
  <c r="S1098" i="1" a="1"/>
  <c r="S1098" i="1" s="1"/>
  <c r="S1099" i="1" a="1"/>
  <c r="S1099" i="1" s="1"/>
  <c r="S1100" i="1" a="1"/>
  <c r="S1100" i="1" s="1"/>
  <c r="S1101" i="1" a="1"/>
  <c r="S1101" i="1" s="1"/>
  <c r="S1102" i="1" a="1"/>
  <c r="S1102" i="1" s="1"/>
  <c r="S1103" i="1" a="1"/>
  <c r="S1103" i="1" s="1"/>
  <c r="S1104" i="1" a="1"/>
  <c r="S1104" i="1" s="1"/>
  <c r="S1105" i="1" a="1"/>
  <c r="S1105" i="1" s="1"/>
  <c r="S1106" i="1" a="1"/>
  <c r="S1106" i="1" s="1"/>
  <c r="S1107" i="1" a="1"/>
  <c r="S1107" i="1" s="1"/>
  <c r="S1108" i="1" a="1"/>
  <c r="S1108" i="1" s="1"/>
  <c r="S1109" i="1" a="1"/>
  <c r="S1109" i="1" s="1"/>
  <c r="S1110" i="1" a="1"/>
  <c r="S1110" i="1" s="1"/>
  <c r="S1111" i="1" a="1"/>
  <c r="S1111" i="1" s="1"/>
  <c r="S1112" i="1" a="1"/>
  <c r="S1112" i="1" s="1"/>
  <c r="S1113" i="1" a="1"/>
  <c r="S1113" i="1" s="1"/>
  <c r="S1114" i="1" a="1"/>
  <c r="S1114" i="1" s="1"/>
  <c r="S1115" i="1" a="1"/>
  <c r="S1115" i="1" s="1"/>
  <c r="S1116" i="1" a="1"/>
  <c r="S1116" i="1" s="1"/>
  <c r="S1117" i="1" a="1"/>
  <c r="S1117" i="1" s="1"/>
  <c r="S1118" i="1" a="1"/>
  <c r="S1118" i="1" s="1"/>
  <c r="S1119" i="1" a="1"/>
  <c r="S1119" i="1" s="1"/>
  <c r="S1120" i="1" a="1"/>
  <c r="S1120" i="1" s="1"/>
  <c r="S1121" i="1" a="1"/>
  <c r="S1121" i="1" s="1"/>
  <c r="S1122" i="1" a="1"/>
  <c r="S1122" i="1" s="1"/>
  <c r="S1123" i="1" a="1"/>
  <c r="S1123" i="1" s="1"/>
  <c r="S1124" i="1" a="1"/>
  <c r="S1124" i="1" s="1"/>
  <c r="S1125" i="1" a="1"/>
  <c r="S1125" i="1" s="1"/>
  <c r="S1126" i="1" a="1"/>
  <c r="S1126" i="1" s="1"/>
  <c r="S1127" i="1" a="1"/>
  <c r="S1127" i="1" s="1"/>
  <c r="S1128" i="1" a="1"/>
  <c r="S1128" i="1" s="1"/>
  <c r="S1129" i="1" a="1"/>
  <c r="S1129" i="1" s="1"/>
  <c r="S1130" i="1" a="1"/>
  <c r="S1130" i="1" s="1"/>
  <c r="S1131" i="1" a="1"/>
  <c r="S1131" i="1" s="1"/>
  <c r="S1132" i="1" a="1"/>
  <c r="S1132" i="1" s="1"/>
  <c r="S1133" i="1" a="1"/>
  <c r="S1133" i="1" s="1"/>
  <c r="S1134" i="1" a="1"/>
  <c r="S1134" i="1" s="1"/>
  <c r="S1135" i="1" a="1"/>
  <c r="S1135" i="1" s="1"/>
  <c r="S1136" i="1" a="1"/>
  <c r="S1136" i="1" s="1"/>
  <c r="S1137" i="1" a="1"/>
  <c r="S1137" i="1" s="1"/>
  <c r="S1138" i="1" a="1"/>
  <c r="S1138" i="1" s="1"/>
  <c r="S1139" i="1" a="1"/>
  <c r="S1139" i="1" s="1"/>
  <c r="S1140" i="1" a="1"/>
  <c r="S1140" i="1" s="1"/>
  <c r="S1141" i="1" a="1"/>
  <c r="S1141" i="1" s="1"/>
  <c r="S1142" i="1" a="1"/>
  <c r="S1142" i="1" s="1"/>
  <c r="S1143" i="1" a="1"/>
  <c r="S1143" i="1" s="1"/>
  <c r="S1144" i="1" a="1"/>
  <c r="S1144" i="1" s="1"/>
  <c r="S1145" i="1" a="1"/>
  <c r="S1145" i="1" s="1"/>
  <c r="S1146" i="1" a="1"/>
  <c r="S1146" i="1" s="1"/>
  <c r="S1147" i="1" a="1"/>
  <c r="S1147" i="1" s="1"/>
  <c r="S1148" i="1" a="1"/>
  <c r="S1148" i="1" s="1"/>
  <c r="S1149" i="1" a="1"/>
  <c r="S1149" i="1" s="1"/>
  <c r="S1150" i="1" a="1"/>
  <c r="S1150" i="1" s="1"/>
  <c r="S1151" i="1" a="1"/>
  <c r="S1151" i="1" s="1"/>
  <c r="S1152" i="1" a="1"/>
  <c r="S1152" i="1" s="1"/>
  <c r="S1153" i="1" a="1"/>
  <c r="S1153" i="1" s="1"/>
  <c r="S1154" i="1" a="1"/>
  <c r="S1154" i="1" s="1"/>
  <c r="S1155" i="1" a="1"/>
  <c r="S1155" i="1" s="1"/>
  <c r="S1156" i="1" a="1"/>
  <c r="S1156" i="1" s="1"/>
  <c r="S1157" i="1" a="1"/>
  <c r="S1157" i="1" s="1"/>
  <c r="S1158" i="1" a="1"/>
  <c r="S1158" i="1" s="1"/>
  <c r="S1159" i="1" a="1"/>
  <c r="S1159" i="1" s="1"/>
  <c r="S1160" i="1" a="1"/>
  <c r="S1160" i="1" s="1"/>
  <c r="S1161" i="1" a="1"/>
  <c r="S1161" i="1" s="1"/>
  <c r="S1162" i="1" a="1"/>
  <c r="S1162" i="1" s="1"/>
  <c r="S1163" i="1" a="1"/>
  <c r="S1163" i="1" s="1"/>
  <c r="S1164" i="1" a="1"/>
  <c r="S1164" i="1" s="1"/>
  <c r="S1165" i="1" a="1"/>
  <c r="S1165" i="1" s="1"/>
  <c r="S1166" i="1" a="1"/>
  <c r="S1166" i="1" s="1"/>
  <c r="S1167" i="1" a="1"/>
  <c r="S1167" i="1" s="1"/>
  <c r="S1168" i="1" a="1"/>
  <c r="S1168" i="1" s="1"/>
  <c r="S1169" i="1" a="1"/>
  <c r="S1169" i="1" s="1"/>
  <c r="S1170" i="1" a="1"/>
  <c r="S1170" i="1" s="1"/>
  <c r="S1171" i="1" a="1"/>
  <c r="S1171" i="1" s="1"/>
  <c r="S1172" i="1" a="1"/>
  <c r="S1172" i="1" s="1"/>
  <c r="S1173" i="1" a="1"/>
  <c r="S1173" i="1" s="1"/>
  <c r="S1174" i="1" a="1"/>
  <c r="S1174" i="1" s="1"/>
  <c r="S1175" i="1" a="1"/>
  <c r="S1175" i="1" s="1"/>
  <c r="S1176" i="1" a="1"/>
  <c r="S1176" i="1" s="1"/>
  <c r="S1177" i="1" a="1"/>
  <c r="S1177" i="1" s="1"/>
  <c r="S1178" i="1" a="1"/>
  <c r="S1178" i="1" s="1"/>
  <c r="S1179" i="1" a="1"/>
  <c r="S1179" i="1" s="1"/>
  <c r="S1180" i="1" a="1"/>
  <c r="S1180" i="1" s="1"/>
  <c r="S1181" i="1" a="1"/>
  <c r="S1181" i="1" s="1"/>
  <c r="S1182" i="1" a="1"/>
  <c r="S1182" i="1" s="1"/>
  <c r="S1183" i="1" a="1"/>
  <c r="S1183" i="1" s="1"/>
  <c r="S1184" i="1" a="1"/>
  <c r="S1184" i="1" s="1"/>
  <c r="S1185" i="1" a="1"/>
  <c r="S1185" i="1" s="1"/>
  <c r="S1186" i="1" a="1"/>
  <c r="S1186" i="1" s="1"/>
  <c r="S1187" i="1" a="1"/>
  <c r="S1187" i="1" s="1"/>
  <c r="S1188" i="1" a="1"/>
  <c r="S1188" i="1" s="1"/>
  <c r="S1189" i="1" a="1"/>
  <c r="S1189" i="1" s="1"/>
  <c r="S1190" i="1" a="1"/>
  <c r="S1190" i="1" s="1"/>
  <c r="S1191" i="1" a="1"/>
  <c r="S1191" i="1" s="1"/>
  <c r="S1192" i="1" a="1"/>
  <c r="S1192" i="1" s="1"/>
  <c r="S1193" i="1" a="1"/>
  <c r="S1193" i="1" s="1"/>
  <c r="S1194" i="1" a="1"/>
  <c r="S1194" i="1" s="1"/>
  <c r="S1195" i="1" a="1"/>
  <c r="S1195" i="1"/>
  <c r="S1196" i="1" a="1"/>
  <c r="S1196" i="1" s="1"/>
  <c r="S1197" i="1" a="1"/>
  <c r="S1197" i="1" s="1"/>
  <c r="S1198" i="1" a="1"/>
  <c r="S1198" i="1" s="1"/>
  <c r="S1199" i="1" a="1"/>
  <c r="S1199" i="1"/>
  <c r="S1200" i="1" a="1"/>
  <c r="S1200" i="1" s="1"/>
  <c r="S1201" i="1" a="1"/>
  <c r="S1201" i="1" s="1"/>
  <c r="S1202" i="1" a="1"/>
  <c r="S1202" i="1" s="1"/>
  <c r="S1203" i="1" a="1"/>
  <c r="S1203" i="1" s="1"/>
  <c r="S1204" i="1" a="1"/>
  <c r="S1204" i="1" s="1"/>
  <c r="S1205" i="1" a="1"/>
  <c r="S1205" i="1" s="1"/>
  <c r="S1206" i="1" a="1"/>
  <c r="S1206" i="1" s="1"/>
  <c r="S1207" i="1" a="1"/>
  <c r="S1207" i="1"/>
  <c r="S1208" i="1" a="1"/>
  <c r="S1208" i="1" s="1"/>
  <c r="S1209" i="1" a="1"/>
  <c r="S1209" i="1" s="1"/>
  <c r="S1210" i="1" a="1"/>
  <c r="S1210" i="1" s="1"/>
  <c r="S1211" i="1" a="1"/>
  <c r="S1211" i="1" s="1"/>
  <c r="S1212" i="1" a="1"/>
  <c r="S1212" i="1" s="1"/>
  <c r="S1213" i="1" a="1"/>
  <c r="S1213" i="1" s="1"/>
  <c r="S1214" i="1" a="1"/>
  <c r="S1214" i="1" s="1"/>
  <c r="S1215" i="1" a="1"/>
  <c r="S1215" i="1"/>
  <c r="S1216" i="1" a="1"/>
  <c r="S1216" i="1" s="1"/>
  <c r="S1217" i="1" a="1"/>
  <c r="S1217" i="1" s="1"/>
  <c r="S1218" i="1" a="1"/>
  <c r="S1218" i="1" s="1"/>
  <c r="S1219" i="1" a="1"/>
  <c r="S1219" i="1" s="1"/>
  <c r="S1220" i="1" a="1"/>
  <c r="S1220" i="1" s="1"/>
  <c r="S1221" i="1" a="1"/>
  <c r="S1221" i="1" s="1"/>
  <c r="S1222" i="1" a="1"/>
  <c r="S1222" i="1" s="1"/>
  <c r="S1223" i="1" a="1"/>
  <c r="S1223" i="1" s="1"/>
  <c r="S1224" i="1" a="1"/>
  <c r="S1224" i="1" s="1"/>
  <c r="S1225" i="1" a="1"/>
  <c r="S1225" i="1" s="1"/>
  <c r="S1226" i="1" a="1"/>
  <c r="S1226" i="1" s="1"/>
  <c r="S1227" i="1" a="1"/>
  <c r="S1227" i="1" s="1"/>
  <c r="S1228" i="1" a="1"/>
  <c r="S1228" i="1" s="1"/>
  <c r="S1229" i="1" a="1"/>
  <c r="S1229" i="1"/>
  <c r="S1230" i="1" a="1"/>
  <c r="S1230" i="1" s="1"/>
  <c r="S1231" i="1" a="1"/>
  <c r="S1231" i="1" s="1"/>
  <c r="S1232" i="1" a="1"/>
  <c r="S1232" i="1" s="1"/>
  <c r="S1233" i="1" a="1"/>
  <c r="S1233" i="1" s="1"/>
  <c r="S1234" i="1" a="1"/>
  <c r="S1234" i="1" s="1"/>
  <c r="S1235" i="1" a="1"/>
  <c r="S1235" i="1" s="1"/>
  <c r="S1236" i="1" a="1"/>
  <c r="S1236" i="1" s="1"/>
  <c r="S1237" i="1" a="1"/>
  <c r="S1237" i="1" s="1"/>
  <c r="S1238" i="1" a="1"/>
  <c r="S1238" i="1" s="1"/>
  <c r="S1239" i="1" a="1"/>
  <c r="S1239" i="1" s="1"/>
  <c r="S1240" i="1" a="1"/>
  <c r="S1240" i="1" s="1"/>
  <c r="S1241" i="1" a="1"/>
  <c r="S1241" i="1" s="1"/>
  <c r="S1242" i="1" a="1"/>
  <c r="S1242" i="1" s="1"/>
  <c r="S1243" i="1" a="1"/>
  <c r="S1243" i="1" s="1"/>
  <c r="S1244" i="1" a="1"/>
  <c r="S1244" i="1" s="1"/>
  <c r="S1245" i="1" a="1"/>
  <c r="S1245" i="1"/>
  <c r="S1246" i="1" a="1"/>
  <c r="S1246" i="1" s="1"/>
  <c r="S1247" i="1" a="1"/>
  <c r="S1247" i="1" s="1"/>
  <c r="S1248" i="1" a="1"/>
  <c r="S1248" i="1" s="1"/>
  <c r="S1249" i="1" a="1"/>
  <c r="S1249" i="1" s="1"/>
  <c r="S1250" i="1" a="1"/>
  <c r="S1250" i="1" s="1"/>
  <c r="S1251" i="1" a="1"/>
  <c r="S1251" i="1" s="1"/>
  <c r="S1252" i="1" a="1"/>
  <c r="S1252" i="1" s="1"/>
  <c r="S1253" i="1" a="1"/>
  <c r="S1253" i="1"/>
  <c r="S1254" i="1" a="1"/>
  <c r="S1254" i="1" s="1"/>
  <c r="S1255" i="1" a="1"/>
  <c r="S1255" i="1" s="1"/>
  <c r="S1256" i="1" a="1"/>
  <c r="S1256" i="1" s="1"/>
  <c r="S1257" i="1" a="1"/>
  <c r="S1257" i="1" s="1"/>
  <c r="S1258" i="1" a="1"/>
  <c r="S1258" i="1" s="1"/>
  <c r="S1259" i="1" a="1"/>
  <c r="S1259" i="1" s="1"/>
  <c r="S1260" i="1" a="1"/>
  <c r="S1260" i="1" s="1"/>
  <c r="S1261" i="1" a="1"/>
  <c r="S1261" i="1" s="1"/>
  <c r="S1262" i="1" a="1"/>
  <c r="S1262" i="1" s="1"/>
  <c r="S1263" i="1" a="1"/>
  <c r="S1263" i="1" s="1"/>
  <c r="S1264" i="1" a="1"/>
  <c r="S1264" i="1" s="1"/>
  <c r="S1265" i="1" a="1"/>
  <c r="S1265" i="1" s="1"/>
  <c r="S1266" i="1" a="1"/>
  <c r="S1266" i="1" s="1"/>
  <c r="S1267" i="1" a="1"/>
  <c r="S1267" i="1" s="1"/>
  <c r="S1268" i="1" a="1"/>
  <c r="S1268" i="1" s="1"/>
  <c r="S1269" i="1" a="1"/>
  <c r="S1269" i="1"/>
  <c r="S1270" i="1" a="1"/>
  <c r="S1270" i="1" s="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s="1"/>
  <c r="S1281" i="1" a="1"/>
  <c r="S1281" i="1" s="1"/>
  <c r="S1282" i="1" a="1"/>
  <c r="S1282" i="1" s="1"/>
  <c r="S1283" i="1" a="1"/>
  <c r="S1283" i="1" s="1"/>
  <c r="S1284" i="1" a="1"/>
  <c r="S1284" i="1" s="1"/>
  <c r="S1285" i="1" a="1"/>
  <c r="S1285" i="1"/>
  <c r="S1286" i="1" a="1"/>
  <c r="S1286" i="1" s="1"/>
  <c r="S1287" i="1" a="1"/>
  <c r="S1287" i="1" s="1"/>
  <c r="S1288" i="1" a="1"/>
  <c r="S1288" i="1" s="1"/>
  <c r="S1289" i="1" a="1"/>
  <c r="S1289" i="1" s="1"/>
  <c r="S1290" i="1" a="1"/>
  <c r="S1290" i="1" s="1"/>
  <c r="S1291" i="1" a="1"/>
  <c r="S1291" i="1" s="1"/>
  <c r="S1292" i="1" a="1"/>
  <c r="S1292" i="1" s="1"/>
  <c r="S1293" i="1" a="1"/>
  <c r="S1293" i="1" s="1"/>
  <c r="S1294" i="1" a="1"/>
  <c r="S1294" i="1" s="1"/>
  <c r="S1295" i="1" a="1"/>
  <c r="S1295" i="1" s="1"/>
  <c r="S1296" i="1" a="1"/>
  <c r="S1296" i="1" s="1"/>
  <c r="S1297" i="1" a="1"/>
  <c r="S1297" i="1" s="1"/>
  <c r="S1298" i="1" a="1"/>
  <c r="S1298" i="1" s="1"/>
  <c r="S1299" i="1" a="1"/>
  <c r="S1299" i="1" s="1"/>
  <c r="S1300" i="1" a="1"/>
  <c r="S1300" i="1" s="1"/>
  <c r="S1301" i="1" a="1"/>
  <c r="S1301" i="1"/>
  <c r="S1302" i="1" a="1"/>
  <c r="S1302" i="1" s="1"/>
  <c r="S1303" i="1" a="1"/>
  <c r="S1303" i="1" s="1"/>
  <c r="S1304" i="1" a="1"/>
  <c r="S1304" i="1" s="1"/>
  <c r="S1305" i="1" a="1"/>
  <c r="S1305" i="1" s="1"/>
  <c r="S1306" i="1" a="1"/>
  <c r="S1306" i="1" s="1"/>
  <c r="S1307" i="1" a="1"/>
  <c r="S1307" i="1" s="1"/>
  <c r="S1308" i="1" a="1"/>
  <c r="S1308" i="1" s="1"/>
  <c r="S1309" i="1" a="1"/>
  <c r="S1309" i="1" s="1"/>
  <c r="S1310" i="1" a="1"/>
  <c r="S1310" i="1" s="1"/>
  <c r="S1311" i="1" a="1"/>
  <c r="S1311" i="1" s="1"/>
  <c r="S1312" i="1" a="1"/>
  <c r="S1312" i="1" s="1"/>
  <c r="S1313" i="1" a="1"/>
  <c r="S1313" i="1" s="1"/>
  <c r="S1314" i="1" a="1"/>
  <c r="S1314" i="1" s="1"/>
  <c r="S1315" i="1" a="1"/>
  <c r="S1315" i="1" s="1"/>
  <c r="S1316" i="1" a="1"/>
  <c r="S1316" i="1" s="1"/>
  <c r="S1317" i="1" a="1"/>
  <c r="S1317" i="1"/>
  <c r="S1318" i="1" a="1"/>
  <c r="S1318" i="1" s="1"/>
  <c r="S1319" i="1" a="1"/>
  <c r="S1319" i="1" s="1"/>
  <c r="S1320" i="1" a="1"/>
  <c r="S1320" i="1" s="1"/>
  <c r="S1321" i="1" a="1"/>
  <c r="S1321" i="1" s="1"/>
  <c r="S1322" i="1" a="1"/>
  <c r="S1322" i="1" s="1"/>
  <c r="S1323" i="1" a="1"/>
  <c r="S1323" i="1" s="1"/>
  <c r="S1324" i="1" a="1"/>
  <c r="S1324" i="1" s="1"/>
  <c r="S1325" i="1" a="1"/>
  <c r="S1325" i="1" s="1"/>
  <c r="S1326" i="1" a="1"/>
  <c r="S1326" i="1" s="1"/>
  <c r="S1327" i="1" a="1"/>
  <c r="S1327" i="1" s="1"/>
  <c r="S1328" i="1" a="1"/>
  <c r="S1328" i="1" s="1"/>
  <c r="S1329" i="1" a="1"/>
  <c r="S1329" i="1" s="1"/>
  <c r="S1330" i="1" a="1"/>
  <c r="S1330" i="1" s="1"/>
  <c r="S1331" i="1" a="1"/>
  <c r="S1331" i="1" s="1"/>
  <c r="S1332" i="1" a="1"/>
  <c r="S1332" i="1" s="1"/>
  <c r="S1333" i="1" a="1"/>
  <c r="S1333" i="1"/>
  <c r="S1334" i="1" a="1"/>
  <c r="S1334" i="1" s="1"/>
  <c r="S1335" i="1" a="1"/>
  <c r="S1335" i="1" s="1"/>
  <c r="S1336" i="1" a="1"/>
  <c r="S1336" i="1" s="1"/>
  <c r="S1337" i="1" a="1"/>
  <c r="S1337" i="1" s="1"/>
  <c r="S1338" i="1" a="1"/>
  <c r="S1338" i="1" s="1"/>
  <c r="S1339" i="1" a="1"/>
  <c r="S1339" i="1" s="1"/>
  <c r="S1340" i="1" a="1"/>
  <c r="S1340" i="1" s="1"/>
  <c r="S1341" i="1" a="1"/>
  <c r="S1341" i="1" s="1"/>
  <c r="S1342" i="1" a="1"/>
  <c r="S1342" i="1" s="1"/>
  <c r="S1343" i="1" a="1"/>
  <c r="S1343" i="1" s="1"/>
  <c r="S1344" i="1" a="1"/>
  <c r="S1344" i="1" s="1"/>
  <c r="S1345" i="1" a="1"/>
  <c r="S1345" i="1" s="1"/>
  <c r="S1346" i="1" a="1"/>
  <c r="S1346" i="1" s="1"/>
  <c r="S1347" i="1" a="1"/>
  <c r="S1347" i="1" s="1"/>
  <c r="S1348" i="1" a="1"/>
  <c r="S1348" i="1" s="1"/>
  <c r="S1349" i="1" a="1"/>
  <c r="S1349" i="1"/>
  <c r="S1350" i="1" a="1"/>
  <c r="S1350" i="1" s="1"/>
  <c r="S1351" i="1" a="1"/>
  <c r="S1351" i="1" s="1"/>
  <c r="S1352" i="1" a="1"/>
  <c r="S1352" i="1" s="1"/>
  <c r="S1353" i="1" a="1"/>
  <c r="S1353" i="1" s="1"/>
  <c r="S1354" i="1" a="1"/>
  <c r="S1354" i="1" s="1"/>
  <c r="S1355" i="1" a="1"/>
  <c r="S1355" i="1" s="1"/>
  <c r="S1356" i="1" a="1"/>
  <c r="S1356" i="1" s="1"/>
  <c r="S1357" i="1" a="1"/>
  <c r="S1357" i="1" s="1"/>
  <c r="S1358" i="1" a="1"/>
  <c r="S1358" i="1" s="1"/>
  <c r="S1359" i="1" a="1"/>
  <c r="S1359" i="1" s="1"/>
  <c r="S1360" i="1" a="1"/>
  <c r="S1360" i="1" s="1"/>
  <c r="S1361" i="1" a="1"/>
  <c r="S1361" i="1" s="1"/>
  <c r="S1362" i="1" a="1"/>
  <c r="S1362" i="1" s="1"/>
  <c r="S1363" i="1" a="1"/>
  <c r="S1363" i="1" s="1"/>
  <c r="S1364" i="1" a="1"/>
  <c r="S1364" i="1" s="1"/>
  <c r="S1365" i="1" a="1"/>
  <c r="S1365" i="1"/>
  <c r="S1366" i="1" a="1"/>
  <c r="S1366" i="1" s="1"/>
  <c r="S1367" i="1" a="1"/>
  <c r="S1367" i="1" s="1"/>
  <c r="S1368" i="1" a="1"/>
  <c r="S1368" i="1" s="1"/>
  <c r="S1369" i="1" a="1"/>
  <c r="S1369" i="1" s="1"/>
  <c r="S1370" i="1" a="1"/>
  <c r="S1370" i="1" s="1"/>
  <c r="S1371" i="1" a="1"/>
  <c r="S1371" i="1" s="1"/>
  <c r="S1372" i="1" a="1"/>
  <c r="S1372" i="1" s="1"/>
  <c r="S1373" i="1" a="1"/>
  <c r="S1373" i="1" s="1"/>
  <c r="S1374" i="1" a="1"/>
  <c r="S1374" i="1" s="1"/>
  <c r="S1375" i="1" a="1"/>
  <c r="S1375" i="1" s="1"/>
  <c r="S1376" i="1" a="1"/>
  <c r="S1376" i="1" s="1"/>
  <c r="S1377" i="1" a="1"/>
  <c r="S1377" i="1" s="1"/>
  <c r="S1378" i="1" a="1"/>
  <c r="S1378" i="1" s="1"/>
  <c r="S1379" i="1" a="1"/>
  <c r="S1379" i="1" s="1"/>
  <c r="S1380" i="1" a="1"/>
  <c r="S1380" i="1" s="1"/>
  <c r="S1381" i="1" a="1"/>
  <c r="S1381" i="1"/>
  <c r="S1382" i="1" a="1"/>
  <c r="S1382" i="1" s="1"/>
  <c r="S1383" i="1" a="1"/>
  <c r="S1383" i="1" s="1"/>
  <c r="S1384" i="1" a="1"/>
  <c r="S1384" i="1" s="1"/>
  <c r="S1385" i="1" a="1"/>
  <c r="S1385" i="1" s="1"/>
  <c r="S1386" i="1" a="1"/>
  <c r="S1386" i="1" s="1"/>
  <c r="S1387" i="1" a="1"/>
  <c r="S1387" i="1" s="1"/>
  <c r="S1388" i="1" a="1"/>
  <c r="S1388" i="1" s="1"/>
  <c r="S1389" i="1" a="1"/>
  <c r="S1389" i="1" s="1"/>
  <c r="S1390" i="1" a="1"/>
  <c r="S1390" i="1" s="1"/>
  <c r="S1391" i="1" a="1"/>
  <c r="S1391" i="1" s="1"/>
  <c r="S1392" i="1" a="1"/>
  <c r="S1392" i="1" s="1"/>
  <c r="S1393" i="1" a="1"/>
  <c r="S1393" i="1" s="1"/>
  <c r="S1394" i="1" a="1"/>
  <c r="S1394" i="1" s="1"/>
  <c r="S1395" i="1" a="1"/>
  <c r="S1395" i="1" s="1"/>
  <c r="S1396" i="1" a="1"/>
  <c r="S1396" i="1" s="1"/>
  <c r="S1397" i="1" a="1"/>
  <c r="S1397" i="1"/>
  <c r="S1398" i="1" a="1"/>
  <c r="S1398" i="1" s="1"/>
  <c r="S1399" i="1" a="1"/>
  <c r="S1399" i="1" s="1"/>
  <c r="S1400" i="1" a="1"/>
  <c r="S1400" i="1" s="1"/>
  <c r="S1401" i="1" a="1"/>
  <c r="S1401" i="1" s="1"/>
  <c r="S1402" i="1" a="1"/>
  <c r="S1402" i="1" s="1"/>
  <c r="S1403" i="1" a="1"/>
  <c r="S1403" i="1" s="1"/>
  <c r="S1404" i="1" a="1"/>
  <c r="S1404" i="1" s="1"/>
  <c r="S1405" i="1" a="1"/>
  <c r="S1405" i="1" s="1"/>
  <c r="S1406" i="1" a="1"/>
  <c r="S1406" i="1" s="1"/>
  <c r="S1407" i="1" a="1"/>
  <c r="S1407" i="1" s="1"/>
  <c r="S1408" i="1" a="1"/>
  <c r="S1408" i="1" s="1"/>
  <c r="S1409" i="1" a="1"/>
  <c r="S1409" i="1" s="1"/>
  <c r="S1410" i="1" a="1"/>
  <c r="S1410" i="1" s="1"/>
  <c r="S1411" i="1" a="1"/>
  <c r="S1411" i="1" s="1"/>
  <c r="S1412" i="1" a="1"/>
  <c r="S1412" i="1" s="1"/>
  <c r="S1413" i="1" a="1"/>
  <c r="S1413" i="1"/>
  <c r="S1414" i="1" a="1"/>
  <c r="S1414" i="1" s="1"/>
  <c r="S1415" i="1" a="1"/>
  <c r="S1415" i="1" s="1"/>
  <c r="S1416" i="1" a="1"/>
  <c r="S1416" i="1" s="1"/>
  <c r="S1417" i="1" a="1"/>
  <c r="S1417" i="1" s="1"/>
  <c r="S1418" i="1" a="1"/>
  <c r="S1418" i="1" s="1"/>
  <c r="S1419" i="1" a="1"/>
  <c r="S1419" i="1" s="1"/>
  <c r="S1420" i="1" a="1"/>
  <c r="S1420" i="1" s="1"/>
  <c r="S1421" i="1" a="1"/>
  <c r="S1421" i="1" s="1"/>
  <c r="S1422" i="1" a="1"/>
  <c r="S1422" i="1" s="1"/>
  <c r="S1423" i="1" a="1"/>
  <c r="S1423" i="1" s="1"/>
  <c r="S1424" i="1" a="1"/>
  <c r="S1424" i="1" s="1"/>
  <c r="S1425" i="1" a="1"/>
  <c r="S1425" i="1" s="1"/>
  <c r="S1426" i="1" a="1"/>
  <c r="S1426" i="1" s="1"/>
  <c r="S1427" i="1" a="1"/>
  <c r="S1427" i="1" s="1"/>
  <c r="S1428" i="1" a="1"/>
  <c r="S1428" i="1" s="1"/>
  <c r="S1429" i="1" a="1"/>
  <c r="S1429" i="1"/>
  <c r="S1430" i="1" a="1"/>
  <c r="S1430" i="1" s="1"/>
  <c r="S1431" i="1" a="1"/>
  <c r="S1431" i="1" s="1"/>
  <c r="S1432" i="1" a="1"/>
  <c r="S1432" i="1" s="1"/>
  <c r="S1433" i="1" a="1"/>
  <c r="S1433" i="1" s="1"/>
  <c r="S1434" i="1" a="1"/>
  <c r="S1434" i="1" s="1"/>
  <c r="S1435" i="1" a="1"/>
  <c r="S1435" i="1" s="1"/>
  <c r="S1436" i="1" a="1"/>
  <c r="S1436" i="1" s="1"/>
  <c r="S1437" i="1" a="1"/>
  <c r="S1437" i="1" s="1"/>
  <c r="S1438" i="1" a="1"/>
  <c r="S1438" i="1" s="1"/>
  <c r="S1439" i="1" a="1"/>
  <c r="S1439" i="1" s="1"/>
  <c r="S1440" i="1" a="1"/>
  <c r="S1440" i="1" s="1"/>
  <c r="S1441" i="1" a="1"/>
  <c r="S1441" i="1" s="1"/>
  <c r="S1442" i="1" a="1"/>
  <c r="S1442" i="1" s="1"/>
  <c r="S1443" i="1" a="1"/>
  <c r="S1443" i="1" s="1"/>
  <c r="S1444" i="1" a="1"/>
  <c r="S1444" i="1" s="1"/>
  <c r="S1445" i="1" a="1"/>
  <c r="S1445" i="1"/>
  <c r="S1446" i="1" a="1"/>
  <c r="S1446" i="1" s="1"/>
  <c r="S1447" i="1" a="1"/>
  <c r="S1447" i="1" s="1"/>
  <c r="S1448" i="1" a="1"/>
  <c r="S1448" i="1" s="1"/>
  <c r="S1449" i="1" a="1"/>
  <c r="S1449" i="1" s="1"/>
  <c r="S1450" i="1" a="1"/>
  <c r="S1450" i="1" s="1"/>
  <c r="S1451" i="1" a="1"/>
  <c r="S1451" i="1" s="1"/>
  <c r="S1452" i="1" a="1"/>
  <c r="S1452" i="1" s="1"/>
  <c r="S1453" i="1" a="1"/>
  <c r="S1453" i="1" s="1"/>
  <c r="S1454" i="1" a="1"/>
  <c r="S1454" i="1" s="1"/>
  <c r="S1455" i="1" a="1"/>
  <c r="S1455" i="1" s="1"/>
  <c r="S1456" i="1" a="1"/>
  <c r="S1456" i="1" s="1"/>
  <c r="S1457" i="1" a="1"/>
  <c r="S1457" i="1" s="1"/>
  <c r="S1458" i="1" a="1"/>
  <c r="S1458" i="1" s="1"/>
  <c r="S1459" i="1" a="1"/>
  <c r="S1459" i="1" s="1"/>
  <c r="S1460" i="1" a="1"/>
  <c r="S1460" i="1" s="1"/>
  <c r="S1461" i="1" a="1"/>
  <c r="S1461" i="1"/>
  <c r="S1462" i="1" a="1"/>
  <c r="S1462" i="1" s="1"/>
  <c r="S1463" i="1" a="1"/>
  <c r="S1463" i="1" s="1"/>
  <c r="S1464" i="1" a="1"/>
  <c r="S1464" i="1" s="1"/>
  <c r="S1465" i="1" a="1"/>
  <c r="S1465" i="1" s="1"/>
  <c r="S1466" i="1" a="1"/>
  <c r="S1466" i="1" s="1"/>
  <c r="S1467" i="1" a="1"/>
  <c r="S1467" i="1" s="1"/>
  <c r="S1468" i="1" a="1"/>
  <c r="S1468" i="1" s="1"/>
  <c r="S1469" i="1" a="1"/>
  <c r="S1469" i="1" s="1"/>
  <c r="S1470" i="1" a="1"/>
  <c r="S1470" i="1" s="1"/>
  <c r="S1471" i="1" a="1"/>
  <c r="S1471" i="1" s="1"/>
  <c r="S1472" i="1" a="1"/>
  <c r="S1472" i="1" s="1"/>
  <c r="S1473" i="1" a="1"/>
  <c r="S1473" i="1" s="1"/>
  <c r="S1474" i="1" a="1"/>
  <c r="S1474" i="1" s="1"/>
  <c r="S1475" i="1" a="1"/>
  <c r="S1475" i="1" s="1"/>
  <c r="S1476" i="1" a="1"/>
  <c r="S1476" i="1" s="1"/>
  <c r="S1477" i="1" a="1"/>
  <c r="S1477" i="1"/>
  <c r="S1478" i="1" a="1"/>
  <c r="S1478" i="1" s="1"/>
  <c r="S1479" i="1" a="1"/>
  <c r="S1479" i="1" s="1"/>
  <c r="S1480" i="1" a="1"/>
  <c r="S1480" i="1" s="1"/>
  <c r="S1481" i="1" a="1"/>
  <c r="S1481" i="1" s="1"/>
  <c r="S1482" i="1" a="1"/>
  <c r="S1482" i="1" s="1"/>
  <c r="S1483" i="1" a="1"/>
  <c r="S1483" i="1" s="1"/>
  <c r="S1484" i="1" a="1"/>
  <c r="S1484" i="1" s="1"/>
  <c r="S1485" i="1" a="1"/>
  <c r="S1485" i="1" s="1"/>
  <c r="S1486" i="1" a="1"/>
  <c r="S1486" i="1" s="1"/>
  <c r="S1487" i="1" a="1"/>
  <c r="S1487" i="1" s="1"/>
  <c r="S1488" i="1" a="1"/>
  <c r="S1488" i="1" s="1"/>
  <c r="S1489" i="1" a="1"/>
  <c r="S1489" i="1" s="1"/>
  <c r="S1490" i="1" a="1"/>
  <c r="S1490" i="1" s="1"/>
  <c r="S1491" i="1" a="1"/>
  <c r="S1491" i="1" s="1"/>
  <c r="S1492" i="1" a="1"/>
  <c r="S1492" i="1" s="1"/>
  <c r="S1493" i="1" a="1"/>
  <c r="S1493" i="1"/>
  <c r="S1494" i="1" a="1"/>
  <c r="S1494" i="1" s="1"/>
  <c r="S1495" i="1" a="1"/>
  <c r="S1495" i="1" s="1"/>
  <c r="S1496" i="1" a="1"/>
  <c r="S1496" i="1" s="1"/>
  <c r="S1497" i="1" a="1"/>
  <c r="S1497" i="1" s="1"/>
  <c r="S1498" i="1" a="1"/>
  <c r="S1498" i="1" s="1"/>
  <c r="S1499" i="1" a="1"/>
  <c r="S1499" i="1" s="1"/>
  <c r="S1500" i="1" a="1"/>
  <c r="S1500" i="1" s="1"/>
  <c r="S1501" i="1" a="1"/>
  <c r="S1501" i="1" s="1"/>
  <c r="S1502" i="1" a="1"/>
  <c r="S1502" i="1" s="1"/>
  <c r="S1503" i="1" a="1"/>
  <c r="S1503" i="1" s="1"/>
  <c r="S1504" i="1" a="1"/>
  <c r="S1504" i="1" s="1"/>
  <c r="S1505" i="1" a="1"/>
  <c r="S1505" i="1" s="1"/>
  <c r="S1506" i="1" a="1"/>
  <c r="S1506" i="1" s="1"/>
  <c r="S1507" i="1" a="1"/>
  <c r="S1507" i="1" s="1"/>
  <c r="S1508" i="1" a="1"/>
  <c r="S1508" i="1" s="1"/>
  <c r="S1509" i="1" a="1"/>
  <c r="S1509" i="1"/>
  <c r="S1510" i="1" a="1"/>
  <c r="S1510" i="1" s="1"/>
  <c r="S1511" i="1" a="1"/>
  <c r="S1511" i="1" s="1"/>
  <c r="S1512" i="1" a="1"/>
  <c r="S1512" i="1" s="1"/>
  <c r="S1513" i="1" a="1"/>
  <c r="S1513" i="1" s="1"/>
  <c r="S1514" i="1" a="1"/>
  <c r="S1514" i="1" s="1"/>
  <c r="S1515" i="1" a="1"/>
  <c r="S1515" i="1" s="1"/>
  <c r="S1516" i="1" a="1"/>
  <c r="S1516" i="1" s="1"/>
  <c r="S1517" i="1" a="1"/>
  <c r="S1517" i="1" s="1"/>
  <c r="S1518" i="1" a="1"/>
  <c r="S1518" i="1" s="1"/>
  <c r="S1519" i="1" a="1"/>
  <c r="S1519" i="1" s="1"/>
  <c r="S1520" i="1" a="1"/>
  <c r="S1520" i="1" s="1"/>
  <c r="S1521" i="1" a="1"/>
  <c r="S1521" i="1" s="1"/>
  <c r="S1522" i="1" a="1"/>
  <c r="S1522" i="1" s="1"/>
  <c r="S1523" i="1" a="1"/>
  <c r="S1523" i="1" s="1"/>
  <c r="S1524" i="1" a="1"/>
  <c r="S1524" i="1" s="1"/>
  <c r="S1525" i="1" a="1"/>
  <c r="S1525" i="1"/>
  <c r="S1526" i="1" a="1"/>
  <c r="S1526" i="1" s="1"/>
  <c r="S1527" i="1" a="1"/>
  <c r="S1527" i="1" s="1"/>
  <c r="S1528" i="1" a="1"/>
  <c r="S1528" i="1" s="1"/>
  <c r="S1529" i="1" a="1"/>
  <c r="S1529" i="1" s="1"/>
  <c r="S1530" i="1" a="1"/>
  <c r="S1530" i="1" s="1"/>
  <c r="S1531" i="1" a="1"/>
  <c r="S1531" i="1" s="1"/>
  <c r="S1532" i="1" a="1"/>
  <c r="S1532" i="1" s="1"/>
  <c r="S1533" i="1" a="1"/>
  <c r="S1533" i="1" s="1"/>
  <c r="S1534" i="1" a="1"/>
  <c r="S1534" i="1" s="1"/>
  <c r="S1535" i="1" a="1"/>
  <c r="S1535" i="1" s="1"/>
  <c r="S1536" i="1" a="1"/>
  <c r="S1536" i="1" s="1"/>
  <c r="S1537" i="1" a="1"/>
  <c r="S1537" i="1" s="1"/>
  <c r="S1538" i="1" a="1"/>
  <c r="S1538" i="1" s="1"/>
  <c r="S1539" i="1" a="1"/>
  <c r="S1539" i="1" s="1"/>
  <c r="S1540" i="1" a="1"/>
  <c r="S1540" i="1" s="1"/>
  <c r="S1541" i="1" a="1"/>
  <c r="S1541" i="1" s="1"/>
  <c r="S1542" i="1" a="1"/>
  <c r="S1542" i="1" s="1"/>
  <c r="S1543" i="1" a="1"/>
  <c r="S1543" i="1" s="1"/>
  <c r="S1544" i="1" a="1"/>
  <c r="S1544" i="1" s="1"/>
  <c r="S1545" i="1" a="1"/>
  <c r="S1545" i="1" s="1"/>
  <c r="S1546" i="1" a="1"/>
  <c r="S1546" i="1" s="1"/>
  <c r="S1547" i="1" a="1"/>
  <c r="S1547" i="1" s="1"/>
  <c r="S1548" i="1" a="1"/>
  <c r="S1548" i="1" s="1"/>
  <c r="S1549" i="1" a="1"/>
  <c r="S1549" i="1" s="1"/>
  <c r="S1550" i="1" a="1"/>
  <c r="S1550" i="1" s="1"/>
  <c r="S1551" i="1" a="1"/>
  <c r="S1551" i="1" s="1"/>
  <c r="S1552" i="1" a="1"/>
  <c r="S1552" i="1" s="1"/>
  <c r="S1553" i="1" a="1"/>
  <c r="S1553" i="1" s="1"/>
  <c r="S1554" i="1" a="1"/>
  <c r="S1554" i="1" s="1"/>
  <c r="S1555" i="1" a="1"/>
  <c r="S1555" i="1" s="1"/>
  <c r="S1556" i="1" a="1"/>
  <c r="S1556" i="1" s="1"/>
  <c r="S1557" i="1" a="1"/>
  <c r="S1557" i="1" s="1"/>
  <c r="S1558" i="1" a="1"/>
  <c r="S1558" i="1"/>
  <c r="S1559" i="1" a="1"/>
  <c r="S1559" i="1" s="1"/>
  <c r="S1560" i="1" a="1"/>
  <c r="S1560" i="1" s="1"/>
  <c r="S1561" i="1" a="1"/>
  <c r="S1561" i="1" s="1"/>
  <c r="S1562" i="1" a="1"/>
  <c r="S1562" i="1" s="1"/>
  <c r="S1563" i="1" a="1"/>
  <c r="S1563" i="1" s="1"/>
  <c r="S1564" i="1" a="1"/>
  <c r="S1564" i="1" s="1"/>
  <c r="S1565" i="1" a="1"/>
  <c r="S1565" i="1" s="1"/>
  <c r="S1566" i="1" a="1"/>
  <c r="S1566" i="1"/>
  <c r="S1567" i="1" a="1"/>
  <c r="S1567" i="1" s="1"/>
  <c r="S1568" i="1" a="1"/>
  <c r="S1568" i="1" s="1"/>
  <c r="S1569" i="1" a="1"/>
  <c r="S1569" i="1" s="1"/>
  <c r="S1570" i="1" a="1"/>
  <c r="S1570" i="1" s="1"/>
  <c r="S1571" i="1" a="1"/>
  <c r="S1571" i="1" s="1"/>
  <c r="S1572" i="1" a="1"/>
  <c r="S1572" i="1" s="1"/>
  <c r="S1573" i="1" a="1"/>
  <c r="S1573" i="1" s="1"/>
  <c r="S1574" i="1" a="1"/>
  <c r="S1574" i="1"/>
  <c r="S1575" i="1" a="1"/>
  <c r="S1575" i="1" s="1"/>
  <c r="S1576" i="1" a="1"/>
  <c r="S1576" i="1" s="1"/>
  <c r="S1577" i="1" a="1"/>
  <c r="S1577" i="1" s="1"/>
  <c r="S1578" i="1" a="1"/>
  <c r="S1578" i="1" s="1"/>
  <c r="S1579" i="1" a="1"/>
  <c r="S1579" i="1" s="1"/>
  <c r="S1580" i="1" a="1"/>
  <c r="S1580" i="1" s="1"/>
  <c r="S1581" i="1" a="1"/>
  <c r="S1581" i="1" s="1"/>
  <c r="S1582" i="1" a="1"/>
  <c r="S1582" i="1"/>
  <c r="S1583" i="1" a="1"/>
  <c r="S1583" i="1" s="1"/>
  <c r="S1584" i="1" a="1"/>
  <c r="S1584" i="1" s="1"/>
  <c r="S1585" i="1" a="1"/>
  <c r="S1585" i="1" s="1"/>
  <c r="S1586" i="1" a="1"/>
  <c r="S1586" i="1" s="1"/>
  <c r="S1587" i="1" a="1"/>
  <c r="S1587" i="1" s="1"/>
  <c r="S1588" i="1" a="1"/>
  <c r="S1588" i="1" s="1"/>
  <c r="S1589" i="1" a="1"/>
  <c r="S1589" i="1" s="1"/>
  <c r="S1590" i="1" a="1"/>
  <c r="S1590" i="1"/>
  <c r="S1591" i="1" a="1"/>
  <c r="S1591" i="1" s="1"/>
  <c r="S1592" i="1" a="1"/>
  <c r="S1592" i="1" s="1"/>
  <c r="S1593" i="1" a="1"/>
  <c r="S1593" i="1" s="1"/>
  <c r="S1594" i="1" a="1"/>
  <c r="S1594" i="1" s="1"/>
  <c r="S1595" i="1" a="1"/>
  <c r="S1595" i="1" s="1"/>
  <c r="S1596" i="1" a="1"/>
  <c r="S1596" i="1" s="1"/>
  <c r="S1597" i="1" a="1"/>
  <c r="S1597" i="1" s="1"/>
  <c r="S1598" i="1" a="1"/>
  <c r="S1598" i="1"/>
  <c r="S1599" i="1" a="1"/>
  <c r="S1599" i="1" s="1"/>
  <c r="S1600" i="1" a="1"/>
  <c r="S1600" i="1" s="1"/>
  <c r="S1601" i="1" a="1"/>
  <c r="S1601" i="1" s="1"/>
  <c r="S1602" i="1" a="1"/>
  <c r="S1602" i="1" s="1"/>
  <c r="S1603" i="1" a="1"/>
  <c r="S1603" i="1" s="1"/>
  <c r="S1604" i="1" a="1"/>
  <c r="S1604" i="1" s="1"/>
  <c r="S1605" i="1" a="1"/>
  <c r="S1605" i="1" s="1"/>
  <c r="S1606" i="1" a="1"/>
  <c r="S1606" i="1"/>
  <c r="S1607" i="1" a="1"/>
  <c r="S1607" i="1" s="1"/>
  <c r="S1608" i="1" a="1"/>
  <c r="S1608" i="1" s="1"/>
  <c r="S1609" i="1" a="1"/>
  <c r="S1609" i="1" s="1"/>
  <c r="S1610" i="1" a="1"/>
  <c r="S1610" i="1" s="1"/>
  <c r="S1611" i="1" a="1"/>
  <c r="S1611" i="1" s="1"/>
  <c r="S1612" i="1" a="1"/>
  <c r="S1612" i="1" s="1"/>
  <c r="S1613" i="1" a="1"/>
  <c r="S1613" i="1" s="1"/>
  <c r="S1614" i="1" a="1"/>
  <c r="S1614" i="1"/>
  <c r="S1615" i="1" a="1"/>
  <c r="S1615" i="1" s="1"/>
  <c r="S1616" i="1" a="1"/>
  <c r="S1616" i="1" s="1"/>
  <c r="S1617" i="1" a="1"/>
  <c r="S1617" i="1" s="1"/>
  <c r="S1618" i="1" a="1"/>
  <c r="S1618" i="1" s="1"/>
  <c r="S1619" i="1" a="1"/>
  <c r="S1619" i="1" s="1"/>
  <c r="S1620" i="1" a="1"/>
  <c r="S1620" i="1" s="1"/>
  <c r="S1621" i="1" a="1"/>
  <c r="S1621" i="1" s="1"/>
  <c r="S1622" i="1" a="1"/>
  <c r="S1622" i="1"/>
  <c r="S1623" i="1" a="1"/>
  <c r="S1623" i="1" s="1"/>
  <c r="S1624" i="1" a="1"/>
  <c r="S1624" i="1" s="1"/>
  <c r="S1625" i="1" a="1"/>
  <c r="S1625" i="1" s="1"/>
  <c r="S1626" i="1" a="1"/>
  <c r="S1626" i="1" s="1"/>
  <c r="S1627" i="1" a="1"/>
  <c r="S1627" i="1" s="1"/>
  <c r="S1628" i="1" a="1"/>
  <c r="S1628" i="1" s="1"/>
  <c r="S1629" i="1" a="1"/>
  <c r="S1629" i="1" s="1"/>
  <c r="S1630" i="1" a="1"/>
  <c r="S1630" i="1"/>
  <c r="S1631" i="1" a="1"/>
  <c r="S1631" i="1" s="1"/>
  <c r="S1632" i="1" a="1"/>
  <c r="S1632" i="1" s="1"/>
  <c r="S1633" i="1" a="1"/>
  <c r="S1633" i="1" s="1"/>
  <c r="S1634" i="1" a="1"/>
  <c r="S1634" i="1" s="1"/>
  <c r="S1635" i="1" a="1"/>
  <c r="S1635" i="1" s="1"/>
  <c r="S1636" i="1" a="1"/>
  <c r="S1636" i="1" s="1"/>
  <c r="S1637" i="1" a="1"/>
  <c r="S1637" i="1" s="1"/>
  <c r="S1638" i="1" a="1"/>
  <c r="S1638" i="1"/>
  <c r="S1639" i="1" a="1"/>
  <c r="S1639" i="1" s="1"/>
  <c r="S1640" i="1" a="1"/>
  <c r="S1640" i="1" s="1"/>
  <c r="S1641" i="1" a="1"/>
  <c r="S1641" i="1" s="1"/>
  <c r="S1642" i="1" a="1"/>
  <c r="S1642" i="1" s="1"/>
  <c r="S1643" i="1" a="1"/>
  <c r="S1643" i="1" s="1"/>
  <c r="S1644" i="1" a="1"/>
  <c r="S1644" i="1" s="1"/>
  <c r="S1645" i="1" a="1"/>
  <c r="S1645" i="1" s="1"/>
  <c r="S1646" i="1" a="1"/>
  <c r="S1646" i="1"/>
  <c r="S1647" i="1" a="1"/>
  <c r="S1647" i="1" s="1"/>
  <c r="S1648" i="1" a="1"/>
  <c r="S1648" i="1" s="1"/>
  <c r="S1649" i="1" a="1"/>
  <c r="S1649" i="1" s="1"/>
  <c r="S1650" i="1" a="1"/>
  <c r="S1650" i="1" s="1"/>
  <c r="S1651" i="1" a="1"/>
  <c r="S1651" i="1" s="1"/>
  <c r="S1652" i="1" a="1"/>
  <c r="S1652" i="1" s="1"/>
  <c r="S1653" i="1" a="1"/>
  <c r="S1653" i="1" s="1"/>
  <c r="S1654" i="1" a="1"/>
  <c r="S1654" i="1"/>
  <c r="S1655" i="1" a="1"/>
  <c r="S1655" i="1" s="1"/>
  <c r="S1656" i="1" a="1"/>
  <c r="S1656" i="1" s="1"/>
  <c r="S1657" i="1" a="1"/>
  <c r="S1657" i="1" s="1"/>
  <c r="S1658" i="1" a="1"/>
  <c r="S1658" i="1" s="1"/>
  <c r="S1659" i="1" a="1"/>
  <c r="S1659" i="1" s="1"/>
  <c r="S1660" i="1" a="1"/>
  <c r="S1660" i="1" s="1"/>
  <c r="S1661" i="1" a="1"/>
  <c r="S1661" i="1" s="1"/>
  <c r="S1662" i="1" a="1"/>
  <c r="S1662" i="1"/>
  <c r="S1663" i="1" a="1"/>
  <c r="S1663" i="1" s="1"/>
  <c r="S1664" i="1" a="1"/>
  <c r="S1664" i="1" s="1"/>
  <c r="S1665" i="1" a="1"/>
  <c r="S1665" i="1" s="1"/>
  <c r="S1666" i="1" a="1"/>
  <c r="S1666" i="1" s="1"/>
  <c r="S1667" i="1" a="1"/>
  <c r="S1667" i="1" s="1"/>
  <c r="S1668" i="1" a="1"/>
  <c r="S1668" i="1" s="1"/>
  <c r="S1669" i="1" a="1"/>
  <c r="S1669" i="1" s="1"/>
  <c r="S1670" i="1" a="1"/>
  <c r="S1670" i="1"/>
  <c r="S1671" i="1" a="1"/>
  <c r="S1671" i="1" s="1"/>
  <c r="S1672" i="1" a="1"/>
  <c r="S1672" i="1" s="1"/>
  <c r="S1673" i="1" a="1"/>
  <c r="S1673" i="1" s="1"/>
  <c r="S1674" i="1" a="1"/>
  <c r="S1674" i="1" s="1"/>
  <c r="S1675" i="1" a="1"/>
  <c r="S1675" i="1" s="1"/>
  <c r="S1676" i="1" a="1"/>
  <c r="S1676" i="1" s="1"/>
  <c r="S1677" i="1" a="1"/>
  <c r="S1677" i="1" s="1"/>
  <c r="S1678" i="1" a="1"/>
  <c r="S1678" i="1"/>
  <c r="S1679" i="1" a="1"/>
  <c r="S1679" i="1" s="1"/>
  <c r="S1680" i="1" a="1"/>
  <c r="S1680" i="1" s="1"/>
  <c r="S1681" i="1" a="1"/>
  <c r="S1681" i="1" s="1"/>
  <c r="S1682" i="1" a="1"/>
  <c r="S1682" i="1" s="1"/>
  <c r="S1683" i="1" a="1"/>
  <c r="S1683" i="1" s="1"/>
  <c r="S1684" i="1" a="1"/>
  <c r="S1684" i="1" s="1"/>
  <c r="S1685" i="1" a="1"/>
  <c r="S1685" i="1" s="1"/>
  <c r="S1686" i="1" a="1"/>
  <c r="S1686" i="1"/>
  <c r="S1687" i="1" a="1"/>
  <c r="S1687" i="1" s="1"/>
  <c r="S1688" i="1" a="1"/>
  <c r="S1688" i="1" s="1"/>
  <c r="S1689" i="1" a="1"/>
  <c r="S1689" i="1" s="1"/>
  <c r="S1690" i="1" a="1"/>
  <c r="S1690" i="1" s="1"/>
  <c r="S1691" i="1" a="1"/>
  <c r="S1691" i="1" s="1"/>
  <c r="S1692" i="1" a="1"/>
  <c r="S1692" i="1" s="1"/>
  <c r="S1693" i="1" a="1"/>
  <c r="S1693" i="1" s="1"/>
  <c r="S1694" i="1" a="1"/>
  <c r="S1694" i="1"/>
  <c r="S1695" i="1" a="1"/>
  <c r="S1695" i="1" s="1"/>
  <c r="S1696" i="1" a="1"/>
  <c r="S1696" i="1" s="1"/>
  <c r="S1697" i="1" a="1"/>
  <c r="S1697" i="1" s="1"/>
  <c r="S1698" i="1" a="1"/>
  <c r="S1698" i="1" s="1"/>
  <c r="S1699" i="1" a="1"/>
  <c r="S1699" i="1" s="1"/>
  <c r="S1700" i="1" a="1"/>
  <c r="S1700" i="1" s="1"/>
  <c r="S1701" i="1" a="1"/>
  <c r="S1701" i="1" s="1"/>
  <c r="S1702" i="1" a="1"/>
  <c r="S1702" i="1"/>
  <c r="S1703" i="1" a="1"/>
  <c r="S1703" i="1" s="1"/>
  <c r="S1704" i="1" a="1"/>
  <c r="S1704" i="1" s="1"/>
  <c r="S1705" i="1" a="1"/>
  <c r="S1705" i="1" s="1"/>
  <c r="S1706" i="1" a="1"/>
  <c r="S1706" i="1" s="1"/>
  <c r="S1707" i="1" a="1"/>
  <c r="S1707" i="1" s="1"/>
  <c r="S1708" i="1" a="1"/>
  <c r="S1708" i="1" s="1"/>
  <c r="S1709" i="1" a="1"/>
  <c r="S1709" i="1" s="1"/>
  <c r="S1710" i="1" a="1"/>
  <c r="S1710" i="1"/>
  <c r="S1711" i="1" a="1"/>
  <c r="S1711" i="1" s="1"/>
  <c r="S1712" i="1" a="1"/>
  <c r="S1712" i="1" s="1"/>
  <c r="S1713" i="1" a="1"/>
  <c r="S1713" i="1" s="1"/>
  <c r="S1714" i="1" a="1"/>
  <c r="S1714" i="1" s="1"/>
  <c r="S1715" i="1" a="1"/>
  <c r="S1715" i="1" s="1"/>
  <c r="S1716" i="1" a="1"/>
  <c r="S1716" i="1" s="1"/>
  <c r="S1717" i="1" a="1"/>
  <c r="S1717" i="1" s="1"/>
  <c r="S1718" i="1" a="1"/>
  <c r="S1718" i="1"/>
  <c r="S1719" i="1" a="1"/>
  <c r="S1719" i="1" s="1"/>
  <c r="S1720" i="1" a="1"/>
  <c r="S1720" i="1" s="1"/>
  <c r="S1721" i="1" a="1"/>
  <c r="S1721" i="1" s="1"/>
  <c r="S1722" i="1" a="1"/>
  <c r="S1722" i="1" s="1"/>
  <c r="S1723" i="1" a="1"/>
  <c r="S1723" i="1" s="1"/>
  <c r="S1724" i="1" a="1"/>
  <c r="S1724" i="1" s="1"/>
  <c r="S1725" i="1" a="1"/>
  <c r="S1725" i="1" s="1"/>
  <c r="S1726" i="1" a="1"/>
  <c r="S1726" i="1"/>
  <c r="S1727" i="1" a="1"/>
  <c r="S1727" i="1" s="1"/>
  <c r="S1728" i="1" a="1"/>
  <c r="S1728" i="1" s="1"/>
  <c r="S1729" i="1" a="1"/>
  <c r="S1729" i="1" s="1"/>
  <c r="S1730" i="1" a="1"/>
  <c r="S1730" i="1" s="1"/>
  <c r="S1731" i="1" a="1"/>
  <c r="S1731" i="1" s="1"/>
  <c r="S1732" i="1" a="1"/>
  <c r="S1732" i="1" s="1"/>
  <c r="S1733" i="1" a="1"/>
  <c r="S1733" i="1" s="1"/>
  <c r="S1734" i="1" a="1"/>
  <c r="S1734" i="1"/>
  <c r="S1735" i="1" a="1"/>
  <c r="S1735" i="1" s="1"/>
  <c r="S1736" i="1" a="1"/>
  <c r="S1736" i="1" s="1"/>
  <c r="S1737" i="1" a="1"/>
  <c r="S1737" i="1" s="1"/>
  <c r="S1738" i="1" a="1"/>
  <c r="S1738" i="1" s="1"/>
  <c r="S1739" i="1" a="1"/>
  <c r="S1739" i="1" s="1"/>
  <c r="S1740" i="1" a="1"/>
  <c r="S1740" i="1" s="1"/>
  <c r="S1741" i="1" a="1"/>
  <c r="S1741" i="1" s="1"/>
  <c r="S1742" i="1" a="1"/>
  <c r="S1742" i="1"/>
  <c r="S1743" i="1" a="1"/>
  <c r="S1743" i="1" s="1"/>
  <c r="S1744" i="1" a="1"/>
  <c r="S1744" i="1" s="1"/>
  <c r="S1745" i="1" a="1"/>
  <c r="S1745" i="1" s="1"/>
  <c r="S1746" i="1" a="1"/>
  <c r="S1746" i="1" s="1"/>
  <c r="S1747" i="1" a="1"/>
  <c r="S1747" i="1" s="1"/>
  <c r="S1748" i="1" a="1"/>
  <c r="S1748" i="1" s="1"/>
  <c r="S1749" i="1" a="1"/>
  <c r="S1749" i="1" s="1"/>
  <c r="S1750" i="1" a="1"/>
  <c r="S1750" i="1"/>
  <c r="S1751" i="1" a="1"/>
  <c r="S1751" i="1" s="1"/>
  <c r="S1752" i="1" a="1"/>
  <c r="S1752" i="1" s="1"/>
  <c r="S1753" i="1" a="1"/>
  <c r="S1753" i="1" s="1"/>
  <c r="S1754" i="1" a="1"/>
  <c r="S1754" i="1" s="1"/>
  <c r="S1755" i="1" a="1"/>
  <c r="S1755" i="1" s="1"/>
  <c r="S1756" i="1" a="1"/>
  <c r="S1756" i="1" s="1"/>
  <c r="S1757" i="1" a="1"/>
  <c r="S1757" i="1" s="1"/>
  <c r="S1758" i="1" a="1"/>
  <c r="S1758" i="1"/>
  <c r="S1759" i="1" a="1"/>
  <c r="S1759" i="1" s="1"/>
  <c r="S1760" i="1" a="1"/>
  <c r="S1760" i="1" s="1"/>
  <c r="S1761" i="1" a="1"/>
  <c r="S1761" i="1" s="1"/>
  <c r="S1762" i="1" a="1"/>
  <c r="S1762" i="1" s="1"/>
  <c r="S1763" i="1" a="1"/>
  <c r="S1763" i="1" s="1"/>
  <c r="S1764" i="1" a="1"/>
  <c r="S1764" i="1" s="1"/>
  <c r="S1765" i="1" a="1"/>
  <c r="S1765" i="1" s="1"/>
  <c r="S1766" i="1" a="1"/>
  <c r="S1766" i="1"/>
  <c r="S1767" i="1" a="1"/>
  <c r="S1767" i="1" s="1"/>
  <c r="S1768" i="1" a="1"/>
  <c r="S1768" i="1" s="1"/>
  <c r="S1769" i="1" a="1"/>
  <c r="S1769" i="1" s="1"/>
  <c r="S1770" i="1" a="1"/>
  <c r="S1770" i="1" s="1"/>
  <c r="S1771" i="1" a="1"/>
  <c r="S1771" i="1" s="1"/>
  <c r="S1772" i="1" a="1"/>
  <c r="S1772" i="1" s="1"/>
  <c r="S1773" i="1" a="1"/>
  <c r="S1773" i="1" s="1"/>
  <c r="S1774" i="1" a="1"/>
  <c r="S1774" i="1"/>
  <c r="S1775" i="1" a="1"/>
  <c r="S1775" i="1" s="1"/>
  <c r="S1776" i="1" a="1"/>
  <c r="S1776" i="1" s="1"/>
  <c r="S1777" i="1" a="1"/>
  <c r="S1777" i="1" s="1"/>
  <c r="S1778" i="1" a="1"/>
  <c r="S1778" i="1" s="1"/>
  <c r="S1779" i="1" a="1"/>
  <c r="S1779" i="1" s="1"/>
  <c r="S1780" i="1" a="1"/>
  <c r="S1780" i="1" s="1"/>
  <c r="S1781" i="1" a="1"/>
  <c r="S1781" i="1" s="1"/>
  <c r="S1782" i="1" a="1"/>
  <c r="S1782" i="1"/>
  <c r="S1783" i="1" a="1"/>
  <c r="S1783" i="1" s="1"/>
  <c r="S1784" i="1" a="1"/>
  <c r="S1784" i="1" s="1"/>
  <c r="S1785" i="1" a="1"/>
  <c r="S1785" i="1" s="1"/>
  <c r="S1786" i="1" a="1"/>
  <c r="S1786" i="1" s="1"/>
  <c r="S1787" i="1" a="1"/>
  <c r="S1787" i="1" s="1"/>
  <c r="S1788" i="1" a="1"/>
  <c r="S1788" i="1" s="1"/>
  <c r="S1789" i="1" a="1"/>
  <c r="S1789" i="1" s="1"/>
  <c r="S1790" i="1" a="1"/>
  <c r="S1790" i="1"/>
  <c r="S1791" i="1" a="1"/>
  <c r="S1791" i="1" s="1"/>
  <c r="S1792" i="1" a="1"/>
  <c r="S1792" i="1" s="1"/>
  <c r="S1793" i="1" a="1"/>
  <c r="S1793" i="1" s="1"/>
  <c r="S1794" i="1" a="1"/>
  <c r="S1794" i="1" s="1"/>
  <c r="S1795" i="1" a="1"/>
  <c r="S1795" i="1" s="1"/>
  <c r="S1796" i="1" a="1"/>
  <c r="S1796" i="1" s="1"/>
  <c r="S1797" i="1" a="1"/>
  <c r="S1797" i="1" s="1"/>
  <c r="S1798" i="1" a="1"/>
  <c r="S1798" i="1"/>
  <c r="S1799" i="1" a="1"/>
  <c r="S1799" i="1" s="1"/>
  <c r="S1800" i="1" a="1"/>
  <c r="S1800" i="1" s="1"/>
  <c r="S1801" i="1" a="1"/>
  <c r="S1801" i="1" s="1"/>
  <c r="S1802" i="1" a="1"/>
  <c r="S1802" i="1" s="1"/>
  <c r="S1803" i="1" a="1"/>
  <c r="S1803" i="1" s="1"/>
  <c r="S1804" i="1" a="1"/>
  <c r="S1804" i="1" s="1"/>
  <c r="S1805" i="1" a="1"/>
  <c r="S1805" i="1" s="1"/>
  <c r="S1806" i="1" a="1"/>
  <c r="S1806" i="1"/>
  <c r="S1807" i="1" a="1"/>
  <c r="S1807" i="1" s="1"/>
  <c r="S1808" i="1" a="1"/>
  <c r="S1808" i="1" s="1"/>
  <c r="S1809" i="1" a="1"/>
  <c r="S1809" i="1" s="1"/>
  <c r="S1810" i="1" a="1"/>
  <c r="S1810" i="1" s="1"/>
  <c r="S1811" i="1" a="1"/>
  <c r="S1811" i="1" s="1"/>
  <c r="S1812" i="1" a="1"/>
  <c r="S1812" i="1" s="1"/>
  <c r="S1813" i="1" a="1"/>
  <c r="S1813" i="1" s="1"/>
  <c r="S1814" i="1" a="1"/>
  <c r="S1814" i="1"/>
  <c r="S1815" i="1" a="1"/>
  <c r="S1815" i="1" s="1"/>
  <c r="S1816" i="1" a="1"/>
  <c r="S1816" i="1" s="1"/>
  <c r="S1817" i="1" a="1"/>
  <c r="S1817" i="1" s="1"/>
  <c r="S1818" i="1" a="1"/>
  <c r="S1818" i="1" s="1"/>
  <c r="S1819" i="1" a="1"/>
  <c r="S1819" i="1" s="1"/>
  <c r="S1820" i="1" a="1"/>
  <c r="S1820" i="1" s="1"/>
  <c r="S1821" i="1" a="1"/>
  <c r="S1821" i="1" s="1"/>
  <c r="S1822" i="1" a="1"/>
  <c r="S1822" i="1"/>
  <c r="S1823" i="1" a="1"/>
  <c r="S1823" i="1" s="1"/>
  <c r="S1824" i="1" a="1"/>
  <c r="S1824" i="1" s="1"/>
  <c r="S1825" i="1" a="1"/>
  <c r="S1825" i="1" s="1"/>
  <c r="S1826" i="1" a="1"/>
  <c r="S1826" i="1" s="1"/>
  <c r="S1827" i="1" a="1"/>
  <c r="S1827" i="1" s="1"/>
  <c r="S1828" i="1" a="1"/>
  <c r="S1828" i="1" s="1"/>
  <c r="S1829" i="1" a="1"/>
  <c r="S1829" i="1" s="1"/>
  <c r="S1830" i="1" a="1"/>
  <c r="S1830" i="1"/>
  <c r="S1831" i="1" a="1"/>
  <c r="S1831" i="1" s="1"/>
  <c r="S1832" i="1" a="1"/>
  <c r="S1832" i="1" s="1"/>
  <c r="S1833" i="1" a="1"/>
  <c r="S1833" i="1" s="1"/>
  <c r="S1834" i="1" a="1"/>
  <c r="S1834" i="1" s="1"/>
  <c r="S1835" i="1" a="1"/>
  <c r="S1835" i="1" s="1"/>
  <c r="S1836" i="1" a="1"/>
  <c r="S1836" i="1" s="1"/>
  <c r="S1837" i="1" a="1"/>
  <c r="S1837" i="1" s="1"/>
  <c r="S1838" i="1" a="1"/>
  <c r="S1838" i="1"/>
  <c r="S1839" i="1" a="1"/>
  <c r="S1839" i="1" s="1"/>
  <c r="S1840" i="1" a="1"/>
  <c r="S1840" i="1" s="1"/>
  <c r="S1841" i="1" a="1"/>
  <c r="S1841" i="1" s="1"/>
  <c r="S1842" i="1" a="1"/>
  <c r="S1842" i="1" s="1"/>
  <c r="S1843" i="1" a="1"/>
  <c r="S1843" i="1" s="1"/>
  <c r="S1844" i="1" a="1"/>
  <c r="S1844" i="1" s="1"/>
  <c r="S1845" i="1" a="1"/>
  <c r="S1845" i="1" s="1"/>
  <c r="S1846" i="1" a="1"/>
  <c r="S1846" i="1"/>
  <c r="S1847" i="1" a="1"/>
  <c r="S1847" i="1" s="1"/>
  <c r="S1848" i="1" a="1"/>
  <c r="S1848" i="1" s="1"/>
  <c r="S1849" i="1" a="1"/>
  <c r="S1849" i="1" s="1"/>
  <c r="S1850" i="1" a="1"/>
  <c r="S1850" i="1" s="1"/>
  <c r="S1851" i="1" a="1"/>
  <c r="S1851" i="1" s="1"/>
  <c r="S1852" i="1" a="1"/>
  <c r="S1852" i="1" s="1"/>
  <c r="S1853" i="1" a="1"/>
  <c r="S1853" i="1" s="1"/>
  <c r="S1854" i="1" a="1"/>
  <c r="S1854" i="1"/>
  <c r="S1855" i="1" a="1"/>
  <c r="S1855" i="1" s="1"/>
  <c r="S1856" i="1" a="1"/>
  <c r="S1856" i="1" s="1"/>
  <c r="S1857" i="1" a="1"/>
  <c r="S1857" i="1" s="1"/>
  <c r="S1858" i="1" a="1"/>
  <c r="S1858" i="1" s="1"/>
  <c r="S1859" i="1" a="1"/>
  <c r="S1859" i="1" s="1"/>
  <c r="S1860" i="1" a="1"/>
  <c r="S1860" i="1" s="1"/>
  <c r="S1861" i="1" a="1"/>
  <c r="S1861" i="1" s="1"/>
  <c r="S1862" i="1" a="1"/>
  <c r="S1862" i="1"/>
  <c r="S1863" i="1" a="1"/>
  <c r="S1863" i="1" s="1"/>
  <c r="S1864" i="1" a="1"/>
  <c r="S1864" i="1" s="1"/>
  <c r="S1865" i="1" a="1"/>
  <c r="S1865" i="1" s="1"/>
  <c r="S1866" i="1" a="1"/>
  <c r="S1866" i="1" s="1"/>
  <c r="S1867" i="1" a="1"/>
  <c r="S1867" i="1" s="1"/>
  <c r="S1868" i="1" a="1"/>
  <c r="S1868" i="1" s="1"/>
  <c r="S1869" i="1" a="1"/>
  <c r="S1869" i="1" s="1"/>
  <c r="S1870" i="1" a="1"/>
  <c r="S1870" i="1"/>
  <c r="S1871" i="1" a="1"/>
  <c r="S1871" i="1" s="1"/>
  <c r="S1872" i="1" a="1"/>
  <c r="S1872" i="1" s="1"/>
  <c r="S1873" i="1" a="1"/>
  <c r="S1873" i="1" s="1"/>
  <c r="S1874" i="1" a="1"/>
  <c r="S1874" i="1" s="1"/>
  <c r="S1875" i="1" a="1"/>
  <c r="S1875" i="1" s="1"/>
  <c r="S1876" i="1" a="1"/>
  <c r="S1876" i="1" s="1"/>
  <c r="S1877" i="1" a="1"/>
  <c r="S1877" i="1" s="1"/>
  <c r="S1878" i="1" a="1"/>
  <c r="S1878" i="1"/>
  <c r="S1879" i="1" a="1"/>
  <c r="S1879" i="1" s="1"/>
  <c r="S1880" i="1" a="1"/>
  <c r="S1880" i="1" s="1"/>
  <c r="S1881" i="1" a="1"/>
  <c r="S1881" i="1" s="1"/>
  <c r="S1882" i="1" a="1"/>
  <c r="S1882" i="1" s="1"/>
  <c r="S1883" i="1" a="1"/>
  <c r="S1883" i="1" s="1"/>
  <c r="S1884" i="1" a="1"/>
  <c r="S1884" i="1" s="1"/>
  <c r="S1885" i="1" a="1"/>
  <c r="S1885" i="1" s="1"/>
  <c r="S1886" i="1" a="1"/>
  <c r="S1886" i="1" s="1"/>
  <c r="S1887" i="1" a="1"/>
  <c r="S1887" i="1" s="1"/>
  <c r="S1888" i="1" a="1"/>
  <c r="S1888" i="1"/>
  <c r="S1889" i="1" a="1"/>
  <c r="S1889" i="1" s="1"/>
  <c r="S1890" i="1" a="1"/>
  <c r="S1890" i="1" s="1"/>
  <c r="S1891" i="1" a="1"/>
  <c r="S1891" i="1" s="1"/>
  <c r="S1892" i="1" a="1"/>
  <c r="S1892" i="1" s="1"/>
  <c r="S1893" i="1" a="1"/>
  <c r="S1893" i="1" s="1"/>
  <c r="S1894" i="1" a="1"/>
  <c r="S1894" i="1" s="1"/>
  <c r="S1895" i="1" a="1"/>
  <c r="S1895" i="1" s="1"/>
  <c r="S1896" i="1" a="1"/>
  <c r="S1896" i="1" s="1"/>
  <c r="S1897" i="1" a="1"/>
  <c r="S1897" i="1" s="1"/>
  <c r="S1898" i="1" a="1"/>
  <c r="S1898" i="1"/>
  <c r="S1899" i="1" a="1"/>
  <c r="S1899" i="1" s="1"/>
  <c r="S1900" i="1" a="1"/>
  <c r="S1900" i="1" s="1"/>
  <c r="S1901" i="1" a="1"/>
  <c r="S1901" i="1" s="1"/>
  <c r="S1902" i="1" a="1"/>
  <c r="S1902" i="1" s="1"/>
  <c r="S1903" i="1" a="1"/>
  <c r="S1903" i="1" s="1"/>
  <c r="S1904" i="1" a="1"/>
  <c r="S1904" i="1" s="1"/>
  <c r="S1905" i="1" a="1"/>
  <c r="S1905" i="1" s="1"/>
  <c r="S1906" i="1" a="1"/>
  <c r="S1906" i="1"/>
  <c r="S1907" i="1" a="1"/>
  <c r="S1907" i="1" s="1"/>
  <c r="S1908" i="1" a="1"/>
  <c r="S1908" i="1" s="1"/>
  <c r="S1909" i="1" a="1"/>
  <c r="S1909" i="1" s="1"/>
  <c r="S1910" i="1" a="1"/>
  <c r="S1910" i="1" s="1"/>
  <c r="S1911" i="1" a="1"/>
  <c r="S1911" i="1" s="1"/>
  <c r="S1912" i="1" a="1"/>
  <c r="S1912" i="1" s="1"/>
  <c r="S1913" i="1" a="1"/>
  <c r="S1913" i="1" s="1"/>
  <c r="S1914" i="1" a="1"/>
  <c r="S1914" i="1" s="1"/>
  <c r="S1915" i="1" a="1"/>
  <c r="S1915" i="1" s="1"/>
  <c r="S1916" i="1" a="1"/>
  <c r="S1916" i="1" s="1"/>
  <c r="S1917" i="1" a="1"/>
  <c r="S1917" i="1" s="1"/>
  <c r="S1918" i="1" a="1"/>
  <c r="S1918" i="1" s="1"/>
  <c r="S1919" i="1" a="1"/>
  <c r="S1919" i="1" s="1"/>
  <c r="S1920" i="1" a="1"/>
  <c r="S1920" i="1"/>
  <c r="S1921" i="1" a="1"/>
  <c r="S1921" i="1" s="1"/>
  <c r="S1922" i="1" a="1"/>
  <c r="S1922" i="1" s="1"/>
  <c r="S1923" i="1" a="1"/>
  <c r="S1923" i="1" s="1"/>
  <c r="S1924" i="1" a="1"/>
  <c r="S1924" i="1" s="1"/>
  <c r="S1925" i="1" a="1"/>
  <c r="S1925" i="1" s="1"/>
  <c r="S1926" i="1" a="1"/>
  <c r="S1926" i="1" s="1"/>
  <c r="S1927" i="1" a="1"/>
  <c r="S1927" i="1" s="1"/>
  <c r="S1928" i="1" a="1"/>
  <c r="S1928" i="1" s="1"/>
  <c r="S1929" i="1" a="1"/>
  <c r="S1929" i="1" s="1"/>
  <c r="S1930" i="1" a="1"/>
  <c r="S1930" i="1"/>
  <c r="S1931" i="1" a="1"/>
  <c r="S1931" i="1" s="1"/>
  <c r="S1932" i="1" a="1"/>
  <c r="S1932" i="1" s="1"/>
  <c r="S1933" i="1" a="1"/>
  <c r="S1933" i="1" s="1"/>
  <c r="S1934" i="1" a="1"/>
  <c r="S1934" i="1" s="1"/>
  <c r="S1935" i="1" a="1"/>
  <c r="S1935" i="1" s="1"/>
  <c r="S1936" i="1" a="1"/>
  <c r="S1936" i="1" s="1"/>
  <c r="S1937" i="1" a="1"/>
  <c r="S1937" i="1" s="1"/>
  <c r="S1938" i="1" a="1"/>
  <c r="S1938" i="1"/>
  <c r="S1939" i="1" a="1"/>
  <c r="S1939" i="1" s="1"/>
  <c r="S1940" i="1" a="1"/>
  <c r="S1940" i="1" s="1"/>
  <c r="S1941" i="1" a="1"/>
  <c r="S1941" i="1" s="1"/>
  <c r="S1942" i="1" a="1"/>
  <c r="S1942" i="1" s="1"/>
  <c r="S1943" i="1" a="1"/>
  <c r="S1943" i="1" s="1"/>
  <c r="S1944" i="1" a="1"/>
  <c r="S1944" i="1" s="1"/>
  <c r="S1945" i="1" a="1"/>
  <c r="S1945" i="1" s="1"/>
  <c r="S1946" i="1" a="1"/>
  <c r="S1946" i="1" s="1"/>
  <c r="S1947" i="1" a="1"/>
  <c r="S1947" i="1" s="1"/>
  <c r="S1948" i="1" a="1"/>
  <c r="S1948" i="1" s="1"/>
  <c r="S1949" i="1" a="1"/>
  <c r="S1949" i="1" s="1"/>
  <c r="S1950" i="1" a="1"/>
  <c r="S1950" i="1" s="1"/>
  <c r="S1951" i="1" a="1"/>
  <c r="S1951" i="1" s="1"/>
  <c r="S1952" i="1" a="1"/>
  <c r="S1952" i="1"/>
  <c r="S1953" i="1" a="1"/>
  <c r="S1953" i="1" s="1"/>
  <c r="S1954" i="1" a="1"/>
  <c r="S1954" i="1" s="1"/>
  <c r="S1955" i="1" a="1"/>
  <c r="S1955" i="1" s="1"/>
  <c r="S1956" i="1" a="1"/>
  <c r="S1956" i="1" s="1"/>
  <c r="S1957" i="1" a="1"/>
  <c r="S1957" i="1" s="1"/>
  <c r="S1958" i="1" a="1"/>
  <c r="S1958" i="1" s="1"/>
  <c r="S1959" i="1" a="1"/>
  <c r="S1959" i="1" s="1"/>
  <c r="S1960" i="1" a="1"/>
  <c r="S1960" i="1" s="1"/>
  <c r="S1961" i="1" a="1"/>
  <c r="S1961" i="1" s="1"/>
  <c r="S1962" i="1" a="1"/>
  <c r="S1962" i="1"/>
  <c r="S1963" i="1" a="1"/>
  <c r="S1963" i="1" s="1"/>
  <c r="S1964" i="1" a="1"/>
  <c r="S1964" i="1" s="1"/>
  <c r="S1965" i="1" a="1"/>
  <c r="S1965" i="1" s="1"/>
  <c r="S1966" i="1" a="1"/>
  <c r="S1966" i="1" s="1"/>
  <c r="S1967" i="1" a="1"/>
  <c r="S1967" i="1" s="1"/>
  <c r="S1968" i="1" a="1"/>
  <c r="S1968" i="1" s="1"/>
  <c r="S1969" i="1" a="1"/>
  <c r="S1969" i="1" s="1"/>
  <c r="S1970" i="1" a="1"/>
  <c r="S1970" i="1"/>
  <c r="S1971" i="1" a="1"/>
  <c r="S1971" i="1" s="1"/>
  <c r="S1972" i="1" a="1"/>
  <c r="S1972" i="1" s="1"/>
  <c r="S1973" i="1" a="1"/>
  <c r="S1973" i="1" s="1"/>
  <c r="S1974" i="1" a="1"/>
  <c r="S1974" i="1" s="1"/>
  <c r="S1975" i="1" a="1"/>
  <c r="S1975" i="1" s="1"/>
  <c r="S1976" i="1" a="1"/>
  <c r="S1976" i="1" s="1"/>
  <c r="S1977" i="1" a="1"/>
  <c r="S1977" i="1" s="1"/>
  <c r="S1978" i="1" a="1"/>
  <c r="S1978" i="1" s="1"/>
  <c r="S1979" i="1" a="1"/>
  <c r="S1979" i="1" s="1"/>
  <c r="S1980" i="1" a="1"/>
  <c r="S1980" i="1" s="1"/>
  <c r="S1981" i="1" a="1"/>
  <c r="S1981" i="1" s="1"/>
  <c r="S1982" i="1" a="1"/>
  <c r="S1982" i="1" s="1"/>
  <c r="S1983" i="1" a="1"/>
  <c r="S1983" i="1" s="1"/>
  <c r="S1984" i="1" a="1"/>
  <c r="S1984" i="1"/>
  <c r="S1985" i="1" a="1"/>
  <c r="S1985" i="1" s="1"/>
  <c r="S1986" i="1" a="1"/>
  <c r="S1986" i="1" s="1"/>
  <c r="S1987" i="1" a="1"/>
  <c r="S1987" i="1" s="1"/>
  <c r="S1988" i="1" a="1"/>
  <c r="S1988" i="1" s="1"/>
  <c r="S1989" i="1" a="1"/>
  <c r="S1989" i="1" s="1"/>
  <c r="S1990" i="1" a="1"/>
  <c r="S1990" i="1" s="1"/>
  <c r="S1991" i="1" a="1"/>
  <c r="S1991" i="1" s="1"/>
  <c r="S1992" i="1" a="1"/>
  <c r="S1992" i="1" s="1"/>
  <c r="S1993" i="1" a="1"/>
  <c r="S1993" i="1" s="1"/>
  <c r="S1994" i="1" a="1"/>
  <c r="S1994" i="1"/>
  <c r="S1995" i="1" a="1"/>
  <c r="S1995" i="1" s="1"/>
  <c r="S1996" i="1" a="1"/>
  <c r="S1996" i="1" s="1"/>
  <c r="S1997" i="1" a="1"/>
  <c r="S1997" i="1" s="1"/>
  <c r="S1998" i="1" a="1"/>
  <c r="S1998" i="1" s="1"/>
  <c r="S1999" i="1" a="1"/>
  <c r="S1999" i="1" s="1"/>
  <c r="S2000" i="1" a="1"/>
  <c r="S2000" i="1" s="1"/>
  <c r="S2" i="1" a="1"/>
  <c r="S2" i="1" s="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 i="1"/>
  <c r="Q3" i="1" a="1"/>
  <c r="Q3" i="1" s="1"/>
  <c r="Q4" i="1" a="1"/>
  <c r="Q4" i="1" s="1"/>
  <c r="Q5" i="1" a="1"/>
  <c r="Q5" i="1" s="1"/>
  <c r="Q6" i="1" a="1"/>
  <c r="Q6" i="1" s="1"/>
  <c r="Q7" i="1" a="1"/>
  <c r="Q7" i="1" s="1"/>
  <c r="Q8" i="1" a="1"/>
  <c r="Q8" i="1" s="1"/>
  <c r="Q9" i="1" a="1"/>
  <c r="Q9" i="1" s="1"/>
  <c r="Q10" i="1" a="1"/>
  <c r="Q10" i="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c r="Q27" i="1" a="1"/>
  <c r="Q27" i="1" s="1"/>
  <c r="Q28" i="1" a="1"/>
  <c r="Q28" i="1" s="1"/>
  <c r="Q29" i="1" a="1"/>
  <c r="Q29" i="1" s="1"/>
  <c r="Q30" i="1" a="1"/>
  <c r="Q30" i="1" s="1"/>
  <c r="Q31" i="1" a="1"/>
  <c r="Q31" i="1" s="1"/>
  <c r="Q32" i="1" a="1"/>
  <c r="Q32" i="1" s="1"/>
  <c r="Q33" i="1" a="1"/>
  <c r="Q33" i="1" s="1"/>
  <c r="Q34" i="1" a="1"/>
  <c r="Q34" i="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c r="Q59" i="1" a="1"/>
  <c r="Q59" i="1" s="1"/>
  <c r="Q60" i="1" a="1"/>
  <c r="Q60" i="1" s="1"/>
  <c r="Q61" i="1" a="1"/>
  <c r="Q61" i="1" s="1"/>
  <c r="Q62" i="1" a="1"/>
  <c r="Q62" i="1" s="1"/>
  <c r="Q63" i="1" a="1"/>
  <c r="Q63" i="1" s="1"/>
  <c r="Q64" i="1" a="1"/>
  <c r="Q64" i="1" s="1"/>
  <c r="Q65" i="1" a="1"/>
  <c r="Q65" i="1" s="1"/>
  <c r="Q66" i="1" a="1"/>
  <c r="Q66" i="1"/>
  <c r="Q67" i="1" a="1"/>
  <c r="Q67" i="1" s="1"/>
  <c r="Q68" i="1" a="1"/>
  <c r="Q68" i="1" s="1"/>
  <c r="Q69" i="1" a="1"/>
  <c r="Q69" i="1" s="1"/>
  <c r="Q70" i="1" a="1"/>
  <c r="Q70" i="1" s="1"/>
  <c r="Q71" i="1" a="1"/>
  <c r="Q71" i="1" s="1"/>
  <c r="Q72" i="1" a="1"/>
  <c r="Q72" i="1" s="1"/>
  <c r="Q73" i="1" a="1"/>
  <c r="Q73" i="1" s="1"/>
  <c r="Q74" i="1" a="1"/>
  <c r="Q74" i="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c r="Q99" i="1" a="1"/>
  <c r="Q99" i="1" s="1"/>
  <c r="Q100" i="1" a="1"/>
  <c r="Q100" i="1" s="1"/>
  <c r="Q101" i="1" a="1"/>
  <c r="Q101" i="1" s="1"/>
  <c r="Q102" i="1" a="1"/>
  <c r="Q102" i="1" s="1"/>
  <c r="Q103" i="1" a="1"/>
  <c r="Q103" i="1" s="1"/>
  <c r="Q104" i="1" a="1"/>
  <c r="Q104" i="1" s="1"/>
  <c r="Q105" i="1" a="1"/>
  <c r="Q105" i="1" s="1"/>
  <c r="Q106" i="1" a="1"/>
  <c r="Q106" i="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c r="Q155" i="1" a="1"/>
  <c r="Q155" i="1" s="1"/>
  <c r="Q156" i="1" a="1"/>
  <c r="Q156" i="1" s="1"/>
  <c r="Q157" i="1" a="1"/>
  <c r="Q157" i="1" s="1"/>
  <c r="Q158" i="1" a="1"/>
  <c r="Q158" i="1" s="1"/>
  <c r="Q159" i="1" a="1"/>
  <c r="Q159" i="1" s="1"/>
  <c r="Q160" i="1" a="1"/>
  <c r="Q160" i="1" s="1"/>
  <c r="Q161" i="1" a="1"/>
  <c r="Q161" i="1" s="1"/>
  <c r="Q162" i="1" a="1"/>
  <c r="Q162" i="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s="1"/>
  <c r="Q191" i="1" a="1"/>
  <c r="Q191" i="1" s="1"/>
  <c r="Q192" i="1" a="1"/>
  <c r="Q192" i="1" s="1"/>
  <c r="Q193" i="1" a="1"/>
  <c r="Q193" i="1" s="1"/>
  <c r="Q194" i="1" a="1"/>
  <c r="Q194" i="1" s="1"/>
  <c r="Q195" i="1" a="1"/>
  <c r="Q195" i="1" s="1"/>
  <c r="Q196" i="1" a="1"/>
  <c r="Q196" i="1" s="1"/>
  <c r="Q197" i="1" a="1"/>
  <c r="Q197" i="1" s="1"/>
  <c r="Q198" i="1" a="1"/>
  <c r="Q198" i="1" s="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c r="Q256" i="1" a="1"/>
  <c r="Q256" i="1" s="1"/>
  <c r="Q257" i="1" a="1"/>
  <c r="Q257" i="1" s="1"/>
  <c r="Q258" i="1" a="1"/>
  <c r="Q258" i="1" s="1"/>
  <c r="Q259" i="1" a="1"/>
  <c r="Q259" i="1" s="1"/>
  <c r="Q260" i="1" a="1"/>
  <c r="Q260" i="1" s="1"/>
  <c r="Q261" i="1" a="1"/>
  <c r="Q261" i="1" s="1"/>
  <c r="Q262" i="1" a="1"/>
  <c r="Q262" i="1" s="1"/>
  <c r="Q263" i="1" a="1"/>
  <c r="Q263" i="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c r="Q468" i="1" a="1"/>
  <c r="Q468" i="1" s="1"/>
  <c r="Q469" i="1" a="1"/>
  <c r="Q469" i="1" s="1"/>
  <c r="Q470" i="1" a="1"/>
  <c r="Q470" i="1" s="1"/>
  <c r="Q471" i="1" a="1"/>
  <c r="Q471" i="1" s="1"/>
  <c r="Q472" i="1" a="1"/>
  <c r="Q472" i="1" s="1"/>
  <c r="Q473" i="1" a="1"/>
  <c r="Q473" i="1" s="1"/>
  <c r="Q474" i="1" a="1"/>
  <c r="Q474" i="1" s="1"/>
  <c r="Q475" i="1" a="1"/>
  <c r="Q475" i="1" s="1"/>
  <c r="Q476" i="1" a="1"/>
  <c r="Q476" i="1" s="1"/>
  <c r="Q477" i="1" a="1"/>
  <c r="Q477" i="1"/>
  <c r="Q478" i="1" a="1"/>
  <c r="Q478" i="1" s="1"/>
  <c r="Q479" i="1" a="1"/>
  <c r="Q479" i="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c r="Q510" i="1" a="1"/>
  <c r="Q510" i="1" s="1"/>
  <c r="Q511" i="1" a="1"/>
  <c r="Q511" i="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c r="Q542" i="1" a="1"/>
  <c r="Q542" i="1" s="1"/>
  <c r="Q543" i="1" a="1"/>
  <c r="Q543" i="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c r="Q574" i="1" a="1"/>
  <c r="Q574" i="1" s="1"/>
  <c r="Q575" i="1" a="1"/>
  <c r="Q575" i="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c r="Q600" i="1" a="1"/>
  <c r="Q600" i="1" s="1"/>
  <c r="Q601" i="1" a="1"/>
  <c r="Q601" i="1" s="1"/>
  <c r="Q602" i="1" a="1"/>
  <c r="Q602" i="1" s="1"/>
  <c r="Q603" i="1" a="1"/>
  <c r="Q603" i="1" s="1"/>
  <c r="Q604" i="1" a="1"/>
  <c r="Q604" i="1" s="1"/>
  <c r="Q605" i="1" a="1"/>
  <c r="Q605" i="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c r="Q654" i="1" a="1"/>
  <c r="Q654" i="1" s="1"/>
  <c r="Q655" i="1" a="1"/>
  <c r="Q655" i="1" s="1"/>
  <c r="Q656" i="1" a="1"/>
  <c r="Q656" i="1" s="1"/>
  <c r="Q657" i="1" a="1"/>
  <c r="Q657" i="1" s="1"/>
  <c r="Q658" i="1" a="1"/>
  <c r="Q658" i="1" s="1"/>
  <c r="Q659" i="1" a="1"/>
  <c r="Q659" i="1" s="1"/>
  <c r="Q660" i="1" a="1"/>
  <c r="Q660" i="1" s="1"/>
  <c r="Q661" i="1" a="1"/>
  <c r="Q661" i="1" s="1"/>
  <c r="Q662" i="1" a="1"/>
  <c r="Q662" i="1" s="1"/>
  <c r="Q663" i="1" a="1"/>
  <c r="Q663" i="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c r="Q694" i="1" a="1"/>
  <c r="Q694" i="1" s="1"/>
  <c r="Q695" i="1" a="1"/>
  <c r="Q695" i="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c r="Q726" i="1" a="1"/>
  <c r="Q726" i="1" s="1"/>
  <c r="Q727" i="1" a="1"/>
  <c r="Q727" i="1" s="1"/>
  <c r="Q728" i="1" a="1"/>
  <c r="Q728" i="1" s="1"/>
  <c r="Q729" i="1" a="1"/>
  <c r="Q729" i="1" s="1"/>
  <c r="Q730" i="1" a="1"/>
  <c r="Q730" i="1" s="1"/>
  <c r="Q731" i="1" a="1"/>
  <c r="Q731" i="1" s="1"/>
  <c r="Q732" i="1" a="1"/>
  <c r="Q732" i="1" s="1"/>
  <c r="Q733" i="1" a="1"/>
  <c r="Q733" i="1" s="1"/>
  <c r="Q734" i="1" a="1"/>
  <c r="Q734" i="1" s="1"/>
  <c r="Q735" i="1" a="1"/>
  <c r="Q735" i="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c r="Q811" i="1" a="1"/>
  <c r="Q811" i="1" s="1"/>
  <c r="Q812" i="1" a="1"/>
  <c r="Q812" i="1"/>
  <c r="Q813" i="1" a="1"/>
  <c r="Q813" i="1" s="1"/>
  <c r="Q814" i="1" a="1"/>
  <c r="Q814" i="1" s="1"/>
  <c r="Q815" i="1" a="1"/>
  <c r="Q815" i="1" s="1"/>
  <c r="Q816" i="1" a="1"/>
  <c r="Q816" i="1" s="1"/>
  <c r="Q817" i="1" a="1"/>
  <c r="Q817" i="1" s="1"/>
  <c r="Q818" i="1" a="1"/>
  <c r="Q818" i="1" s="1"/>
  <c r="Q819" i="1" a="1"/>
  <c r="Q819" i="1" s="1"/>
  <c r="Q820" i="1" a="1"/>
  <c r="Q820" i="1"/>
  <c r="Q821" i="1" a="1"/>
  <c r="Q821" i="1" s="1"/>
  <c r="Q822" i="1" a="1"/>
  <c r="Q822" i="1" s="1"/>
  <c r="Q823" i="1" a="1"/>
  <c r="Q823" i="1" s="1"/>
  <c r="Q824" i="1" a="1"/>
  <c r="Q824" i="1" s="1"/>
  <c r="Q825" i="1" a="1"/>
  <c r="Q825" i="1" s="1"/>
  <c r="Q826" i="1" a="1"/>
  <c r="Q826" i="1" s="1"/>
  <c r="Q827" i="1" a="1"/>
  <c r="Q827" i="1" s="1"/>
  <c r="Q828" i="1" a="1"/>
  <c r="Q828" i="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s="1"/>
  <c r="Q1020" i="1" a="1"/>
  <c r="Q1020" i="1" s="1"/>
  <c r="Q1021" i="1" a="1"/>
  <c r="Q1021" i="1" s="1"/>
  <c r="Q1022" i="1" a="1"/>
  <c r="Q1022" i="1" s="1"/>
  <c r="Q1023" i="1" a="1"/>
  <c r="Q1023" i="1" s="1"/>
  <c r="Q1024" i="1" a="1"/>
  <c r="Q1024" i="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s="1"/>
  <c r="Q1056" i="1" a="1"/>
  <c r="Q1056" i="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s="1"/>
  <c r="Q1072" i="1" a="1"/>
  <c r="Q1072" i="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c r="Q1111" i="1" a="1"/>
  <c r="Q1111" i="1" s="1"/>
  <c r="Q1112" i="1" a="1"/>
  <c r="Q1112" i="1" s="1"/>
  <c r="Q1113" i="1" a="1"/>
  <c r="Q1113" i="1" s="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s="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c r="Q1287" i="1" a="1"/>
  <c r="Q1287" i="1" s="1"/>
  <c r="Q1288" i="1" a="1"/>
  <c r="Q1288" i="1" s="1"/>
  <c r="Q1289" i="1" a="1"/>
  <c r="Q1289" i="1" s="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s="1"/>
  <c r="Q1300" i="1" a="1"/>
  <c r="Q1300" i="1" s="1"/>
  <c r="Q1301" i="1" a="1"/>
  <c r="Q1301" i="1" s="1"/>
  <c r="Q1302" i="1" a="1"/>
  <c r="Q1302" i="1"/>
  <c r="Q1303" i="1" a="1"/>
  <c r="Q1303" i="1" s="1"/>
  <c r="Q1304" i="1" a="1"/>
  <c r="Q1304" i="1" s="1"/>
  <c r="Q1305" i="1" a="1"/>
  <c r="Q1305" i="1" s="1"/>
  <c r="Q1306" i="1" a="1"/>
  <c r="Q1306" i="1" s="1"/>
  <c r="Q1307" i="1" a="1"/>
  <c r="Q1307" i="1" s="1"/>
  <c r="Q1308" i="1" a="1"/>
  <c r="Q1308" i="1" s="1"/>
  <c r="Q1309" i="1" a="1"/>
  <c r="Q1309" i="1" s="1"/>
  <c r="Q1310" i="1" a="1"/>
  <c r="Q1310" i="1" s="1"/>
  <c r="Q1311" i="1" a="1"/>
  <c r="Q1311" i="1" s="1"/>
  <c r="Q1312" i="1" a="1"/>
  <c r="Q1312" i="1" s="1"/>
  <c r="Q1313" i="1" a="1"/>
  <c r="Q1313" i="1" s="1"/>
  <c r="Q1314" i="1" a="1"/>
  <c r="Q1314" i="1" s="1"/>
  <c r="Q1315" i="1" a="1"/>
  <c r="Q1315" i="1" s="1"/>
  <c r="Q1316" i="1" a="1"/>
  <c r="Q1316" i="1" s="1"/>
  <c r="Q1317" i="1" a="1"/>
  <c r="Q1317" i="1" s="1"/>
  <c r="Q1318" i="1" a="1"/>
  <c r="Q1318" i="1"/>
  <c r="Q1319" i="1" a="1"/>
  <c r="Q1319" i="1" s="1"/>
  <c r="Q1320" i="1" a="1"/>
  <c r="Q1320" i="1" s="1"/>
  <c r="Q1321" i="1" a="1"/>
  <c r="Q1321" i="1" s="1"/>
  <c r="Q1322" i="1" a="1"/>
  <c r="Q1322" i="1" s="1"/>
  <c r="Q1323" i="1" a="1"/>
  <c r="Q1323" i="1" s="1"/>
  <c r="Q1324" i="1" a="1"/>
  <c r="Q1324" i="1" s="1"/>
  <c r="Q1325" i="1" a="1"/>
  <c r="Q1325" i="1" s="1"/>
  <c r="Q1326" i="1" a="1"/>
  <c r="Q1326" i="1" s="1"/>
  <c r="Q1327" i="1" a="1"/>
  <c r="Q1327" i="1" s="1"/>
  <c r="Q1328" i="1" a="1"/>
  <c r="Q1328" i="1" s="1"/>
  <c r="Q1329" i="1" a="1"/>
  <c r="Q1329" i="1" s="1"/>
  <c r="Q1330" i="1" a="1"/>
  <c r="Q1330" i="1" s="1"/>
  <c r="Q1331" i="1" a="1"/>
  <c r="Q1331" i="1" s="1"/>
  <c r="Q1332" i="1" a="1"/>
  <c r="Q1332" i="1" s="1"/>
  <c r="Q1333" i="1" a="1"/>
  <c r="Q1333" i="1" s="1"/>
  <c r="Q1334" i="1" a="1"/>
  <c r="Q1334" i="1"/>
  <c r="Q1335" i="1" a="1"/>
  <c r="Q1335" i="1" s="1"/>
  <c r="Q1336" i="1" a="1"/>
  <c r="Q1336" i="1" s="1"/>
  <c r="Q1337" i="1" a="1"/>
  <c r="Q1337" i="1" s="1"/>
  <c r="Q1338" i="1" a="1"/>
  <c r="Q1338" i="1" s="1"/>
  <c r="Q1339" i="1" a="1"/>
  <c r="Q1339" i="1" s="1"/>
  <c r="Q1340" i="1" a="1"/>
  <c r="Q1340" i="1" s="1"/>
  <c r="Q1341" i="1" a="1"/>
  <c r="Q1341" i="1" s="1"/>
  <c r="Q1342" i="1" a="1"/>
  <c r="Q1342" i="1" s="1"/>
  <c r="Q1343" i="1" a="1"/>
  <c r="Q1343" i="1" s="1"/>
  <c r="Q1344" i="1" a="1"/>
  <c r="Q1344" i="1" s="1"/>
  <c r="Q1345" i="1" a="1"/>
  <c r="Q1345" i="1" s="1"/>
  <c r="Q1346" i="1" a="1"/>
  <c r="Q1346" i="1" s="1"/>
  <c r="Q1347" i="1" a="1"/>
  <c r="Q1347" i="1" s="1"/>
  <c r="Q1348" i="1" a="1"/>
  <c r="Q1348" i="1" s="1"/>
  <c r="Q1349" i="1" a="1"/>
  <c r="Q1349" i="1" s="1"/>
  <c r="Q1350" i="1" a="1"/>
  <c r="Q1350" i="1"/>
  <c r="Q1351" i="1" a="1"/>
  <c r="Q1351" i="1" s="1"/>
  <c r="Q1352" i="1" a="1"/>
  <c r="Q1352" i="1" s="1"/>
  <c r="Q1353" i="1" a="1"/>
  <c r="Q1353" i="1" s="1"/>
  <c r="Q1354" i="1" a="1"/>
  <c r="Q1354" i="1" s="1"/>
  <c r="Q1355" i="1" a="1"/>
  <c r="Q1355" i="1" s="1"/>
  <c r="Q1356" i="1" a="1"/>
  <c r="Q1356" i="1" s="1"/>
  <c r="Q1357" i="1" a="1"/>
  <c r="Q1357" i="1" s="1"/>
  <c r="Q1358" i="1" a="1"/>
  <c r="Q1358" i="1" s="1"/>
  <c r="Q1359" i="1" a="1"/>
  <c r="Q1359" i="1" s="1"/>
  <c r="Q1360" i="1" a="1"/>
  <c r="Q1360" i="1" s="1"/>
  <c r="Q1361" i="1" a="1"/>
  <c r="Q1361" i="1" s="1"/>
  <c r="Q1362" i="1" a="1"/>
  <c r="Q1362" i="1" s="1"/>
  <c r="Q1363" i="1" a="1"/>
  <c r="Q1363" i="1" s="1"/>
  <c r="Q1364" i="1" a="1"/>
  <c r="Q1364" i="1" s="1"/>
  <c r="Q1365" i="1" a="1"/>
  <c r="Q1365" i="1" s="1"/>
  <c r="Q1366" i="1" a="1"/>
  <c r="Q1366" i="1"/>
  <c r="Q1367" i="1" a="1"/>
  <c r="Q1367" i="1" s="1"/>
  <c r="Q1368" i="1" a="1"/>
  <c r="Q1368" i="1" s="1"/>
  <c r="Q1369" i="1" a="1"/>
  <c r="Q1369" i="1" s="1"/>
  <c r="Q1370" i="1" a="1"/>
  <c r="Q1370" i="1" s="1"/>
  <c r="Q1371" i="1" a="1"/>
  <c r="Q1371" i="1" s="1"/>
  <c r="Q1372" i="1" a="1"/>
  <c r="Q1372" i="1" s="1"/>
  <c r="Q1373" i="1" a="1"/>
  <c r="Q1373" i="1" s="1"/>
  <c r="Q1374" i="1" a="1"/>
  <c r="Q1374" i="1" s="1"/>
  <c r="Q1375" i="1" a="1"/>
  <c r="Q1375" i="1" s="1"/>
  <c r="Q1376" i="1" a="1"/>
  <c r="Q1376" i="1" s="1"/>
  <c r="Q1377" i="1" a="1"/>
  <c r="Q1377" i="1" s="1"/>
  <c r="Q1378" i="1" a="1"/>
  <c r="Q1378" i="1" s="1"/>
  <c r="Q1379" i="1" a="1"/>
  <c r="Q1379" i="1" s="1"/>
  <c r="Q1380" i="1" a="1"/>
  <c r="Q1380" i="1" s="1"/>
  <c r="Q1381" i="1" a="1"/>
  <c r="Q1381" i="1" s="1"/>
  <c r="Q1382" i="1" a="1"/>
  <c r="Q1382" i="1" s="1"/>
  <c r="Q1383" i="1" a="1"/>
  <c r="Q1383" i="1" s="1"/>
  <c r="Q1384" i="1" a="1"/>
  <c r="Q1384" i="1" s="1"/>
  <c r="Q1385" i="1" a="1"/>
  <c r="Q1385" i="1" s="1"/>
  <c r="Q1386" i="1" a="1"/>
  <c r="Q1386" i="1" s="1"/>
  <c r="Q1387" i="1" a="1"/>
  <c r="Q1387" i="1" s="1"/>
  <c r="Q1388" i="1" a="1"/>
  <c r="Q1388" i="1" s="1"/>
  <c r="Q1389" i="1" a="1"/>
  <c r="Q1389" i="1" s="1"/>
  <c r="Q1390" i="1" a="1"/>
  <c r="Q1390" i="1"/>
  <c r="Q1391" i="1" a="1"/>
  <c r="Q1391" i="1" s="1"/>
  <c r="Q1392" i="1" a="1"/>
  <c r="Q1392" i="1" s="1"/>
  <c r="Q1393" i="1" a="1"/>
  <c r="Q1393" i="1" s="1"/>
  <c r="Q1394" i="1" a="1"/>
  <c r="Q1394" i="1" s="1"/>
  <c r="Q1395" i="1" a="1"/>
  <c r="Q1395" i="1" s="1"/>
  <c r="Q1396" i="1" a="1"/>
  <c r="Q1396" i="1" s="1"/>
  <c r="Q1397" i="1" a="1"/>
  <c r="Q1397" i="1" s="1"/>
  <c r="Q1398" i="1" a="1"/>
  <c r="Q1398" i="1" s="1"/>
  <c r="Q1399" i="1" a="1"/>
  <c r="Q1399" i="1" s="1"/>
  <c r="Q1400" i="1" a="1"/>
  <c r="Q1400" i="1" s="1"/>
  <c r="Q1401" i="1" a="1"/>
  <c r="Q1401" i="1" s="1"/>
  <c r="Q1402" i="1" a="1"/>
  <c r="Q1402" i="1" s="1"/>
  <c r="Q1403" i="1" a="1"/>
  <c r="Q1403" i="1" s="1"/>
  <c r="Q1404" i="1" a="1"/>
  <c r="Q1404" i="1" s="1"/>
  <c r="Q1405" i="1" a="1"/>
  <c r="Q1405" i="1" s="1"/>
  <c r="Q1406" i="1" a="1"/>
  <c r="Q1406" i="1" s="1"/>
  <c r="Q1407" i="1" a="1"/>
  <c r="Q1407" i="1" s="1"/>
  <c r="Q1408" i="1" a="1"/>
  <c r="Q1408" i="1" s="1"/>
  <c r="Q1409" i="1" a="1"/>
  <c r="Q1409" i="1" s="1"/>
  <c r="Q1410" i="1" a="1"/>
  <c r="Q1410" i="1" s="1"/>
  <c r="Q1411" i="1" a="1"/>
  <c r="Q1411" i="1" s="1"/>
  <c r="Q1412" i="1" a="1"/>
  <c r="Q1412" i="1" s="1"/>
  <c r="Q1413" i="1" a="1"/>
  <c r="Q1413" i="1" s="1"/>
  <c r="Q1414" i="1" a="1"/>
  <c r="Q1414" i="1" s="1"/>
  <c r="Q1415" i="1" a="1"/>
  <c r="Q1415" i="1" s="1"/>
  <c r="Q1416" i="1" a="1"/>
  <c r="Q1416" i="1" s="1"/>
  <c r="Q1417" i="1" a="1"/>
  <c r="Q1417" i="1" s="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s="1"/>
  <c r="Q1428" i="1" a="1"/>
  <c r="Q1428" i="1" s="1"/>
  <c r="Q1429" i="1" a="1"/>
  <c r="Q1429" i="1" s="1"/>
  <c r="Q1430" i="1" a="1"/>
  <c r="Q1430" i="1" s="1"/>
  <c r="Q1431" i="1" a="1"/>
  <c r="Q1431" i="1" s="1"/>
  <c r="Q1432" i="1" a="1"/>
  <c r="Q1432" i="1" s="1"/>
  <c r="Q1433" i="1" a="1"/>
  <c r="Q1433" i="1" s="1"/>
  <c r="Q1434" i="1" a="1"/>
  <c r="Q1434" i="1" s="1"/>
  <c r="Q1435" i="1" a="1"/>
  <c r="Q1435" i="1" s="1"/>
  <c r="Q1436" i="1" a="1"/>
  <c r="Q1436" i="1" s="1"/>
  <c r="Q1437" i="1" a="1"/>
  <c r="Q1437" i="1" s="1"/>
  <c r="Q1438" i="1" a="1"/>
  <c r="Q1438" i="1" s="1"/>
  <c r="Q1439" i="1" a="1"/>
  <c r="Q1439" i="1" s="1"/>
  <c r="Q1440" i="1" a="1"/>
  <c r="Q1440" i="1" s="1"/>
  <c r="Q1441" i="1" a="1"/>
  <c r="Q1441" i="1" s="1"/>
  <c r="Q1442" i="1" a="1"/>
  <c r="Q1442" i="1" s="1"/>
  <c r="Q1443" i="1" a="1"/>
  <c r="Q1443" i="1" s="1"/>
  <c r="Q1444" i="1" a="1"/>
  <c r="Q1444" i="1" s="1"/>
  <c r="Q1445" i="1" a="1"/>
  <c r="Q1445" i="1" s="1"/>
  <c r="Q1446" i="1" a="1"/>
  <c r="Q1446" i="1" s="1"/>
  <c r="Q1447" i="1" a="1"/>
  <c r="Q1447" i="1" s="1"/>
  <c r="Q1448" i="1" a="1"/>
  <c r="Q1448" i="1" s="1"/>
  <c r="Q1449" i="1" a="1"/>
  <c r="Q1449" i="1" s="1"/>
  <c r="Q1450" i="1" a="1"/>
  <c r="Q1450" i="1" s="1"/>
  <c r="Q1451" i="1" a="1"/>
  <c r="Q1451" i="1" s="1"/>
  <c r="Q1452" i="1" a="1"/>
  <c r="Q1452" i="1" s="1"/>
  <c r="Q1453" i="1" a="1"/>
  <c r="Q1453" i="1" s="1"/>
  <c r="Q1454" i="1" a="1"/>
  <c r="Q1454" i="1" s="1"/>
  <c r="Q1455" i="1" a="1"/>
  <c r="Q1455" i="1" s="1"/>
  <c r="Q1456" i="1" a="1"/>
  <c r="Q1456" i="1" s="1"/>
  <c r="Q1457" i="1" a="1"/>
  <c r="Q1457" i="1" s="1"/>
  <c r="Q1458" i="1" a="1"/>
  <c r="Q1458" i="1" s="1"/>
  <c r="Q1459" i="1" a="1"/>
  <c r="Q1459" i="1" s="1"/>
  <c r="Q1460" i="1" a="1"/>
  <c r="Q1460" i="1" s="1"/>
  <c r="Q1461" i="1" a="1"/>
  <c r="Q1461" i="1" s="1"/>
  <c r="Q1462" i="1" a="1"/>
  <c r="Q1462" i="1" s="1"/>
  <c r="Q1463" i="1" a="1"/>
  <c r="Q1463" i="1" s="1"/>
  <c r="Q1464" i="1" a="1"/>
  <c r="Q1464" i="1" s="1"/>
  <c r="Q1465" i="1" a="1"/>
  <c r="Q1465" i="1" s="1"/>
  <c r="Q1466" i="1" a="1"/>
  <c r="Q1466" i="1" s="1"/>
  <c r="Q1467" i="1" a="1"/>
  <c r="Q1467" i="1" s="1"/>
  <c r="Q1468" i="1" a="1"/>
  <c r="Q1468" i="1" s="1"/>
  <c r="Q1469" i="1" a="1"/>
  <c r="Q1469" i="1" s="1"/>
  <c r="Q1470" i="1" a="1"/>
  <c r="Q1470" i="1" s="1"/>
  <c r="Q1471" i="1" a="1"/>
  <c r="Q1471" i="1" s="1"/>
  <c r="Q1472" i="1" a="1"/>
  <c r="Q1472" i="1" s="1"/>
  <c r="Q1473" i="1" a="1"/>
  <c r="Q1473" i="1" s="1"/>
  <c r="Q1474" i="1" a="1"/>
  <c r="Q1474" i="1" s="1"/>
  <c r="Q1475" i="1" a="1"/>
  <c r="Q1475" i="1" s="1"/>
  <c r="Q1476" i="1" a="1"/>
  <c r="Q1476" i="1" s="1"/>
  <c r="Q1477" i="1" a="1"/>
  <c r="Q1477" i="1" s="1"/>
  <c r="Q1478" i="1" a="1"/>
  <c r="Q1478" i="1" s="1"/>
  <c r="Q1479" i="1" a="1"/>
  <c r="Q1479" i="1" s="1"/>
  <c r="Q1480" i="1" a="1"/>
  <c r="Q1480" i="1" s="1"/>
  <c r="Q1481" i="1" a="1"/>
  <c r="Q1481" i="1" s="1"/>
  <c r="Q1482" i="1" a="1"/>
  <c r="Q1482" i="1" s="1"/>
  <c r="Q1483" i="1" a="1"/>
  <c r="Q1483" i="1" s="1"/>
  <c r="Q1484" i="1" a="1"/>
  <c r="Q1484" i="1" s="1"/>
  <c r="Q1485" i="1" a="1"/>
  <c r="Q1485" i="1" s="1"/>
  <c r="Q1486" i="1" a="1"/>
  <c r="Q1486" i="1" s="1"/>
  <c r="Q1487" i="1" a="1"/>
  <c r="Q1487" i="1" s="1"/>
  <c r="Q1488" i="1" a="1"/>
  <c r="Q1488" i="1" s="1"/>
  <c r="Q1489" i="1" a="1"/>
  <c r="Q1489" i="1" s="1"/>
  <c r="Q1490" i="1" a="1"/>
  <c r="Q1490" i="1" s="1"/>
  <c r="Q1491" i="1" a="1"/>
  <c r="Q1491" i="1" s="1"/>
  <c r="Q1492" i="1" a="1"/>
  <c r="Q1492" i="1" s="1"/>
  <c r="Q1493" i="1" a="1"/>
  <c r="Q1493" i="1" s="1"/>
  <c r="Q1494" i="1" a="1"/>
  <c r="Q1494" i="1" s="1"/>
  <c r="Q1495" i="1" a="1"/>
  <c r="Q1495" i="1" s="1"/>
  <c r="Q1496" i="1" a="1"/>
  <c r="Q1496" i="1" s="1"/>
  <c r="Q1497" i="1" a="1"/>
  <c r="Q1497" i="1" s="1"/>
  <c r="Q1498" i="1" a="1"/>
  <c r="Q1498" i="1" s="1"/>
  <c r="Q1499" i="1" a="1"/>
  <c r="Q1499" i="1" s="1"/>
  <c r="Q1500" i="1" a="1"/>
  <c r="Q1500" i="1" s="1"/>
  <c r="Q1501" i="1" a="1"/>
  <c r="Q1501" i="1" s="1"/>
  <c r="Q1502" i="1" a="1"/>
  <c r="Q1502" i="1" s="1"/>
  <c r="Q1503" i="1" a="1"/>
  <c r="Q1503" i="1" s="1"/>
  <c r="Q1504" i="1" a="1"/>
  <c r="Q1504" i="1" s="1"/>
  <c r="Q1505" i="1" a="1"/>
  <c r="Q1505" i="1" s="1"/>
  <c r="Q1506" i="1" a="1"/>
  <c r="Q1506" i="1" s="1"/>
  <c r="Q1507" i="1" a="1"/>
  <c r="Q1507" i="1" s="1"/>
  <c r="Q1508" i="1" a="1"/>
  <c r="Q1508" i="1" s="1"/>
  <c r="Q1509" i="1" a="1"/>
  <c r="Q1509" i="1" s="1"/>
  <c r="Q1510" i="1" a="1"/>
  <c r="Q1510" i="1" s="1"/>
  <c r="Q1511" i="1" a="1"/>
  <c r="Q1511" i="1" s="1"/>
  <c r="Q1512" i="1" a="1"/>
  <c r="Q1512" i="1" s="1"/>
  <c r="Q1513" i="1" a="1"/>
  <c r="Q1513" i="1" s="1"/>
  <c r="Q1514" i="1" a="1"/>
  <c r="Q1514" i="1" s="1"/>
  <c r="Q1515" i="1" a="1"/>
  <c r="Q1515" i="1" s="1"/>
  <c r="Q1516" i="1" a="1"/>
  <c r="Q1516" i="1" s="1"/>
  <c r="Q1517" i="1" a="1"/>
  <c r="Q1517" i="1" s="1"/>
  <c r="Q1518" i="1" a="1"/>
  <c r="Q1518" i="1" s="1"/>
  <c r="Q1519" i="1" a="1"/>
  <c r="Q1519" i="1" s="1"/>
  <c r="Q1520" i="1" a="1"/>
  <c r="Q1520" i="1" s="1"/>
  <c r="Q1521" i="1" a="1"/>
  <c r="Q1521" i="1" s="1"/>
  <c r="Q1522" i="1" a="1"/>
  <c r="Q1522" i="1" s="1"/>
  <c r="Q1523" i="1" a="1"/>
  <c r="Q1523" i="1" s="1"/>
  <c r="Q1524" i="1" a="1"/>
  <c r="Q1524" i="1" s="1"/>
  <c r="Q1525" i="1" a="1"/>
  <c r="Q1525" i="1" s="1"/>
  <c r="Q1526" i="1" a="1"/>
  <c r="Q1526" i="1" s="1"/>
  <c r="Q1527" i="1" a="1"/>
  <c r="Q1527" i="1" s="1"/>
  <c r="Q1528" i="1" a="1"/>
  <c r="Q1528" i="1" s="1"/>
  <c r="Q1529" i="1" a="1"/>
  <c r="Q1529" i="1"/>
  <c r="Q1530" i="1" a="1"/>
  <c r="Q1530" i="1" s="1"/>
  <c r="Q1531" i="1" a="1"/>
  <c r="Q1531" i="1" s="1"/>
  <c r="Q1532" i="1" a="1"/>
  <c r="Q1532" i="1" s="1"/>
  <c r="Q1533" i="1" a="1"/>
  <c r="Q1533" i="1" s="1"/>
  <c r="Q1534" i="1" a="1"/>
  <c r="Q1534" i="1" s="1"/>
  <c r="Q1535" i="1" a="1"/>
  <c r="Q1535" i="1" s="1"/>
  <c r="Q1536" i="1" a="1"/>
  <c r="Q1536" i="1" s="1"/>
  <c r="Q1537" i="1" a="1"/>
  <c r="Q1537" i="1" s="1"/>
  <c r="Q1538" i="1" a="1"/>
  <c r="Q1538" i="1" s="1"/>
  <c r="Q1539" i="1" a="1"/>
  <c r="Q1539" i="1" s="1"/>
  <c r="Q1540" i="1" a="1"/>
  <c r="Q1540" i="1" s="1"/>
  <c r="Q1541" i="1" a="1"/>
  <c r="Q1541" i="1" s="1"/>
  <c r="Q1542" i="1" a="1"/>
  <c r="Q1542" i="1" s="1"/>
  <c r="Q1543" i="1" a="1"/>
  <c r="Q1543" i="1" s="1"/>
  <c r="Q1544" i="1" a="1"/>
  <c r="Q1544" i="1" s="1"/>
  <c r="Q1545" i="1" a="1"/>
  <c r="Q1545" i="1" s="1"/>
  <c r="Q1546" i="1" a="1"/>
  <c r="Q1546" i="1" s="1"/>
  <c r="Q1547" i="1" a="1"/>
  <c r="Q1547" i="1" s="1"/>
  <c r="Q1548" i="1" a="1"/>
  <c r="Q1548" i="1" s="1"/>
  <c r="Q1549" i="1" a="1"/>
  <c r="Q1549" i="1"/>
  <c r="Q1550" i="1" a="1"/>
  <c r="Q1550" i="1" s="1"/>
  <c r="Q1551" i="1" a="1"/>
  <c r="Q1551" i="1" s="1"/>
  <c r="Q1552" i="1" a="1"/>
  <c r="Q1552" i="1" s="1"/>
  <c r="Q1553" i="1" a="1"/>
  <c r="Q1553" i="1" s="1"/>
  <c r="Q1554" i="1" a="1"/>
  <c r="Q1554" i="1" s="1"/>
  <c r="Q1555" i="1" a="1"/>
  <c r="Q1555" i="1" s="1"/>
  <c r="Q1556" i="1" a="1"/>
  <c r="Q1556" i="1" s="1"/>
  <c r="Q1557" i="1" a="1"/>
  <c r="Q1557" i="1" s="1"/>
  <c r="Q1558" i="1" a="1"/>
  <c r="Q1558" i="1" s="1"/>
  <c r="Q1559" i="1" a="1"/>
  <c r="Q1559" i="1" s="1"/>
  <c r="Q1560" i="1" a="1"/>
  <c r="Q1560" i="1" s="1"/>
  <c r="Q1561" i="1" a="1"/>
  <c r="Q1561" i="1" s="1"/>
  <c r="Q1562" i="1" a="1"/>
  <c r="Q1562" i="1" s="1"/>
  <c r="Q1563" i="1" a="1"/>
  <c r="Q1563" i="1" s="1"/>
  <c r="Q1564" i="1" a="1"/>
  <c r="Q1564" i="1" s="1"/>
  <c r="Q1565" i="1" a="1"/>
  <c r="Q1565" i="1"/>
  <c r="Q1566" i="1" a="1"/>
  <c r="Q1566" i="1" s="1"/>
  <c r="Q1567" i="1" a="1"/>
  <c r="Q1567" i="1" s="1"/>
  <c r="Q1568" i="1" a="1"/>
  <c r="Q1568" i="1" s="1"/>
  <c r="Q1569" i="1" a="1"/>
  <c r="Q1569" i="1" s="1"/>
  <c r="Q1570" i="1" a="1"/>
  <c r="Q1570" i="1" s="1"/>
  <c r="Q1571" i="1" a="1"/>
  <c r="Q1571" i="1" s="1"/>
  <c r="Q1572" i="1" a="1"/>
  <c r="Q1572" i="1" s="1"/>
  <c r="Q1573" i="1" a="1"/>
  <c r="Q1573" i="1" s="1"/>
  <c r="Q1574" i="1" a="1"/>
  <c r="Q1574" i="1" s="1"/>
  <c r="Q1575" i="1" a="1"/>
  <c r="Q1575" i="1" s="1"/>
  <c r="Q1576" i="1" a="1"/>
  <c r="Q1576" i="1" s="1"/>
  <c r="Q1577" i="1" a="1"/>
  <c r="Q1577" i="1" s="1"/>
  <c r="Q1578" i="1" a="1"/>
  <c r="Q1578" i="1" s="1"/>
  <c r="Q1579" i="1" a="1"/>
  <c r="Q1579" i="1" s="1"/>
  <c r="Q1580" i="1" a="1"/>
  <c r="Q1580" i="1" s="1"/>
  <c r="Q1581" i="1" a="1"/>
  <c r="Q1581" i="1" s="1"/>
  <c r="Q1582" i="1" a="1"/>
  <c r="Q1582" i="1" s="1"/>
  <c r="Q1583" i="1" a="1"/>
  <c r="Q1583" i="1" s="1"/>
  <c r="Q1584" i="1" a="1"/>
  <c r="Q1584" i="1" s="1"/>
  <c r="Q1585" i="1" a="1"/>
  <c r="Q1585" i="1" s="1"/>
  <c r="Q1586" i="1" a="1"/>
  <c r="Q1586" i="1" s="1"/>
  <c r="Q1587" i="1" a="1"/>
  <c r="Q1587" i="1" s="1"/>
  <c r="Q1588" i="1" a="1"/>
  <c r="Q1588" i="1" s="1"/>
  <c r="Q1589" i="1" a="1"/>
  <c r="Q1589" i="1" s="1"/>
  <c r="Q1590" i="1" a="1"/>
  <c r="Q1590" i="1" s="1"/>
  <c r="Q1591" i="1" a="1"/>
  <c r="Q1591" i="1" s="1"/>
  <c r="Q1592" i="1" a="1"/>
  <c r="Q1592" i="1" s="1"/>
  <c r="Q1593" i="1" a="1"/>
  <c r="Q1593" i="1"/>
  <c r="Q1594" i="1" a="1"/>
  <c r="Q1594" i="1" s="1"/>
  <c r="Q1595" i="1" a="1"/>
  <c r="Q1595" i="1" s="1"/>
  <c r="Q1596" i="1" a="1"/>
  <c r="Q1596" i="1" s="1"/>
  <c r="Q1597" i="1" a="1"/>
  <c r="Q1597" i="1" s="1"/>
  <c r="Q1598" i="1" a="1"/>
  <c r="Q1598" i="1" s="1"/>
  <c r="Q1599" i="1" a="1"/>
  <c r="Q1599" i="1" s="1"/>
  <c r="Q1600" i="1" a="1"/>
  <c r="Q1600" i="1" s="1"/>
  <c r="Q1601" i="1" a="1"/>
  <c r="Q1601" i="1" s="1"/>
  <c r="Q1602" i="1" a="1"/>
  <c r="Q1602" i="1" s="1"/>
  <c r="Q1603" i="1" a="1"/>
  <c r="Q1603" i="1" s="1"/>
  <c r="Q1604" i="1" a="1"/>
  <c r="Q1604" i="1" s="1"/>
  <c r="Q1605" i="1" a="1"/>
  <c r="Q1605" i="1" s="1"/>
  <c r="Q1606" i="1" a="1"/>
  <c r="Q1606" i="1" s="1"/>
  <c r="Q1607" i="1" a="1"/>
  <c r="Q1607" i="1" s="1"/>
  <c r="Q1608" i="1" a="1"/>
  <c r="Q1608" i="1" s="1"/>
  <c r="Q1609" i="1" a="1"/>
  <c r="Q1609" i="1" s="1"/>
  <c r="Q1610" i="1" a="1"/>
  <c r="Q1610" i="1" s="1"/>
  <c r="Q1611" i="1" a="1"/>
  <c r="Q1611" i="1" s="1"/>
  <c r="Q1612" i="1" a="1"/>
  <c r="Q1612" i="1" s="1"/>
  <c r="Q1613" i="1" a="1"/>
  <c r="Q1613" i="1"/>
  <c r="Q1614" i="1" a="1"/>
  <c r="Q1614" i="1" s="1"/>
  <c r="Q1615" i="1" a="1"/>
  <c r="Q1615" i="1" s="1"/>
  <c r="Q1616" i="1" a="1"/>
  <c r="Q1616" i="1" s="1"/>
  <c r="Q1617" i="1" a="1"/>
  <c r="Q1617" i="1" s="1"/>
  <c r="Q1618" i="1" a="1"/>
  <c r="Q1618" i="1" s="1"/>
  <c r="Q1619" i="1" a="1"/>
  <c r="Q1619" i="1" s="1"/>
  <c r="Q1620" i="1" a="1"/>
  <c r="Q1620" i="1" s="1"/>
  <c r="Q1621" i="1" a="1"/>
  <c r="Q1621" i="1" s="1"/>
  <c r="Q1622" i="1" a="1"/>
  <c r="Q1622" i="1" s="1"/>
  <c r="Q1623" i="1" a="1"/>
  <c r="Q1623" i="1" s="1"/>
  <c r="Q1624" i="1" a="1"/>
  <c r="Q1624" i="1" s="1"/>
  <c r="Q1625" i="1" a="1"/>
  <c r="Q1625" i="1" s="1"/>
  <c r="Q1626" i="1" a="1"/>
  <c r="Q1626" i="1" s="1"/>
  <c r="Q1627" i="1" a="1"/>
  <c r="Q1627" i="1" s="1"/>
  <c r="Q1628" i="1" a="1"/>
  <c r="Q1628" i="1" s="1"/>
  <c r="Q1629" i="1" a="1"/>
  <c r="Q1629" i="1"/>
  <c r="Q1630" i="1" a="1"/>
  <c r="Q1630" i="1" s="1"/>
  <c r="Q1631" i="1" a="1"/>
  <c r="Q1631" i="1" s="1"/>
  <c r="Q1632" i="1" a="1"/>
  <c r="Q1632" i="1" s="1"/>
  <c r="Q1633" i="1" a="1"/>
  <c r="Q1633" i="1" s="1"/>
  <c r="Q1634" i="1" a="1"/>
  <c r="Q1634" i="1" s="1"/>
  <c r="Q1635" i="1" a="1"/>
  <c r="Q1635" i="1" s="1"/>
  <c r="Q1636" i="1" a="1"/>
  <c r="Q1636" i="1" s="1"/>
  <c r="Q1637" i="1" a="1"/>
  <c r="Q1637" i="1" s="1"/>
  <c r="Q1638" i="1" a="1"/>
  <c r="Q1638" i="1" s="1"/>
  <c r="Q1639" i="1" a="1"/>
  <c r="Q1639" i="1" s="1"/>
  <c r="Q1640" i="1" a="1"/>
  <c r="Q1640" i="1" s="1"/>
  <c r="Q1641" i="1" a="1"/>
  <c r="Q1641" i="1" s="1"/>
  <c r="Q1642" i="1" a="1"/>
  <c r="Q1642" i="1" s="1"/>
  <c r="Q1643" i="1" a="1"/>
  <c r="Q1643" i="1" s="1"/>
  <c r="Q1644" i="1" a="1"/>
  <c r="Q1644" i="1" s="1"/>
  <c r="Q1645" i="1" a="1"/>
  <c r="Q1645" i="1" s="1"/>
  <c r="Q1646" i="1" a="1"/>
  <c r="Q1646" i="1" s="1"/>
  <c r="Q1647" i="1" a="1"/>
  <c r="Q1647" i="1" s="1"/>
  <c r="Q1648" i="1" a="1"/>
  <c r="Q1648" i="1" s="1"/>
  <c r="Q1649" i="1" a="1"/>
  <c r="Q1649" i="1" s="1"/>
  <c r="Q1650" i="1" a="1"/>
  <c r="Q1650" i="1" s="1"/>
  <c r="Q1651" i="1" a="1"/>
  <c r="Q1651" i="1" s="1"/>
  <c r="Q1652" i="1" a="1"/>
  <c r="Q1652" i="1" s="1"/>
  <c r="Q1653" i="1" a="1"/>
  <c r="Q1653" i="1" s="1"/>
  <c r="Q1654" i="1" a="1"/>
  <c r="Q1654" i="1" s="1"/>
  <c r="Q1655" i="1" a="1"/>
  <c r="Q1655" i="1" s="1"/>
  <c r="Q1656" i="1" a="1"/>
  <c r="Q1656" i="1" s="1"/>
  <c r="Q1657" i="1" a="1"/>
  <c r="Q1657" i="1" s="1"/>
  <c r="Q1658" i="1" a="1"/>
  <c r="Q1658" i="1" s="1"/>
  <c r="Q1659" i="1" a="1"/>
  <c r="Q1659" i="1" s="1"/>
  <c r="Q1660" i="1" a="1"/>
  <c r="Q1660" i="1" s="1"/>
  <c r="Q1661" i="1" a="1"/>
  <c r="Q1661" i="1"/>
  <c r="Q1662" i="1" a="1"/>
  <c r="Q1662" i="1" s="1"/>
  <c r="Q1663" i="1" a="1"/>
  <c r="Q1663" i="1" s="1"/>
  <c r="Q1664" i="1" a="1"/>
  <c r="Q1664" i="1" s="1"/>
  <c r="Q1665" i="1" a="1"/>
  <c r="Q1665" i="1" s="1"/>
  <c r="Q1666" i="1" a="1"/>
  <c r="Q1666" i="1" s="1"/>
  <c r="Q1667" i="1" a="1"/>
  <c r="Q1667" i="1" s="1"/>
  <c r="Q1668" i="1" a="1"/>
  <c r="Q1668" i="1" s="1"/>
  <c r="Q1669" i="1" a="1"/>
  <c r="Q1669" i="1" s="1"/>
  <c r="Q1670" i="1" a="1"/>
  <c r="Q1670" i="1" s="1"/>
  <c r="Q1671" i="1" a="1"/>
  <c r="Q1671" i="1" s="1"/>
  <c r="Q1672" i="1" a="1"/>
  <c r="Q1672" i="1" s="1"/>
  <c r="Q1673" i="1" a="1"/>
  <c r="Q1673" i="1" s="1"/>
  <c r="Q1674" i="1" a="1"/>
  <c r="Q1674" i="1" s="1"/>
  <c r="Q1675" i="1" a="1"/>
  <c r="Q1675" i="1" s="1"/>
  <c r="Q1676" i="1" a="1"/>
  <c r="Q1676" i="1" s="1"/>
  <c r="Q1677" i="1" a="1"/>
  <c r="Q1677" i="1" s="1"/>
  <c r="Q1678" i="1" a="1"/>
  <c r="Q1678" i="1" s="1"/>
  <c r="Q1679" i="1" a="1"/>
  <c r="Q1679" i="1" s="1"/>
  <c r="Q1680" i="1" a="1"/>
  <c r="Q1680" i="1" s="1"/>
  <c r="Q1681" i="1" a="1"/>
  <c r="Q1681" i="1" s="1"/>
  <c r="Q1682" i="1" a="1"/>
  <c r="Q1682" i="1" s="1"/>
  <c r="Q1683" i="1" a="1"/>
  <c r="Q1683" i="1" s="1"/>
  <c r="Q1684" i="1" a="1"/>
  <c r="Q1684" i="1" s="1"/>
  <c r="Q1685" i="1" a="1"/>
  <c r="Q1685" i="1" s="1"/>
  <c r="Q1686" i="1" a="1"/>
  <c r="Q1686" i="1" s="1"/>
  <c r="Q1687" i="1" a="1"/>
  <c r="Q1687" i="1" s="1"/>
  <c r="Q1688" i="1" a="1"/>
  <c r="Q1688" i="1" s="1"/>
  <c r="Q1689" i="1" a="1"/>
  <c r="Q1689" i="1"/>
  <c r="Q1690" i="1" a="1"/>
  <c r="Q1690" i="1" s="1"/>
  <c r="Q1691" i="1" a="1"/>
  <c r="Q1691" i="1" s="1"/>
  <c r="Q1692" i="1" a="1"/>
  <c r="Q1692" i="1" s="1"/>
  <c r="Q1693" i="1" a="1"/>
  <c r="Q1693" i="1" s="1"/>
  <c r="Q1694" i="1" a="1"/>
  <c r="Q1694" i="1" s="1"/>
  <c r="Q1695" i="1" a="1"/>
  <c r="Q1695" i="1" s="1"/>
  <c r="Q1696" i="1" a="1"/>
  <c r="Q1696" i="1" s="1"/>
  <c r="Q1697" i="1" a="1"/>
  <c r="Q1697" i="1" s="1"/>
  <c r="Q1698" i="1" a="1"/>
  <c r="Q1698" i="1" s="1"/>
  <c r="Q1699" i="1" a="1"/>
  <c r="Q1699" i="1" s="1"/>
  <c r="Q1700" i="1" a="1"/>
  <c r="Q1700" i="1" s="1"/>
  <c r="Q1701" i="1" a="1"/>
  <c r="Q1701" i="1" s="1"/>
  <c r="Q1702" i="1" a="1"/>
  <c r="Q1702" i="1" s="1"/>
  <c r="Q1703" i="1" a="1"/>
  <c r="Q1703" i="1" s="1"/>
  <c r="Q1704" i="1" a="1"/>
  <c r="Q1704" i="1" s="1"/>
  <c r="Q1705" i="1" a="1"/>
  <c r="Q1705" i="1" s="1"/>
  <c r="Q1706" i="1" a="1"/>
  <c r="Q1706" i="1" s="1"/>
  <c r="Q1707" i="1" a="1"/>
  <c r="Q1707" i="1" s="1"/>
  <c r="Q1708" i="1" a="1"/>
  <c r="Q1708" i="1" s="1"/>
  <c r="Q1709" i="1" a="1"/>
  <c r="Q1709" i="1"/>
  <c r="Q1710" i="1" a="1"/>
  <c r="Q1710" i="1" s="1"/>
  <c r="Q1711" i="1" a="1"/>
  <c r="Q1711" i="1" s="1"/>
  <c r="Q1712" i="1" a="1"/>
  <c r="Q1712" i="1" s="1"/>
  <c r="Q1713" i="1" a="1"/>
  <c r="Q1713" i="1" s="1"/>
  <c r="Q1714" i="1" a="1"/>
  <c r="Q1714" i="1" s="1"/>
  <c r="Q1715" i="1" a="1"/>
  <c r="Q1715" i="1" s="1"/>
  <c r="Q1716" i="1" a="1"/>
  <c r="Q1716" i="1" s="1"/>
  <c r="Q1717" i="1" a="1"/>
  <c r="Q1717" i="1" s="1"/>
  <c r="Q1718" i="1" a="1"/>
  <c r="Q1718" i="1" s="1"/>
  <c r="Q1719" i="1" a="1"/>
  <c r="Q1719" i="1" s="1"/>
  <c r="Q1720" i="1" a="1"/>
  <c r="Q1720" i="1" s="1"/>
  <c r="Q1721" i="1" a="1"/>
  <c r="Q1721" i="1" s="1"/>
  <c r="Q1722" i="1" a="1"/>
  <c r="Q1722" i="1" s="1"/>
  <c r="Q1723" i="1" a="1"/>
  <c r="Q1723" i="1" s="1"/>
  <c r="Q1724" i="1" a="1"/>
  <c r="Q1724" i="1" s="1"/>
  <c r="Q1725" i="1" a="1"/>
  <c r="Q1725" i="1" s="1"/>
  <c r="Q1726" i="1" a="1"/>
  <c r="Q1726" i="1" s="1"/>
  <c r="Q1727" i="1" a="1"/>
  <c r="Q1727" i="1" s="1"/>
  <c r="Q1728" i="1" a="1"/>
  <c r="Q1728" i="1" s="1"/>
  <c r="Q1729" i="1" a="1"/>
  <c r="Q1729" i="1" s="1"/>
  <c r="Q1730" i="1" a="1"/>
  <c r="Q1730" i="1" s="1"/>
  <c r="Q1731" i="1" a="1"/>
  <c r="Q1731" i="1" s="1"/>
  <c r="Q1732" i="1" a="1"/>
  <c r="Q1732" i="1" s="1"/>
  <c r="Q1733" i="1" a="1"/>
  <c r="Q1733" i="1" s="1"/>
  <c r="Q1734" i="1" a="1"/>
  <c r="Q1734" i="1" s="1"/>
  <c r="Q1735" i="1" a="1"/>
  <c r="Q1735" i="1" s="1"/>
  <c r="Q1736" i="1" a="1"/>
  <c r="Q1736" i="1" s="1"/>
  <c r="Q1737" i="1" a="1"/>
  <c r="Q1737" i="1" s="1"/>
  <c r="Q1738" i="1" a="1"/>
  <c r="Q1738" i="1"/>
  <c r="Q1739" i="1" a="1"/>
  <c r="Q1739" i="1" s="1"/>
  <c r="Q1740" i="1" a="1"/>
  <c r="Q1740" i="1" s="1"/>
  <c r="Q1741" i="1" a="1"/>
  <c r="Q1741" i="1" s="1"/>
  <c r="Q1742" i="1" a="1"/>
  <c r="Q1742" i="1" s="1"/>
  <c r="Q1743" i="1" a="1"/>
  <c r="Q1743" i="1" s="1"/>
  <c r="Q1744" i="1" a="1"/>
  <c r="Q1744" i="1" s="1"/>
  <c r="Q1745" i="1" a="1"/>
  <c r="Q1745" i="1" s="1"/>
  <c r="Q1746" i="1" a="1"/>
  <c r="Q1746" i="1" s="1"/>
  <c r="Q1747" i="1" a="1"/>
  <c r="Q1747" i="1" s="1"/>
  <c r="Q1748" i="1" a="1"/>
  <c r="Q1748" i="1" s="1"/>
  <c r="Q1749" i="1" a="1"/>
  <c r="Q1749" i="1" s="1"/>
  <c r="Q1750" i="1" a="1"/>
  <c r="Q1750" i="1" s="1"/>
  <c r="Q1751" i="1" a="1"/>
  <c r="Q1751" i="1" s="1"/>
  <c r="Q1752" i="1" a="1"/>
  <c r="Q1752" i="1" s="1"/>
  <c r="Q1753" i="1" a="1"/>
  <c r="Q1753" i="1" s="1"/>
  <c r="Q1754" i="1" a="1"/>
  <c r="Q1754" i="1"/>
  <c r="Q1755" i="1" a="1"/>
  <c r="Q1755" i="1" s="1"/>
  <c r="Q1756" i="1" a="1"/>
  <c r="Q1756" i="1" s="1"/>
  <c r="Q1757" i="1" a="1"/>
  <c r="Q1757" i="1" s="1"/>
  <c r="Q1758" i="1" a="1"/>
  <c r="Q1758" i="1" s="1"/>
  <c r="Q1759" i="1" a="1"/>
  <c r="Q1759" i="1" s="1"/>
  <c r="Q1760" i="1" a="1"/>
  <c r="Q1760" i="1" s="1"/>
  <c r="Q1761" i="1" a="1"/>
  <c r="Q1761" i="1" s="1"/>
  <c r="Q1762" i="1" a="1"/>
  <c r="Q1762" i="1" s="1"/>
  <c r="Q1763" i="1" a="1"/>
  <c r="Q1763" i="1" s="1"/>
  <c r="Q1764" i="1" a="1"/>
  <c r="Q1764" i="1" s="1"/>
  <c r="Q1765" i="1" a="1"/>
  <c r="Q1765" i="1" s="1"/>
  <c r="Q1766" i="1" a="1"/>
  <c r="Q1766" i="1" s="1"/>
  <c r="Q1767" i="1" a="1"/>
  <c r="Q1767" i="1" s="1"/>
  <c r="Q1768" i="1" a="1"/>
  <c r="Q1768" i="1"/>
  <c r="Q1769" i="1" a="1"/>
  <c r="Q1769" i="1" s="1"/>
  <c r="Q1770" i="1" a="1"/>
  <c r="Q1770" i="1" s="1"/>
  <c r="Q1771" i="1" a="1"/>
  <c r="Q1771" i="1" s="1"/>
  <c r="Q1772" i="1" a="1"/>
  <c r="Q1772" i="1" s="1"/>
  <c r="Q1773" i="1" a="1"/>
  <c r="Q1773" i="1" s="1"/>
  <c r="Q1774" i="1" a="1"/>
  <c r="Q1774" i="1" s="1"/>
  <c r="Q1775" i="1" a="1"/>
  <c r="Q1775" i="1" s="1"/>
  <c r="Q1776" i="1" a="1"/>
  <c r="Q1776" i="1"/>
  <c r="Q1777" i="1" a="1"/>
  <c r="Q1777" i="1" s="1"/>
  <c r="Q1778" i="1" a="1"/>
  <c r="Q1778" i="1" s="1"/>
  <c r="Q1779" i="1" a="1"/>
  <c r="Q1779" i="1" s="1"/>
  <c r="Q1780" i="1" a="1"/>
  <c r="Q1780" i="1" s="1"/>
  <c r="Q1781" i="1" a="1"/>
  <c r="Q1781" i="1" s="1"/>
  <c r="Q1782" i="1" a="1"/>
  <c r="Q1782" i="1" s="1"/>
  <c r="Q1783" i="1" a="1"/>
  <c r="Q1783" i="1" s="1"/>
  <c r="Q1784" i="1" a="1"/>
  <c r="Q1784" i="1"/>
  <c r="Q1785" i="1" a="1"/>
  <c r="Q1785" i="1" s="1"/>
  <c r="Q1786" i="1" a="1"/>
  <c r="Q1786" i="1" s="1"/>
  <c r="Q1787" i="1" a="1"/>
  <c r="Q1787" i="1" s="1"/>
  <c r="Q1788" i="1" a="1"/>
  <c r="Q1788" i="1" s="1"/>
  <c r="Q1789" i="1" a="1"/>
  <c r="Q1789" i="1" s="1"/>
  <c r="Q1790" i="1" a="1"/>
  <c r="Q1790" i="1" s="1"/>
  <c r="Q1791" i="1" a="1"/>
  <c r="Q1791" i="1" s="1"/>
  <c r="Q1792" i="1" a="1"/>
  <c r="Q1792" i="1"/>
  <c r="Q1793" i="1" a="1"/>
  <c r="Q1793" i="1" s="1"/>
  <c r="Q1794" i="1" a="1"/>
  <c r="Q1794" i="1" s="1"/>
  <c r="Q1795" i="1" a="1"/>
  <c r="Q1795" i="1" s="1"/>
  <c r="Q1796" i="1" a="1"/>
  <c r="Q1796" i="1" s="1"/>
  <c r="Q1797" i="1" a="1"/>
  <c r="Q1797" i="1" s="1"/>
  <c r="Q1798" i="1" a="1"/>
  <c r="Q1798" i="1"/>
  <c r="Q1799" i="1" a="1"/>
  <c r="Q1799" i="1" s="1"/>
  <c r="Q1800" i="1" a="1"/>
  <c r="Q1800" i="1" s="1"/>
  <c r="Q1801" i="1" a="1"/>
  <c r="Q1801" i="1" s="1"/>
  <c r="Q1802" i="1" a="1"/>
  <c r="Q1802" i="1" s="1"/>
  <c r="Q1803" i="1" a="1"/>
  <c r="Q1803" i="1" s="1"/>
  <c r="Q1804" i="1" a="1"/>
  <c r="Q1804" i="1" s="1"/>
  <c r="Q1805" i="1" a="1"/>
  <c r="Q1805" i="1" s="1"/>
  <c r="Q1806" i="1" a="1"/>
  <c r="Q1806" i="1" s="1"/>
  <c r="Q1807" i="1" a="1"/>
  <c r="Q1807" i="1" s="1"/>
  <c r="Q1808" i="1" a="1"/>
  <c r="Q1808" i="1"/>
  <c r="Q1809" i="1" a="1"/>
  <c r="Q1809" i="1" s="1"/>
  <c r="Q1810" i="1" a="1"/>
  <c r="Q1810" i="1" s="1"/>
  <c r="Q1811" i="1" a="1"/>
  <c r="Q1811" i="1" s="1"/>
  <c r="Q1812" i="1" a="1"/>
  <c r="Q1812" i="1" s="1"/>
  <c r="Q1813" i="1" a="1"/>
  <c r="Q1813" i="1" s="1"/>
  <c r="Q1814" i="1" a="1"/>
  <c r="Q1814" i="1"/>
  <c r="Q1815" i="1" a="1"/>
  <c r="Q1815" i="1" s="1"/>
  <c r="Q1816" i="1" a="1"/>
  <c r="Q1816" i="1" s="1"/>
  <c r="Q1817" i="1" a="1"/>
  <c r="Q1817" i="1" s="1"/>
  <c r="Q1818" i="1" a="1"/>
  <c r="Q1818" i="1" s="1"/>
  <c r="Q1819" i="1" a="1"/>
  <c r="Q1819" i="1" s="1"/>
  <c r="Q1820" i="1" a="1"/>
  <c r="Q1820" i="1" s="1"/>
  <c r="Q1821" i="1" a="1"/>
  <c r="Q1821" i="1" s="1"/>
  <c r="Q1822" i="1" a="1"/>
  <c r="Q1822" i="1"/>
  <c r="Q1823" i="1" a="1"/>
  <c r="Q1823" i="1" s="1"/>
  <c r="Q1824" i="1" a="1"/>
  <c r="Q1824" i="1" s="1"/>
  <c r="Q1825" i="1" a="1"/>
  <c r="Q1825" i="1" s="1"/>
  <c r="Q1826" i="1" a="1"/>
  <c r="Q1826" i="1" s="1"/>
  <c r="Q1827" i="1" a="1"/>
  <c r="Q1827" i="1" s="1"/>
  <c r="Q1828" i="1" a="1"/>
  <c r="Q1828" i="1" s="1"/>
  <c r="Q1829" i="1" a="1"/>
  <c r="Q1829" i="1" s="1"/>
  <c r="Q1830" i="1" a="1"/>
  <c r="Q1830" i="1"/>
  <c r="Q1831" i="1" a="1"/>
  <c r="Q1831" i="1" s="1"/>
  <c r="Q1832" i="1" a="1"/>
  <c r="Q1832" i="1" s="1"/>
  <c r="Q1833" i="1" a="1"/>
  <c r="Q1833" i="1" s="1"/>
  <c r="Q1834" i="1" a="1"/>
  <c r="Q1834" i="1" s="1"/>
  <c r="Q1835" i="1" a="1"/>
  <c r="Q1835" i="1" s="1"/>
  <c r="Q1836" i="1" a="1"/>
  <c r="Q1836" i="1" s="1"/>
  <c r="Q1837" i="1" a="1"/>
  <c r="Q1837" i="1" s="1"/>
  <c r="Q1838" i="1" a="1"/>
  <c r="Q1838" i="1"/>
  <c r="Q1839" i="1" a="1"/>
  <c r="Q1839" i="1" s="1"/>
  <c r="Q1840" i="1" a="1"/>
  <c r="Q1840" i="1" s="1"/>
  <c r="Q1841" i="1" a="1"/>
  <c r="Q1841" i="1" s="1"/>
  <c r="Q1842" i="1" a="1"/>
  <c r="Q1842" i="1" s="1"/>
  <c r="Q1843" i="1" a="1"/>
  <c r="Q1843" i="1" s="1"/>
  <c r="Q1844" i="1" a="1"/>
  <c r="Q1844" i="1" s="1"/>
  <c r="Q1845" i="1" a="1"/>
  <c r="Q1845" i="1" s="1"/>
  <c r="Q1846" i="1" a="1"/>
  <c r="Q1846" i="1"/>
  <c r="Q1847" i="1" a="1"/>
  <c r="Q1847" i="1" s="1"/>
  <c r="Q1848" i="1" a="1"/>
  <c r="Q1848" i="1" s="1"/>
  <c r="Q1849" i="1" a="1"/>
  <c r="Q1849" i="1" s="1"/>
  <c r="Q1850" i="1" a="1"/>
  <c r="Q1850" i="1" s="1"/>
  <c r="Q1851" i="1" a="1"/>
  <c r="Q1851" i="1" s="1"/>
  <c r="Q1852" i="1" a="1"/>
  <c r="Q1852" i="1" s="1"/>
  <c r="Q1853" i="1" a="1"/>
  <c r="Q1853" i="1" s="1"/>
  <c r="Q1854" i="1" a="1"/>
  <c r="Q1854" i="1"/>
  <c r="Q1855" i="1" a="1"/>
  <c r="Q1855" i="1" s="1"/>
  <c r="Q1856" i="1" a="1"/>
  <c r="Q1856" i="1" s="1"/>
  <c r="Q1857" i="1" a="1"/>
  <c r="Q1857" i="1" s="1"/>
  <c r="Q1858" i="1" a="1"/>
  <c r="Q1858" i="1" s="1"/>
  <c r="Q1859" i="1" a="1"/>
  <c r="Q1859" i="1" s="1"/>
  <c r="Q1860" i="1" a="1"/>
  <c r="Q1860" i="1" s="1"/>
  <c r="Q1861" i="1" a="1"/>
  <c r="Q1861" i="1" s="1"/>
  <c r="Q1862" i="1" a="1"/>
  <c r="Q1862" i="1"/>
  <c r="Q1863" i="1" a="1"/>
  <c r="Q1863" i="1" s="1"/>
  <c r="Q1864" i="1" a="1"/>
  <c r="Q1864" i="1" s="1"/>
  <c r="Q1865" i="1" a="1"/>
  <c r="Q1865" i="1" s="1"/>
  <c r="Q1866" i="1" a="1"/>
  <c r="Q1866" i="1" s="1"/>
  <c r="Q1867" i="1" a="1"/>
  <c r="Q1867" i="1" s="1"/>
  <c r="Q1868" i="1" a="1"/>
  <c r="Q1868" i="1" s="1"/>
  <c r="Q1869" i="1" a="1"/>
  <c r="Q1869" i="1" s="1"/>
  <c r="Q1870" i="1" a="1"/>
  <c r="Q1870" i="1"/>
  <c r="Q1871" i="1" a="1"/>
  <c r="Q1871" i="1" s="1"/>
  <c r="Q1872" i="1" a="1"/>
  <c r="Q1872" i="1" s="1"/>
  <c r="Q1873" i="1" a="1"/>
  <c r="Q1873" i="1" s="1"/>
  <c r="Q1874" i="1" a="1"/>
  <c r="Q1874" i="1" s="1"/>
  <c r="Q1875" i="1" a="1"/>
  <c r="Q1875" i="1" s="1"/>
  <c r="Q1876" i="1" a="1"/>
  <c r="Q1876" i="1" s="1"/>
  <c r="Q1877" i="1" a="1"/>
  <c r="Q1877" i="1" s="1"/>
  <c r="Q1878" i="1" a="1"/>
  <c r="Q1878" i="1"/>
  <c r="Q1879" i="1" a="1"/>
  <c r="Q1879" i="1" s="1"/>
  <c r="Q1880" i="1" a="1"/>
  <c r="Q1880" i="1" s="1"/>
  <c r="Q1881" i="1" a="1"/>
  <c r="Q1881" i="1" s="1"/>
  <c r="Q1882" i="1" a="1"/>
  <c r="Q1882" i="1" s="1"/>
  <c r="Q1883" i="1" a="1"/>
  <c r="Q1883" i="1" s="1"/>
  <c r="Q1884" i="1" a="1"/>
  <c r="Q1884" i="1" s="1"/>
  <c r="Q1885" i="1" a="1"/>
  <c r="Q1885" i="1" s="1"/>
  <c r="Q1886" i="1" a="1"/>
  <c r="Q1886" i="1"/>
  <c r="Q1887" i="1" a="1"/>
  <c r="Q1887" i="1" s="1"/>
  <c r="Q1888" i="1" a="1"/>
  <c r="Q1888" i="1" s="1"/>
  <c r="Q1889" i="1" a="1"/>
  <c r="Q1889" i="1" s="1"/>
  <c r="Q1890" i="1" a="1"/>
  <c r="Q1890" i="1" s="1"/>
  <c r="Q1891" i="1" a="1"/>
  <c r="Q1891" i="1" s="1"/>
  <c r="Q1892" i="1" a="1"/>
  <c r="Q1892" i="1" s="1"/>
  <c r="Q1893" i="1" a="1"/>
  <c r="Q1893" i="1" s="1"/>
  <c r="Q1894" i="1" a="1"/>
  <c r="Q1894" i="1"/>
  <c r="Q1895" i="1" a="1"/>
  <c r="Q1895" i="1" s="1"/>
  <c r="Q1896" i="1" a="1"/>
  <c r="Q1896" i="1" s="1"/>
  <c r="Q1897" i="1" a="1"/>
  <c r="Q1897" i="1" s="1"/>
  <c r="Q1898" i="1" a="1"/>
  <c r="Q1898" i="1" s="1"/>
  <c r="Q1899" i="1" a="1"/>
  <c r="Q1899" i="1" s="1"/>
  <c r="Q1900" i="1" a="1"/>
  <c r="Q1900" i="1" s="1"/>
  <c r="Q1901" i="1" a="1"/>
  <c r="Q1901" i="1" s="1"/>
  <c r="Q1902" i="1" a="1"/>
  <c r="Q1902" i="1"/>
  <c r="Q1903" i="1" a="1"/>
  <c r="Q1903" i="1" s="1"/>
  <c r="Q1904" i="1" a="1"/>
  <c r="Q1904" i="1" s="1"/>
  <c r="Q1905" i="1" a="1"/>
  <c r="Q1905" i="1" s="1"/>
  <c r="Q1906" i="1" a="1"/>
  <c r="Q1906" i="1" s="1"/>
  <c r="Q1907" i="1" a="1"/>
  <c r="Q1907" i="1" s="1"/>
  <c r="Q1908" i="1" a="1"/>
  <c r="Q1908" i="1" s="1"/>
  <c r="Q1909" i="1" a="1"/>
  <c r="Q1909" i="1" s="1"/>
  <c r="Q1910" i="1" a="1"/>
  <c r="Q1910" i="1"/>
  <c r="Q1911" i="1" a="1"/>
  <c r="Q1911" i="1" s="1"/>
  <c r="Q1912" i="1" a="1"/>
  <c r="Q1912" i="1" s="1"/>
  <c r="Q1913" i="1" a="1"/>
  <c r="Q1913" i="1" s="1"/>
  <c r="Q1914" i="1" a="1"/>
  <c r="Q1914" i="1" s="1"/>
  <c r="Q1915" i="1" a="1"/>
  <c r="Q1915" i="1" s="1"/>
  <c r="Q1916" i="1" a="1"/>
  <c r="Q1916" i="1" s="1"/>
  <c r="Q1917" i="1" a="1"/>
  <c r="Q1917" i="1" s="1"/>
  <c r="Q1918" i="1" a="1"/>
  <c r="Q1918" i="1"/>
  <c r="Q1919" i="1" a="1"/>
  <c r="Q1919" i="1" s="1"/>
  <c r="Q1920" i="1" a="1"/>
  <c r="Q1920" i="1" s="1"/>
  <c r="Q1921" i="1" a="1"/>
  <c r="Q1921" i="1" s="1"/>
  <c r="Q1922" i="1" a="1"/>
  <c r="Q1922" i="1" s="1"/>
  <c r="Q1923" i="1" a="1"/>
  <c r="Q1923" i="1" s="1"/>
  <c r="Q1924" i="1" a="1"/>
  <c r="Q1924" i="1" s="1"/>
  <c r="Q1925" i="1" a="1"/>
  <c r="Q1925" i="1" s="1"/>
  <c r="Q1926" i="1" a="1"/>
  <c r="Q1926" i="1"/>
  <c r="Q1927" i="1" a="1"/>
  <c r="Q1927" i="1" s="1"/>
  <c r="Q1928" i="1" a="1"/>
  <c r="Q1928" i="1" s="1"/>
  <c r="Q1929" i="1" a="1"/>
  <c r="Q1929" i="1" s="1"/>
  <c r="Q1930" i="1" a="1"/>
  <c r="Q1930" i="1" s="1"/>
  <c r="Q1931" i="1" a="1"/>
  <c r="Q1931" i="1" s="1"/>
  <c r="Q1932" i="1" a="1"/>
  <c r="Q1932" i="1" s="1"/>
  <c r="Q1933" i="1" a="1"/>
  <c r="Q1933" i="1" s="1"/>
  <c r="Q1934" i="1" a="1"/>
  <c r="Q1934" i="1"/>
  <c r="Q1935" i="1" a="1"/>
  <c r="Q1935" i="1" s="1"/>
  <c r="Q1936" i="1" a="1"/>
  <c r="Q1936" i="1" s="1"/>
  <c r="Q1937" i="1" a="1"/>
  <c r="Q1937" i="1" s="1"/>
  <c r="Q1938" i="1" a="1"/>
  <c r="Q1938" i="1" s="1"/>
  <c r="Q1939" i="1" a="1"/>
  <c r="Q1939" i="1" s="1"/>
  <c r="Q1940" i="1" a="1"/>
  <c r="Q1940" i="1" s="1"/>
  <c r="Q1941" i="1" a="1"/>
  <c r="Q1941" i="1" s="1"/>
  <c r="Q1942" i="1" a="1"/>
  <c r="Q1942" i="1"/>
  <c r="Q1943" i="1" a="1"/>
  <c r="Q1943" i="1" s="1"/>
  <c r="Q1944" i="1" a="1"/>
  <c r="Q1944" i="1" s="1"/>
  <c r="Q1945" i="1" a="1"/>
  <c r="Q1945" i="1" s="1"/>
  <c r="Q1946" i="1" a="1"/>
  <c r="Q1946" i="1" s="1"/>
  <c r="Q1947" i="1" a="1"/>
  <c r="Q1947" i="1" s="1"/>
  <c r="Q1948" i="1" a="1"/>
  <c r="Q1948" i="1" s="1"/>
  <c r="Q1949" i="1" a="1"/>
  <c r="Q1949" i="1" s="1"/>
  <c r="Q1950" i="1" a="1"/>
  <c r="Q1950" i="1"/>
  <c r="Q1951" i="1" a="1"/>
  <c r="Q1951" i="1" s="1"/>
  <c r="Q1952" i="1" a="1"/>
  <c r="Q1952" i="1" s="1"/>
  <c r="Q1953" i="1" a="1"/>
  <c r="Q1953" i="1" s="1"/>
  <c r="Q1954" i="1" a="1"/>
  <c r="Q1954" i="1" s="1"/>
  <c r="Q1955" i="1" a="1"/>
  <c r="Q1955" i="1" s="1"/>
  <c r="Q1956" i="1" a="1"/>
  <c r="Q1956" i="1" s="1"/>
  <c r="Q1957" i="1" a="1"/>
  <c r="Q1957" i="1" s="1"/>
  <c r="Q1958" i="1" a="1"/>
  <c r="Q1958" i="1"/>
  <c r="Q1959" i="1" a="1"/>
  <c r="Q1959" i="1" s="1"/>
  <c r="Q1960" i="1" a="1"/>
  <c r="Q1960" i="1" s="1"/>
  <c r="Q1961" i="1" a="1"/>
  <c r="Q1961" i="1" s="1"/>
  <c r="Q1962" i="1" a="1"/>
  <c r="Q1962" i="1" s="1"/>
  <c r="Q1963" i="1" a="1"/>
  <c r="Q1963" i="1" s="1"/>
  <c r="Q1964" i="1" a="1"/>
  <c r="Q1964" i="1" s="1"/>
  <c r="Q1965" i="1" a="1"/>
  <c r="Q1965" i="1" s="1"/>
  <c r="Q1966" i="1" a="1"/>
  <c r="Q1966" i="1"/>
  <c r="Q1967" i="1" a="1"/>
  <c r="Q1967" i="1" s="1"/>
  <c r="Q1968" i="1" a="1"/>
  <c r="Q1968" i="1" s="1"/>
  <c r="Q1969" i="1" a="1"/>
  <c r="Q1969" i="1" s="1"/>
  <c r="Q1970" i="1" a="1"/>
  <c r="Q1970" i="1" s="1"/>
  <c r="Q1971" i="1" a="1"/>
  <c r="Q1971" i="1" s="1"/>
  <c r="Q1972" i="1" a="1"/>
  <c r="Q1972" i="1" s="1"/>
  <c r="Q1973" i="1" a="1"/>
  <c r="Q1973" i="1" s="1"/>
  <c r="Q1974" i="1" a="1"/>
  <c r="Q1974" i="1"/>
  <c r="Q1975" i="1" a="1"/>
  <c r="Q1975" i="1" s="1"/>
  <c r="Q1976" i="1" a="1"/>
  <c r="Q1976" i="1" s="1"/>
  <c r="Q1977" i="1" a="1"/>
  <c r="Q1977" i="1" s="1"/>
  <c r="Q1978" i="1" a="1"/>
  <c r="Q1978" i="1" s="1"/>
  <c r="Q1979" i="1" a="1"/>
  <c r="Q1979" i="1" s="1"/>
  <c r="Q1980" i="1" a="1"/>
  <c r="Q1980" i="1" s="1"/>
  <c r="Q1981" i="1" a="1"/>
  <c r="Q1981" i="1" s="1"/>
  <c r="Q1982" i="1" a="1"/>
  <c r="Q1982" i="1"/>
  <c r="Q1983" i="1" a="1"/>
  <c r="Q1983" i="1" s="1"/>
  <c r="Q1984" i="1" a="1"/>
  <c r="Q1984" i="1" s="1"/>
  <c r="Q1985" i="1" a="1"/>
  <c r="Q1985" i="1" s="1"/>
  <c r="Q1986" i="1" a="1"/>
  <c r="Q1986" i="1" s="1"/>
  <c r="Q1987" i="1" a="1"/>
  <c r="Q1987" i="1" s="1"/>
  <c r="Q1988" i="1" a="1"/>
  <c r="Q1988" i="1" s="1"/>
  <c r="Q1989" i="1" a="1"/>
  <c r="Q1989" i="1" s="1"/>
  <c r="Q1990" i="1" a="1"/>
  <c r="Q1990" i="1"/>
  <c r="Q1991" i="1" a="1"/>
  <c r="Q1991" i="1" s="1"/>
  <c r="Q1992" i="1" a="1"/>
  <c r="Q1992" i="1" s="1"/>
  <c r="Q1993" i="1" a="1"/>
  <c r="Q1993" i="1" s="1"/>
  <c r="Q1994" i="1" a="1"/>
  <c r="Q1994" i="1" s="1"/>
  <c r="Q1995" i="1" a="1"/>
  <c r="Q1995" i="1" s="1"/>
  <c r="Q1996" i="1" a="1"/>
  <c r="Q1996" i="1" s="1"/>
  <c r="Q1997" i="1" a="1"/>
  <c r="Q1997" i="1" s="1"/>
  <c r="Q1998" i="1" a="1"/>
  <c r="Q1998" i="1"/>
  <c r="Q1999" i="1" a="1"/>
  <c r="Q1999" i="1" s="1"/>
  <c r="Q2000" i="1" a="1"/>
  <c r="Q2000" i="1" s="1"/>
  <c r="Q2" i="1" a="1"/>
  <c r="Q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<sst xmlns="http://schemas.openxmlformats.org/spreadsheetml/2006/main" count="21882" uniqueCount="2919">
  <si>
    <t>year</t>
  </si>
  <si>
    <t>make</t>
  </si>
  <si>
    <t>model</t>
  </si>
  <si>
    <t>trim</t>
  </si>
  <si>
    <t>body</t>
  </si>
  <si>
    <t>transmission</t>
  </si>
  <si>
    <t>vin</t>
  </si>
  <si>
    <t>state</t>
  </si>
  <si>
    <t>condition</t>
  </si>
  <si>
    <t>odometer</t>
  </si>
  <si>
    <t>color</t>
  </si>
  <si>
    <t>interior</t>
  </si>
  <si>
    <t>seller</t>
  </si>
  <si>
    <t>mmr</t>
  </si>
  <si>
    <t>sellingprice</t>
  </si>
  <si>
    <t>saledate</t>
  </si>
  <si>
    <t>Kia</t>
  </si>
  <si>
    <t>Sorento</t>
  </si>
  <si>
    <t>LX</t>
  </si>
  <si>
    <t>SUV</t>
  </si>
  <si>
    <t>automatic</t>
  </si>
  <si>
    <t>5xyktca69fg566472</t>
  </si>
  <si>
    <t>ca</t>
  </si>
  <si>
    <t>white</t>
  </si>
  <si>
    <t>black</t>
  </si>
  <si>
    <t>kia motors america  inc</t>
  </si>
  <si>
    <t>Tue Dec 16 2014 12:30:00 GMT-0800 (PST)</t>
  </si>
  <si>
    <t>5xyktca69fg561319</t>
  </si>
  <si>
    <t>beige</t>
  </si>
  <si>
    <t>BMW</t>
  </si>
  <si>
    <t>3 Series</t>
  </si>
  <si>
    <t>328i SULEV</t>
  </si>
  <si>
    <t>Sedan</t>
  </si>
  <si>
    <t>wba3c1c51ek116351</t>
  </si>
  <si>
    <t>gray</t>
  </si>
  <si>
    <t>financial services remarketing (lease)</t>
  </si>
  <si>
    <t>Thu Jan 15 2015 04:30:00 GMT-0800 (PST)</t>
  </si>
  <si>
    <t>Volvo</t>
  </si>
  <si>
    <t>S60</t>
  </si>
  <si>
    <t>T5</t>
  </si>
  <si>
    <t>yv1612tb4f1310987</t>
  </si>
  <si>
    <t>volvo na rep/world omni</t>
  </si>
  <si>
    <t>Thu Jan 29 2015 04:30:00 GMT-0800 (PST)</t>
  </si>
  <si>
    <t>6 Series Gran Coupe</t>
  </si>
  <si>
    <t>650i</t>
  </si>
  <si>
    <t>wba6b2c57ed129731</t>
  </si>
  <si>
    <t>Thu Dec 18 2014 12:30:00 GMT-0800 (PST)</t>
  </si>
  <si>
    <t>Nissan</t>
  </si>
  <si>
    <t>Altima</t>
  </si>
  <si>
    <t>2.5 S</t>
  </si>
  <si>
    <t>1n4al3ap1fn326013</t>
  </si>
  <si>
    <t>enterprise vehicle exchange / tra / rental / tulsa</t>
  </si>
  <si>
    <t>Tue Dec 30 2014 12:00:00 GMT-0800 (PST)</t>
  </si>
  <si>
    <t>M5</t>
  </si>
  <si>
    <t>Base</t>
  </si>
  <si>
    <t>wbsfv9c51ed593089</t>
  </si>
  <si>
    <t>the hertz corporation</t>
  </si>
  <si>
    <t>Wed Dec 17 2014 12:30:00 GMT-0800 (PST)</t>
  </si>
  <si>
    <t>Chevrolet</t>
  </si>
  <si>
    <t>Cruze</t>
  </si>
  <si>
    <t>1LT</t>
  </si>
  <si>
    <t>1g1pc5sb2e7128460</t>
  </si>
  <si>
    <t>Tue Dec 16 2014 13:00:00 GMT-0800 (PST)</t>
  </si>
  <si>
    <t>Audi</t>
  </si>
  <si>
    <t>A4</t>
  </si>
  <si>
    <t>2.0T Premium Plus quattro</t>
  </si>
  <si>
    <t>wauffafl3en030343</t>
  </si>
  <si>
    <t>audi mission viejo</t>
  </si>
  <si>
    <t>Thu Dec 18 2014 12:00:00 GMT-0800 (PST)</t>
  </si>
  <si>
    <t>Camaro</t>
  </si>
  <si>
    <t>LT</t>
  </si>
  <si>
    <t>Convertible</t>
  </si>
  <si>
    <t>2g1fb3d37e9218789</t>
  </si>
  <si>
    <t>red</t>
  </si>
  <si>
    <t>d/m auto sales inc</t>
  </si>
  <si>
    <t>Tue Jan 20 2015 04:00:00 GMT-0800 (PST)</t>
  </si>
  <si>
    <t>A6</t>
  </si>
  <si>
    <t>3.0T Prestige quattro</t>
  </si>
  <si>
    <t>wauhgafc0en062916</t>
  </si>
  <si>
    <t>desert auto trade</t>
  </si>
  <si>
    <t>Optima</t>
  </si>
  <si>
    <t>5xxgm4a73fg353538</t>
  </si>
  <si>
    <t>tan</t>
  </si>
  <si>
    <t>kia motors finance</t>
  </si>
  <si>
    <t>Tue Dec 16 2014 12:00:00 GMT-0800 (PST)</t>
  </si>
  <si>
    <t>Ford</t>
  </si>
  <si>
    <t>Fusion</t>
  </si>
  <si>
    <t>SE</t>
  </si>
  <si>
    <t>3fa6p0hdxfr145753</t>
  </si>
  <si>
    <t>Tue Jan 13 2015 12:00:00 GMT-0800 (PST)</t>
  </si>
  <si>
    <t>5xyktca66fg561407</t>
  </si>
  <si>
    <t>silver</t>
  </si>
  <si>
    <t>2LT</t>
  </si>
  <si>
    <t>1g1pe5sbxe7120097</t>
  </si>
  <si>
    <t>blue</t>
  </si>
  <si>
    <t>avis rac/san leandro</t>
  </si>
  <si>
    <t>1n4al3ap5fc124223</t>
  </si>
  <si>
    <t>Tue Dec 23 2014 12:00:00 GMT-0800 (PST)</t>
  </si>
  <si>
    <t>Hyundai</t>
  </si>
  <si>
    <t>Sonata</t>
  </si>
  <si>
    <t>5npe24af4fh001562</t>
  </si>
  <si>
    <t>â€”</t>
  </si>
  <si>
    <t>avis tra</t>
  </si>
  <si>
    <t>Q5</t>
  </si>
  <si>
    <t>wa1lfafpxea085074</t>
  </si>
  <si>
    <t>audi north scottsdale</t>
  </si>
  <si>
    <t>LS</t>
  </si>
  <si>
    <t>Coupe</t>
  </si>
  <si>
    <t>2g1fa1e39e9134494</t>
  </si>
  <si>
    <t>wells fargo dealer services</t>
  </si>
  <si>
    <t>Tue Dec 30 2014 15:00:00 GMT-0800 (PST)</t>
  </si>
  <si>
    <t>6 Series</t>
  </si>
  <si>
    <t>wbayp9c53ed169260</t>
  </si>
  <si>
    <t>Impala</t>
  </si>
  <si>
    <t>LTZ</t>
  </si>
  <si>
    <t>2g1165s30f9103921</t>
  </si>
  <si>
    <t>Tue Jul 07 2015 09:30:00 GMT-0700 (PDT)</t>
  </si>
  <si>
    <t>5 Series</t>
  </si>
  <si>
    <t>528i</t>
  </si>
  <si>
    <t>wba5a5c51ed501631</t>
  </si>
  <si>
    <t>Tue Feb 03 2015 04:30:00 GMT-0800 (PST)</t>
  </si>
  <si>
    <t>2g1fb3d31e9134662</t>
  </si>
  <si>
    <t>A3</t>
  </si>
  <si>
    <t>1.8 TFSI Premium</t>
  </si>
  <si>
    <t>wauacgff7f1002327</t>
  </si>
  <si>
    <t>wbayp9c57ed169262</t>
  </si>
  <si>
    <t>Tue Jan 06 2015 12:30:00 GMT-0800 (PST)</t>
  </si>
  <si>
    <t>5npe24af4fh038482</t>
  </si>
  <si>
    <t>XC70</t>
  </si>
  <si>
    <t>T6</t>
  </si>
  <si>
    <t>Wagon</t>
  </si>
  <si>
    <t>yv4902nb3f1198103</t>
  </si>
  <si>
    <t>brown</t>
  </si>
  <si>
    <t>Thu Feb 26 2015 04:30:00 GMT-0800 (PST)</t>
  </si>
  <si>
    <t>yv4902nb3f1196951</t>
  </si>
  <si>
    <t>Thu Feb 12 2015 04:30:00 GMT-0800 (PST)</t>
  </si>
  <si>
    <t>X5</t>
  </si>
  <si>
    <t>sDrive35i</t>
  </si>
  <si>
    <t>5uxkr2c52e0h33130</t>
  </si>
  <si>
    <t>2g1fb1e35e9238302</t>
  </si>
  <si>
    <t>midway hfc fleet/ars</t>
  </si>
  <si>
    <t>1g1pc5sb2e7105471</t>
  </si>
  <si>
    <t>enterprise vehicle exchange/orange</t>
  </si>
  <si>
    <t>Tue Dec 30 2014 12:30:00 GMT-0800 (PST)</t>
  </si>
  <si>
    <t>SQ5</t>
  </si>
  <si>
    <t>3.0T Premium Plus quattro</t>
  </si>
  <si>
    <t>wa1cgafp4ea030312</t>
  </si>
  <si>
    <t>audi of downtown l a</t>
  </si>
  <si>
    <t>Thu Jan 29 2015 04:00:00 GMT-0800 (PST)</t>
  </si>
  <si>
    <t>5xyktca60fg565226</t>
  </si>
  <si>
    <t>S5</t>
  </si>
  <si>
    <t>Premium Plus quattro</t>
  </si>
  <si>
    <t>waucgafrxea001689</t>
  </si>
  <si>
    <t>fratelli investment group</t>
  </si>
  <si>
    <t>5xyktca68fg559481</t>
  </si>
  <si>
    <t>Buick</t>
  </si>
  <si>
    <t>Verano</t>
  </si>
  <si>
    <t>Convenience Group</t>
  </si>
  <si>
    <t>1g4pr5sk8e4175320</t>
  </si>
  <si>
    <t>Tue Jan 06 2015 04:00:00 GMT-0800 (PST)</t>
  </si>
  <si>
    <t>Suburban</t>
  </si>
  <si>
    <t>1gnskkkc3fr187901</t>
  </si>
  <si>
    <t>wba3c1c50ek108497</t>
  </si>
  <si>
    <t>wbsfv9c56ed593069</t>
  </si>
  <si>
    <t>Tue Jan 13 2015 04:30:00 GMT-0800 (PST)</t>
  </si>
  <si>
    <t>wba3c1c58ek106688</t>
  </si>
  <si>
    <t>Cadillac</t>
  </si>
  <si>
    <t>ELR</t>
  </si>
  <si>
    <t>1g6rr1e48eu601450</t>
  </si>
  <si>
    <t>rogue cu</t>
  </si>
  <si>
    <t>Wed Feb 04 2015 04:30:00 GMT-0800 (PST)</t>
  </si>
  <si>
    <t>5npe24af2fh014813</t>
  </si>
  <si>
    <t>wbayp9c50ed169281</t>
  </si>
  <si>
    <t>Tue Jan 06 2015 04:30:00 GMT-0800 (PST)</t>
  </si>
  <si>
    <t>V60</t>
  </si>
  <si>
    <t>yv1612sb9f1202043</t>
  </si>
  <si>
    <t>1g1pc5sb6e7128803</t>
  </si>
  <si>
    <t>X6</t>
  </si>
  <si>
    <t>xDrive35i</t>
  </si>
  <si>
    <t>5uxfg2c53e0h11080</t>
  </si>
  <si>
    <t>yv1612sb1f1201503</t>
  </si>
  <si>
    <t>1g1pe5sb6e7118217</t>
  </si>
  <si>
    <t>avis corporation</t>
  </si>
  <si>
    <t>Thu Jan 22 2015 03:30:00 GMT-0800 (PST)</t>
  </si>
  <si>
    <t>Acura</t>
  </si>
  <si>
    <t>ILX</t>
  </si>
  <si>
    <t>Technology Package</t>
  </si>
  <si>
    <t>19vde1f70ee008913</t>
  </si>
  <si>
    <t>american honda motor company</t>
  </si>
  <si>
    <t>5xyktca67fg570973</t>
  </si>
  <si>
    <t>yv1612sbxf1202276</t>
  </si>
  <si>
    <t>1n4al3ap4fn313644</t>
  </si>
  <si>
    <t>wba6b2c51ed129563</t>
  </si>
  <si>
    <t>1n4al3ap1fn331213</t>
  </si>
  <si>
    <t>K900</t>
  </si>
  <si>
    <t>Luxury</t>
  </si>
  <si>
    <t>knalw4d42f6019667</t>
  </si>
  <si>
    <t>Tue Feb 17 2015 04:30:00 GMT-0800 (PST)</t>
  </si>
  <si>
    <t>5xyktca63fg570727</t>
  </si>
  <si>
    <t>Malibu</t>
  </si>
  <si>
    <t>1g11d5sl6fu106427</t>
  </si>
  <si>
    <t>Wed Jan 14 2015 07:05:00 GMT-0800 (PST)</t>
  </si>
  <si>
    <t>Lexus</t>
  </si>
  <si>
    <t>RX 350</t>
  </si>
  <si>
    <t>2t2zk1ba7fc155782</t>
  </si>
  <si>
    <t>lexus financial services</t>
  </si>
  <si>
    <t>Tue Dec 30 2014 00:00:00 GMT-0800 (PST)</t>
  </si>
  <si>
    <t>5xykt3a62fg579841</t>
  </si>
  <si>
    <t>wbsfv9c51ed097712</t>
  </si>
  <si>
    <t>knalw4d42f6018633</t>
  </si>
  <si>
    <t>Tue Jan 20 2015 04:30:00 GMT-0800 (PST)</t>
  </si>
  <si>
    <t>wauacgff6f1029938</t>
  </si>
  <si>
    <t>Versa</t>
  </si>
  <si>
    <t>1.6 SL</t>
  </si>
  <si>
    <t>manual</t>
  </si>
  <si>
    <t>3n1cn7ap7fl842707</t>
  </si>
  <si>
    <t>purple</t>
  </si>
  <si>
    <t>nissan-infiniti lt</t>
  </si>
  <si>
    <t>2g1fb1e35e9238493</t>
  </si>
  <si>
    <t>Elantra</t>
  </si>
  <si>
    <t>5npdh4ae2fh565969</t>
  </si>
  <si>
    <t>5xyktca6xfg560888</t>
  </si>
  <si>
    <t>2g1fb1e33e9211499</t>
  </si>
  <si>
    <t>wauacgff1f1002467</t>
  </si>
  <si>
    <t>wbayp9c55ed169261</t>
  </si>
  <si>
    <t>Versa Note</t>
  </si>
  <si>
    <t>1.6 SV</t>
  </si>
  <si>
    <t>Hatchback</t>
  </si>
  <si>
    <t>3n1ce2cp8fl371361</t>
  </si>
  <si>
    <t>A8</t>
  </si>
  <si>
    <t>L 3.0T quattro</t>
  </si>
  <si>
    <t>waurgafd8en003111</t>
  </si>
  <si>
    <t>audi west covina</t>
  </si>
  <si>
    <t>X1</t>
  </si>
  <si>
    <t>sDrive28i</t>
  </si>
  <si>
    <t>wbavm1c53evw47779</t>
  </si>
  <si>
    <t>750Li</t>
  </si>
  <si>
    <t>wbaye8c59ed134514</t>
  </si>
  <si>
    <t>2g1fb1e31e9248986</t>
  </si>
  <si>
    <t>yv1612sb8f1201529</t>
  </si>
  <si>
    <t>wbaym9c53ed248064</t>
  </si>
  <si>
    <t>2g1fb1e37e9270877</t>
  </si>
  <si>
    <t>Tue Jan 06 2015 13:00:00 GMT-0800 (PST)</t>
  </si>
  <si>
    <t>wba6b2c53ed128866</t>
  </si>
  <si>
    <t>5xyktca68fg570979</t>
  </si>
  <si>
    <t>5xyktca65fg571619</t>
  </si>
  <si>
    <t>Enclave</t>
  </si>
  <si>
    <t>Leather Group</t>
  </si>
  <si>
    <t>5gakrbkd2ej294045</t>
  </si>
  <si>
    <t>wbsfv9c54ed593085</t>
  </si>
  <si>
    <t>wbsfv9c55ed593080</t>
  </si>
  <si>
    <t>Tue Dec 23 2014 12:30:00 GMT-0800 (PST)</t>
  </si>
  <si>
    <t>TTS</t>
  </si>
  <si>
    <t>quattro</t>
  </si>
  <si>
    <t>trub1afk9e1007640</t>
  </si>
  <si>
    <t>5npdh4ae2fh566023</t>
  </si>
  <si>
    <t>Tue Jan 13 2015 13:00:00 GMT-0800 (PST)</t>
  </si>
  <si>
    <t>4 Series</t>
  </si>
  <si>
    <t>428i SULEV</t>
  </si>
  <si>
    <t>wba3n7c55ef719079</t>
  </si>
  <si>
    <t>street smartz auto sales corporation</t>
  </si>
  <si>
    <t>5xyktca64fg570963</t>
  </si>
  <si>
    <t>1g1pe5sb5e7115504</t>
  </si>
  <si>
    <t>1g1pe5sb0e7134820</t>
  </si>
  <si>
    <t>Thu Jan 15 2015 03:30:00 GMT-0800 (PST)</t>
  </si>
  <si>
    <t>Silverado 2500HD</t>
  </si>
  <si>
    <t>Work Truck</t>
  </si>
  <si>
    <t>Crew Cab</t>
  </si>
  <si>
    <t>1gc1kvc84ef152736</t>
  </si>
  <si>
    <t>enterprise fleet management exchange  inc.</t>
  </si>
  <si>
    <t>Thu Dec 18 2014 11:30:00 GMT-0800 (PST)</t>
  </si>
  <si>
    <t>5xyktca60fg563086</t>
  </si>
  <si>
    <t>5npdh4ae2fh553630</t>
  </si>
  <si>
    <t>5npdh4ae4fh552981</t>
  </si>
  <si>
    <t>ag leaseplan</t>
  </si>
  <si>
    <t>MDX</t>
  </si>
  <si>
    <t>Advance and Entertainment Packages</t>
  </si>
  <si>
    <t>5fryd3h83eb011004</t>
  </si>
  <si>
    <t>onemain rem/m&amp;m auto traders</t>
  </si>
  <si>
    <t>3fa6p0h7xfr151689</t>
  </si>
  <si>
    <t>Wed Dec 17 2014 15:05:00 GMT-0800 (PST)</t>
  </si>
  <si>
    <t>wbayp9c53ed169288</t>
  </si>
  <si>
    <t>1g1pe5sb8e7420706</t>
  </si>
  <si>
    <t>Silverado 1500</t>
  </si>
  <si>
    <t>3gcpcrecxeg363552</t>
  </si>
  <si>
    <t>repo remarketing/visterra credit union</t>
  </si>
  <si>
    <t>1g1pe5sb4e7109323</t>
  </si>
  <si>
    <t>5xyktca67fg567068</t>
  </si>
  <si>
    <t>burgundy</t>
  </si>
  <si>
    <t>1g1pe5sb3e7406616</t>
  </si>
  <si>
    <t>yv1612sb6f1202338</t>
  </si>
  <si>
    <t>2g1fe1e34e9190976</t>
  </si>
  <si>
    <t>tdaf remarketing</t>
  </si>
  <si>
    <t>1n4al3ap4fn310470</t>
  </si>
  <si>
    <t>Tue Dec 30 2014 13:00:00 GMT-0800 (PST)</t>
  </si>
  <si>
    <t>wbayp9c5xed169286</t>
  </si>
  <si>
    <t>5npdh4ae0fh574105</t>
  </si>
  <si>
    <t>535d</t>
  </si>
  <si>
    <t>wbaxa5c52ed689665</t>
  </si>
  <si>
    <t>wbayp9c59ed169280</t>
  </si>
  <si>
    <t>5xyktca64fg570672</t>
  </si>
  <si>
    <t>SRX</t>
  </si>
  <si>
    <t>3gyfnbe32es536307</t>
  </si>
  <si>
    <t>lease plan usa</t>
  </si>
  <si>
    <t>5uxkr0c54e0k49204</t>
  </si>
  <si>
    <t>5npdh4ae8fh565992</t>
  </si>
  <si>
    <t>1g1pc5sbxe7113253</t>
  </si>
  <si>
    <t>3gcukrec9eg452373</t>
  </si>
  <si>
    <t>ars/acme auto leasing</t>
  </si>
  <si>
    <t>5xyktca60fg570829</t>
  </si>
  <si>
    <t>5xyktca61fg560973</t>
  </si>
  <si>
    <t>19vde1f38ee011281</t>
  </si>
  <si>
    <t>5xyktca61fg566806</t>
  </si>
  <si>
    <t>yv1612sb2f1201221</t>
  </si>
  <si>
    <t>2g1fb1e34e9292660</t>
  </si>
  <si>
    <t>1g1pe5sb4e7102937</t>
  </si>
  <si>
    <t>Thu Feb 12 2015 03:30:00 GMT-0800 (PST)</t>
  </si>
  <si>
    <t>5npdh4ae5fh572401</t>
  </si>
  <si>
    <t>Infiniti</t>
  </si>
  <si>
    <t>G Coupe</t>
  </si>
  <si>
    <t>G37 Sport</t>
  </si>
  <si>
    <t>jn1cv6ek4dm921604</t>
  </si>
  <si>
    <t>nissan infiniti lt</t>
  </si>
  <si>
    <t>G Sedan</t>
  </si>
  <si>
    <t>G37 Journey</t>
  </si>
  <si>
    <t>jn1cv6ap3dm726059</t>
  </si>
  <si>
    <t>jn1cv6apxdm714541</t>
  </si>
  <si>
    <t>jn1cv6ek8dm920763</t>
  </si>
  <si>
    <t>jn1cv6ek8dm900321</t>
  </si>
  <si>
    <t>jn1cv6ap5dm714009</t>
  </si>
  <si>
    <t>jn1cv6ap5dm713958</t>
  </si>
  <si>
    <t>FX</t>
  </si>
  <si>
    <t>FX37</t>
  </si>
  <si>
    <t>jn8cs1mu2dm140046</t>
  </si>
  <si>
    <t>jn1cv6ap4dm712848</t>
  </si>
  <si>
    <t>infiniti financial services</t>
  </si>
  <si>
    <t>Santa Fe</t>
  </si>
  <si>
    <t>Limited</t>
  </si>
  <si>
    <t>km8srdhf0du002596</t>
  </si>
  <si>
    <t>hyundai buybacks</t>
  </si>
  <si>
    <t>Genesis</t>
  </si>
  <si>
    <t>5.0 R-Spec</t>
  </si>
  <si>
    <t>kmhgc4dh7du220016</t>
  </si>
  <si>
    <t>hyundai motor america/co car</t>
  </si>
  <si>
    <t>Equus</t>
  </si>
  <si>
    <t>Signature</t>
  </si>
  <si>
    <t>kmhgh4jh9du063479</t>
  </si>
  <si>
    <t>jn1cv6ap1dm302069</t>
  </si>
  <si>
    <t>GLS</t>
  </si>
  <si>
    <t>kmhdh4ae9du490167</t>
  </si>
  <si>
    <t>hyundai motor finance</t>
  </si>
  <si>
    <t>km8srdhf8du000644</t>
  </si>
  <si>
    <t>5npdh4ae8dh348469</t>
  </si>
  <si>
    <t>jn1cv6ek0dm900927</t>
  </si>
  <si>
    <t>5npdh4ae5dh342001</t>
  </si>
  <si>
    <t>jn1cv6ap9dm712232</t>
  </si>
  <si>
    <t>jn1cv6ek0dm920093</t>
  </si>
  <si>
    <t>5npeb4ac9dh691294</t>
  </si>
  <si>
    <t>5npdh4ae9dh235016</t>
  </si>
  <si>
    <t>5npeb4ac4dh712021</t>
  </si>
  <si>
    <t>5npdh4ae0dh356789</t>
  </si>
  <si>
    <t>aaero sweet company</t>
  </si>
  <si>
    <t>Wed Dec 17 2014 12:15:00 GMT-0800 (PST)</t>
  </si>
  <si>
    <t>Sonata Hybrid</t>
  </si>
  <si>
    <t>kmhec4a40da089523</t>
  </si>
  <si>
    <t>Tue Jan 27 2015 04:30:00 GMT-0800 (PST)</t>
  </si>
  <si>
    <t>jn1cv6ap0dm725418</t>
  </si>
  <si>
    <t>kmhec4a46da091860</t>
  </si>
  <si>
    <t>Sport</t>
  </si>
  <si>
    <t>5xyztdlb9dg057378</t>
  </si>
  <si>
    <t>jn1cv6ap2dm714887</t>
  </si>
  <si>
    <t>jn1cv6ap2dm712055</t>
  </si>
  <si>
    <t>jn1cv6ap5dm713801</t>
  </si>
  <si>
    <t>jn1cv6ap2dm712170</t>
  </si>
  <si>
    <t>jn1cv6ek5dm900518</t>
  </si>
  <si>
    <t>jn1cv6apxdm712417</t>
  </si>
  <si>
    <t>5npeb4ac5dh771160</t>
  </si>
  <si>
    <t>gm financial</t>
  </si>
  <si>
    <t>km8sr4hf7du008024</t>
  </si>
  <si>
    <t>5npeb4acxdh744455</t>
  </si>
  <si>
    <t>5npec4ac6dh513954</t>
  </si>
  <si>
    <t>5npdh4ae4dh327134</t>
  </si>
  <si>
    <t>kmhec4a48da092248</t>
  </si>
  <si>
    <t>5npdh4ae8dh345667</t>
  </si>
  <si>
    <t>gold</t>
  </si>
  <si>
    <t>jn1cv6ap4dm303216</t>
  </si>
  <si>
    <t>jn1cv6apxdm713003</t>
  </si>
  <si>
    <t>jn1cv6ap9dm300442</t>
  </si>
  <si>
    <t>jn1cv6apxdm712403</t>
  </si>
  <si>
    <t>jn1cv6ap8dm717292</t>
  </si>
  <si>
    <t>jn1cv6apxdm715446</t>
  </si>
  <si>
    <t>5npdh4ae0dh358462</t>
  </si>
  <si>
    <t>Sport 2.0T</t>
  </si>
  <si>
    <t>5xyzw3la5dg114166</t>
  </si>
  <si>
    <t>jn1cv6ap6dm714973</t>
  </si>
  <si>
    <t>jn1cv6ap9dm719505</t>
  </si>
  <si>
    <t>5npec4ac2dh608074</t>
  </si>
  <si>
    <t>jn1cv6ap8dm711170</t>
  </si>
  <si>
    <t>Accent</t>
  </si>
  <si>
    <t>kmhct4ae9du436426</t>
  </si>
  <si>
    <t>jn1cv6ap7dm710348</t>
  </si>
  <si>
    <t>Veloster</t>
  </si>
  <si>
    <t>Turbo</t>
  </si>
  <si>
    <t>kmhtc6ae4du168333</t>
  </si>
  <si>
    <t>jn1cv6ek3dm921383</t>
  </si>
  <si>
    <t>kmhct4ae6du446069</t>
  </si>
  <si>
    <t>hertz/tra</t>
  </si>
  <si>
    <t>Elantra Coupe</t>
  </si>
  <si>
    <t>kmhdh6ae8du000216</t>
  </si>
  <si>
    <t>jn1cv6ekxdm920134</t>
  </si>
  <si>
    <t>jn1cv6ap4dm301420</t>
  </si>
  <si>
    <t>jn1cv6ap0dm711499</t>
  </si>
  <si>
    <t>jn1cv6ap1dm712628</t>
  </si>
  <si>
    <t>jn1cv6ap7dm300469</t>
  </si>
  <si>
    <t>jn1cv6apxdm712658</t>
  </si>
  <si>
    <t>5npeb4ac5dh682009</t>
  </si>
  <si>
    <t>jn1cv6ap8dm716627</t>
  </si>
  <si>
    <t>jn1cv6ap3dm713263</t>
  </si>
  <si>
    <t>jn1cv6ap5dm714785</t>
  </si>
  <si>
    <t>5npeb4ac5dh743407</t>
  </si>
  <si>
    <t>jn1cv6ap9dm715258</t>
  </si>
  <si>
    <t>kmhec4a41da089739</t>
  </si>
  <si>
    <t>GS</t>
  </si>
  <si>
    <t>kmhct5ae4du128991</t>
  </si>
  <si>
    <t>5npdh4ae0dh335103</t>
  </si>
  <si>
    <t>jn1cv6ap1dm300757</t>
  </si>
  <si>
    <t>jn8cs1mw7dm174050</t>
  </si>
  <si>
    <t>5npdh4ae4dh388614</t>
  </si>
  <si>
    <t>jn1cv6ap6dm711376</t>
  </si>
  <si>
    <t>jn1cv6ap7dm711712</t>
  </si>
  <si>
    <t>kmhct4ae3du421257</t>
  </si>
  <si>
    <t>dtg operations inc</t>
  </si>
  <si>
    <t>Azera</t>
  </si>
  <si>
    <t>kmhfg4jgxda201053</t>
  </si>
  <si>
    <t>5xyzwdla8dg094937</t>
  </si>
  <si>
    <t>5npdh4ae0dh320214</t>
  </si>
  <si>
    <t>fox rent a car tra</t>
  </si>
  <si>
    <t>kmhec4a46da091339</t>
  </si>
  <si>
    <t>jn1cv6ap3dm711108</t>
  </si>
  <si>
    <t>5npdh4ae2dh375957</t>
  </si>
  <si>
    <t>jn1cv6ek2dm920760</t>
  </si>
  <si>
    <t>jn1cv6ek1dm921866</t>
  </si>
  <si>
    <t>jn1cv6apxdm714507</t>
  </si>
  <si>
    <t>jn1cv6ap9dm711176</t>
  </si>
  <si>
    <t>Tucson</t>
  </si>
  <si>
    <t>km8ju3ac4du587297</t>
  </si>
  <si>
    <t>jn1cv6ap0dm713933</t>
  </si>
  <si>
    <t>jn1cv6ap5dm715158</t>
  </si>
  <si>
    <t>5npeb4ac9dh760050</t>
  </si>
  <si>
    <t>kmhdh4ae2du972303</t>
  </si>
  <si>
    <t>kmhfg4jg8da325905</t>
  </si>
  <si>
    <t>jn1cv6ap4dm302678</t>
  </si>
  <si>
    <t>jn1cv6ap0dm712524</t>
  </si>
  <si>
    <t>jn1cv6ap3dm301392</t>
  </si>
  <si>
    <t>kmhec4a49da092260</t>
  </si>
  <si>
    <t>jn1cv6ap5dm713782</t>
  </si>
  <si>
    <t>kmhfh4jg7da330493</t>
  </si>
  <si>
    <t>jn1cv6ek5dm920106</t>
  </si>
  <si>
    <t>5npeb4ac1dh680502</t>
  </si>
  <si>
    <t>Wed Dec 31 2014 12:30:00 GMT-0800 (PST)</t>
  </si>
  <si>
    <t>jn1cv6apxdm714605</t>
  </si>
  <si>
    <t>kmhgc4dh8du258211</t>
  </si>
  <si>
    <t>Ultimate</t>
  </si>
  <si>
    <t>kmhgh4jh3du064689</t>
  </si>
  <si>
    <t>jn1cv6ap7dm713816</t>
  </si>
  <si>
    <t>5npeb4acxdh752037</t>
  </si>
  <si>
    <t>5npdh4ae7dh327127</t>
  </si>
  <si>
    <t>kmhdh4ae7du946909</t>
  </si>
  <si>
    <t>jn1cv6ap1dm712273</t>
  </si>
  <si>
    <t>jn1cv6ap5dm721977</t>
  </si>
  <si>
    <t>jn1cv6ap3dm710802</t>
  </si>
  <si>
    <t>kmhdh4ae2du726688</t>
  </si>
  <si>
    <t>jn1cv6ap2dm712489</t>
  </si>
  <si>
    <t>kmhtc6ae3du146243</t>
  </si>
  <si>
    <t>jn1cv6ap4dm715250</t>
  </si>
  <si>
    <t>jn1cv6ap0dm714516</t>
  </si>
  <si>
    <t>kmhec4a4xda091084</t>
  </si>
  <si>
    <t>jn1cv6apxdm300417</t>
  </si>
  <si>
    <t>jn1cv6ap3dm714428</t>
  </si>
  <si>
    <t>5npeb4ac3dh722331</t>
  </si>
  <si>
    <t>jn1cv6ek7dm921385</t>
  </si>
  <si>
    <t>jn1cv6ap2dm714792</t>
  </si>
  <si>
    <t>5npdh4ae4dh385955</t>
  </si>
  <si>
    <t>jn1cv6ek3dm920766</t>
  </si>
  <si>
    <t>kmhfh4jg5da257916</t>
  </si>
  <si>
    <t>kmhec4a4xda091246</t>
  </si>
  <si>
    <t>jn1cv6ap1dm719644</t>
  </si>
  <si>
    <t>kmhct4ae6du523099</t>
  </si>
  <si>
    <t>jn1cv6apxdm710375</t>
  </si>
  <si>
    <t>kmhcu5ae2du138898</t>
  </si>
  <si>
    <t>5npdh4ae0dh344075</t>
  </si>
  <si>
    <t>jn1cv6apxdm712482</t>
  </si>
  <si>
    <t>5npeb4ac8dh687043</t>
  </si>
  <si>
    <t>skyhigh remarketing inc</t>
  </si>
  <si>
    <t>5npeb4ac5dh745416</t>
  </si>
  <si>
    <t>enterprise veh exchange/rental</t>
  </si>
  <si>
    <t>jn1cv6ek9dm921386</t>
  </si>
  <si>
    <t>jn1cv6ap8dm301100</t>
  </si>
  <si>
    <t>jn1cv6ap8dm712058</t>
  </si>
  <si>
    <t>5npec4ab6dh539798</t>
  </si>
  <si>
    <t>Tue Feb 17 2015 04:00:00 GMT-0800 (PST)</t>
  </si>
  <si>
    <t>jn1cv6ekxdm921560</t>
  </si>
  <si>
    <t>kmhgc4dd2du221961</t>
  </si>
  <si>
    <t>5xyzu3laxdg105372</t>
  </si>
  <si>
    <t>5npeb4ac0dh721038</t>
  </si>
  <si>
    <t>kmhdh4ae4du797598</t>
  </si>
  <si>
    <t>jn1cv6ap1dm714069</t>
  </si>
  <si>
    <t>kmhgc4dd0du214801</t>
  </si>
  <si>
    <t>remarketing by ge/film vehicle services</t>
  </si>
  <si>
    <t>5npdh4ae8dh375848</t>
  </si>
  <si>
    <t>5npdh4ae9dh243696</t>
  </si>
  <si>
    <t>jn1cv6ek5dm900664</t>
  </si>
  <si>
    <t>jn1cv6ap9dm713509</t>
  </si>
  <si>
    <t>5xyzwdla5dg083054</t>
  </si>
  <si>
    <t>kmhdh6ae8du017422</t>
  </si>
  <si>
    <t>Tue Jan 27 2015 04:00:00 GMT-0800 (PST)</t>
  </si>
  <si>
    <t>jn1cv6apxdm717651</t>
  </si>
  <si>
    <t>5npdh4ae1dh345719</t>
  </si>
  <si>
    <t>kmhgh4jh5du065956</t>
  </si>
  <si>
    <t>5npdh4ae7dh339679</t>
  </si>
  <si>
    <t>jn1cv6ap6dm715699</t>
  </si>
  <si>
    <t>kmhec4a4xda096513</t>
  </si>
  <si>
    <t>jn1cv6apxdm714281</t>
  </si>
  <si>
    <t>kmhcu5ae3du079747</t>
  </si>
  <si>
    <t>jn1cv6ap9dm716121</t>
  </si>
  <si>
    <t>jn1cv6ap0dm714760</t>
  </si>
  <si>
    <t>jn1cv6ap5dm720571</t>
  </si>
  <si>
    <t>jn1cv6ap7dm301475</t>
  </si>
  <si>
    <t>kmhec4a46da093060</t>
  </si>
  <si>
    <t>5npeb4acxdh740633</t>
  </si>
  <si>
    <t>jn1cv6ap1dm711625</t>
  </si>
  <si>
    <t>jn1cv6ap1dm716758</t>
  </si>
  <si>
    <t>jn1cv6ap0dm300670</t>
  </si>
  <si>
    <t>jn1cv6apxdm714264</t>
  </si>
  <si>
    <t>5npdh4ae3dh364790</t>
  </si>
  <si>
    <t>5npdh4ae2dh264292</t>
  </si>
  <si>
    <t>jn1cv6ap3dm719922</t>
  </si>
  <si>
    <t>kmhtc6ad7du089181</t>
  </si>
  <si>
    <t>yellow</t>
  </si>
  <si>
    <t>5npdh4ae7dh345708</t>
  </si>
  <si>
    <t>5npeb4ac6dh743092</t>
  </si>
  <si>
    <t>5npeb4ac2dh745910</t>
  </si>
  <si>
    <t>km8sr4hf1du031590</t>
  </si>
  <si>
    <t>jn1cv6ap6dm712365</t>
  </si>
  <si>
    <t>Genesis Coupe</t>
  </si>
  <si>
    <t>3.8 Track</t>
  </si>
  <si>
    <t>kmhhu6kj0du110296</t>
  </si>
  <si>
    <t>kmhec4a48da091908</t>
  </si>
  <si>
    <t>5xyztdlb2dg045704</t>
  </si>
  <si>
    <t>green</t>
  </si>
  <si>
    <t>kmhgc4dh6du220492</t>
  </si>
  <si>
    <t>jn1cv6ap5dm711210</t>
  </si>
  <si>
    <t>5npeb4ac7dh680813</t>
  </si>
  <si>
    <t>5npeb4ac7dh636875</t>
  </si>
  <si>
    <t>kmhct5ae8du091850</t>
  </si>
  <si>
    <t>jpmorgan chase bank n.a.</t>
  </si>
  <si>
    <t>jn1cv6ap0dm711549</t>
  </si>
  <si>
    <t>jn1cv6ap3dm710234</t>
  </si>
  <si>
    <t>jn1cv6ap3dm710394</t>
  </si>
  <si>
    <t>jn1cv6ap7dm710365</t>
  </si>
  <si>
    <t>km8ju3ac6du590752</t>
  </si>
  <si>
    <t>kmhec4a46da099621</t>
  </si>
  <si>
    <t>jn1cv6ap0dm712653</t>
  </si>
  <si>
    <t>5npdh4ae5dh363852</t>
  </si>
  <si>
    <t>kmhdh4aexdu731797</t>
  </si>
  <si>
    <t>jn1cv6apxdm714880</t>
  </si>
  <si>
    <t>kmhec4a40da092843</t>
  </si>
  <si>
    <t>jn1cv6ek2dm922699</t>
  </si>
  <si>
    <t>jn1cv6ap3dm713554</t>
  </si>
  <si>
    <t>jn1cv6ap5dm713250</t>
  </si>
  <si>
    <t>jn1cv6ap7dm716733</t>
  </si>
  <si>
    <t>jn1cv6ap4dm712607</t>
  </si>
  <si>
    <t>5npdh4ae7dh225536</t>
  </si>
  <si>
    <t>jn1cv6ek5dm920784</t>
  </si>
  <si>
    <t>jn1cv6ek5dm920672</t>
  </si>
  <si>
    <t>jn1cv6ap1dm711334</t>
  </si>
  <si>
    <t>kmhgc4dd7du226203</t>
  </si>
  <si>
    <t>jn1cv6ap4dm714969</t>
  </si>
  <si>
    <t>5npeb4acxdh745962</t>
  </si>
  <si>
    <t>jn1cv6ap9dm714417</t>
  </si>
  <si>
    <t>5npeb4ac3dh734477</t>
  </si>
  <si>
    <t>jn1cv6ap8dm715803</t>
  </si>
  <si>
    <t>5npeb4ac1dh733036</t>
  </si>
  <si>
    <t>5xyzu3la5dg079070</t>
  </si>
  <si>
    <t>kmhct4ae4du422188</t>
  </si>
  <si>
    <t>jn1cv6ap2dm714338</t>
  </si>
  <si>
    <t>5npeb4ac7dh549834</t>
  </si>
  <si>
    <t>jn1cv6ap8dm712593</t>
  </si>
  <si>
    <t>5npdh4ae5dh323156</t>
  </si>
  <si>
    <t>jn1cv6ek0dm921180</t>
  </si>
  <si>
    <t>jn1cv6ap3dm713666</t>
  </si>
  <si>
    <t>jn1cv6ap3dm712825</t>
  </si>
  <si>
    <t>jn1cv6ek2dm923402</t>
  </si>
  <si>
    <t>Tue Jan 13 2015 12:30:00 GMT-0800 (PST)</t>
  </si>
  <si>
    <t>jn1cv6ap2dm712928</t>
  </si>
  <si>
    <t>5npdh4aexdh303629</t>
  </si>
  <si>
    <t>jn1cv6ap8dm300447</t>
  </si>
  <si>
    <t>5npec4ac9dh600084</t>
  </si>
  <si>
    <t>5npdh4aexdh317398</t>
  </si>
  <si>
    <t>5npeb4ac5dh648748</t>
  </si>
  <si>
    <t>Jeep</t>
  </si>
  <si>
    <t>Wrangler</t>
  </si>
  <si>
    <t>Unlimited Rubicon</t>
  </si>
  <si>
    <t>1c4bjwfg4dl585036</t>
  </si>
  <si>
    <t>clear view systems</t>
  </si>
  <si>
    <t>EX Hybrid</t>
  </si>
  <si>
    <t>knagm4ad1d5057809</t>
  </si>
  <si>
    <t>1n4al3ap3dn535427</t>
  </si>
  <si>
    <t>Mercedes-Benz</t>
  </si>
  <si>
    <t>S-Class</t>
  </si>
  <si>
    <t>S550</t>
  </si>
  <si>
    <t>wddng7db2da502214</t>
  </si>
  <si>
    <t>mercedes-benz financial services</t>
  </si>
  <si>
    <t>1n4al3ap4dn454940</t>
  </si>
  <si>
    <t>GS 350</t>
  </si>
  <si>
    <t>jthbe1bl9d5002103</t>
  </si>
  <si>
    <t>Mitsubishi</t>
  </si>
  <si>
    <t>Outlander</t>
  </si>
  <si>
    <t>ja4jt3aw5du020785</t>
  </si>
  <si>
    <t>knagm4ad9d5054379</t>
  </si>
  <si>
    <t>C-Class</t>
  </si>
  <si>
    <t>C250</t>
  </si>
  <si>
    <t>wddgj4hb9dg004804</t>
  </si>
  <si>
    <t>SX</t>
  </si>
  <si>
    <t>5xxgr4a65dg171118</t>
  </si>
  <si>
    <t>high bid trading co inc</t>
  </si>
  <si>
    <t>1n4al3ap6dc903319</t>
  </si>
  <si>
    <t>1n4al3ap2dc275940</t>
  </si>
  <si>
    <t>jn1cv6ap5dm715922</t>
  </si>
  <si>
    <t>1n4al3ap9dc280391</t>
  </si>
  <si>
    <t>Unlimited Sahara</t>
  </si>
  <si>
    <t>1c4hjweg8dl539625</t>
  </si>
  <si>
    <t>Mazda</t>
  </si>
  <si>
    <t>Mazda2</t>
  </si>
  <si>
    <t>jm1de1kz8d0152764</t>
  </si>
  <si>
    <t>exeter finance corp</t>
  </si>
  <si>
    <t>1n4al3ap5dc205039</t>
  </si>
  <si>
    <t>Rio</t>
  </si>
  <si>
    <t>knadm4a3xd6124671</t>
  </si>
  <si>
    <t>primeritus remarketing/oregon comm credit</t>
  </si>
  <si>
    <t>C250 Sport</t>
  </si>
  <si>
    <t>wddgf4hb8da832718</t>
  </si>
  <si>
    <t>5xxgm4a72dg248132</t>
  </si>
  <si>
    <t>1n4al3ap1dc259891</t>
  </si>
  <si>
    <t>merchants leasing</t>
  </si>
  <si>
    <t>Tue Dec 30 2014 16:00:00 GMT-0800 (PST)</t>
  </si>
  <si>
    <t>Touring</t>
  </si>
  <si>
    <t>jm1de1lz0d0160159</t>
  </si>
  <si>
    <t>M</t>
  </si>
  <si>
    <t>M37</t>
  </si>
  <si>
    <t>jn1by1ap0dm513625</t>
  </si>
  <si>
    <t>nissan north america inc.</t>
  </si>
  <si>
    <t>knagm4ad6d5055554</t>
  </si>
  <si>
    <t>370Z</t>
  </si>
  <si>
    <t>jn1az4fh8dm790096</t>
  </si>
  <si>
    <t>Soul</t>
  </si>
  <si>
    <t>+</t>
  </si>
  <si>
    <t>kndjt2a60d7538561</t>
  </si>
  <si>
    <t>5xyktda2xdg322880</t>
  </si>
  <si>
    <t>kia motors america  inc -lemon law buybacks</t>
  </si>
  <si>
    <t>knadm4a36d6256603</t>
  </si>
  <si>
    <t>kndjt2a54d7539154</t>
  </si>
  <si>
    <t>Outlander Sport</t>
  </si>
  <si>
    <t>LE</t>
  </si>
  <si>
    <t>4a4ar5au4de024456</t>
  </si>
  <si>
    <t>wddgf4hb3dr256859</t>
  </si>
  <si>
    <t>SLK-Class</t>
  </si>
  <si>
    <t>SLK350</t>
  </si>
  <si>
    <t>wddpk5ha1df065483</t>
  </si>
  <si>
    <t>mercedes-benz finc wholesale advantage</t>
  </si>
  <si>
    <t>ES 350</t>
  </si>
  <si>
    <t>jthbk1gg1d2049728</t>
  </si>
  <si>
    <t>mercedes benz of temecula</t>
  </si>
  <si>
    <t>E-Class</t>
  </si>
  <si>
    <t>E350 Sport</t>
  </si>
  <si>
    <t>wddhf5kb8da762334</t>
  </si>
  <si>
    <t>mercedes-benz usa</t>
  </si>
  <si>
    <t>Mazda3</t>
  </si>
  <si>
    <t>i SV</t>
  </si>
  <si>
    <t>jm1bl1tg8d1728177</t>
  </si>
  <si>
    <t>california republic bank</t>
  </si>
  <si>
    <t>MINI</t>
  </si>
  <si>
    <t>Cooper Clubman</t>
  </si>
  <si>
    <t>wmwzf3c54dt489938</t>
  </si>
  <si>
    <t>Cooper</t>
  </si>
  <si>
    <t>wmwsu3c55dt677990</t>
  </si>
  <si>
    <t>bmw mini financial services</t>
  </si>
  <si>
    <t>wddng7db1da509056</t>
  </si>
  <si>
    <t>CX-9</t>
  </si>
  <si>
    <t>jm3tb3cv9d0410440</t>
  </si>
  <si>
    <t>jn1cv6ap2dm712931</t>
  </si>
  <si>
    <t>1n4al2ep0dc231309</t>
  </si>
  <si>
    <t>remarketing by ge/manheim southern california</t>
  </si>
  <si>
    <t>Tue Dec 23 2014 13:00:00 GMT-0800 (PST)</t>
  </si>
  <si>
    <t>Forte</t>
  </si>
  <si>
    <t>knaft4a28d5738465</t>
  </si>
  <si>
    <t>jm3tb2cv8d0412139</t>
  </si>
  <si>
    <t>5xykw4a26dg339716</t>
  </si>
  <si>
    <t>1n4al3ap0dn511313</t>
  </si>
  <si>
    <t>1n4al3ap2dn571447</t>
  </si>
  <si>
    <t>charcoal</t>
  </si>
  <si>
    <t>1n4al3ap1dn536852</t>
  </si>
  <si>
    <t>Compass</t>
  </si>
  <si>
    <t>Latitude</t>
  </si>
  <si>
    <t>1c4njceb2dd229860</t>
  </si>
  <si>
    <t>chrysler capital</t>
  </si>
  <si>
    <t>jn1az4eh8dm881810</t>
  </si>
  <si>
    <t>1n4al2ep0dc290165</t>
  </si>
  <si>
    <t>team nissan</t>
  </si>
  <si>
    <t>i Touring</t>
  </si>
  <si>
    <t>jm1bl1vp7d1768022</t>
  </si>
  <si>
    <t>south bay hyundai</t>
  </si>
  <si>
    <t>JX</t>
  </si>
  <si>
    <t>JX35</t>
  </si>
  <si>
    <t>5n1al0mm4dc337764</t>
  </si>
  <si>
    <t>jn1cv6ap9dm712909</t>
  </si>
  <si>
    <t>2t2zk1ba0dc103312</t>
  </si>
  <si>
    <t>south county lexus at mission viejo</t>
  </si>
  <si>
    <t>G37x</t>
  </si>
  <si>
    <t>jn1cv6ar0dm750465</t>
  </si>
  <si>
    <t>5xxgr4a68dg228640</t>
  </si>
  <si>
    <t>1n4al3ap4dn548218</t>
  </si>
  <si>
    <t>knadn5a32d6147221</t>
  </si>
  <si>
    <t>1n4al3apxdn538325</t>
  </si>
  <si>
    <t>RX 450h</t>
  </si>
  <si>
    <t>jtjzb1ba8d2411313</t>
  </si>
  <si>
    <t>dolan toyota scion</t>
  </si>
  <si>
    <t>1n4al3ap4dc259156</t>
  </si>
  <si>
    <t>merchants automotive group</t>
  </si>
  <si>
    <t>kndjt2a64d7494239</t>
  </si>
  <si>
    <t>Land Rover</t>
  </si>
  <si>
    <t>LR4</t>
  </si>
  <si>
    <t>HSE LUX</t>
  </si>
  <si>
    <t>salak2d48da693027</t>
  </si>
  <si>
    <t>land rover north america llc</t>
  </si>
  <si>
    <t>EX</t>
  </si>
  <si>
    <t>5xxgn4a7xdg106558</t>
  </si>
  <si>
    <t>Mazda5</t>
  </si>
  <si>
    <t>Minivan</t>
  </si>
  <si>
    <t>jm1cw2cl1d0150492</t>
  </si>
  <si>
    <t>knadm5a38d6292461</t>
  </si>
  <si>
    <t>1n4al3ap5dn450766</t>
  </si>
  <si>
    <t>wheels exchange llc</t>
  </si>
  <si>
    <t>jn1cv6ar5dm750574</t>
  </si>
  <si>
    <t>i Sport</t>
  </si>
  <si>
    <t>jm1bl1upxd1794194</t>
  </si>
  <si>
    <t>jn1cv6el5dm980105</t>
  </si>
  <si>
    <t>jn1by1ap3dm514252</t>
  </si>
  <si>
    <t>knafu4a22d5724414</t>
  </si>
  <si>
    <t>caprock auto remarketing</t>
  </si>
  <si>
    <t>jm3tb2cv0d0411079</t>
  </si>
  <si>
    <t>1n4al2ep2dc219971</t>
  </si>
  <si>
    <t>knagm4ad4d5057867</t>
  </si>
  <si>
    <t>wmwsu3c59dt548117</t>
  </si>
  <si>
    <t>jm1cw2bl1d0154950</t>
  </si>
  <si>
    <t>jthbe1bl6d5006836</t>
  </si>
  <si>
    <t>Wed Jan 14 2015 00:00:00 GMT-0800 (PST)</t>
  </si>
  <si>
    <t>knadm4a3xd6113380</t>
  </si>
  <si>
    <t>Range Rover Evoque</t>
  </si>
  <si>
    <t>Pure Plus</t>
  </si>
  <si>
    <t>salvp2bg5dh781072</t>
  </si>
  <si>
    <t>mercedes benz of laguna niguel</t>
  </si>
  <si>
    <t>wmwsu3c58dt679944</t>
  </si>
  <si>
    <t>1n4al3ap2dc297887</t>
  </si>
  <si>
    <t>jn1cv6ap1dm301617</t>
  </si>
  <si>
    <t>knadm4a35d6233930</t>
  </si>
  <si>
    <t>knadm4a34d6310898</t>
  </si>
  <si>
    <t>1c4njceb7dd255239</t>
  </si>
  <si>
    <t>ja4jt3aw9du020286</t>
  </si>
  <si>
    <t>jn1cv6ap9dm300540</t>
  </si>
  <si>
    <t>wddgj4hbxdf943918</t>
  </si>
  <si>
    <t>jn1cv6el1dm980179</t>
  </si>
  <si>
    <t>LS 460</t>
  </si>
  <si>
    <t>L</t>
  </si>
  <si>
    <t>jthgl1efxd5047925</t>
  </si>
  <si>
    <t>sunshine autos</t>
  </si>
  <si>
    <t>wddng7db3da492051</t>
  </si>
  <si>
    <t>knagm4ad0d5055811</t>
  </si>
  <si>
    <t>ja4jt3aw7du019962</t>
  </si>
  <si>
    <t>GLK-Class</t>
  </si>
  <si>
    <t>GLK350</t>
  </si>
  <si>
    <t>wdcgg5hb6df956724</t>
  </si>
  <si>
    <t>1n4al3ap5dc262583</t>
  </si>
  <si>
    <t>Wed Jan 07 2015 12:30:00 GMT-0800 (PST)</t>
  </si>
  <si>
    <t>Unlimited Sport</t>
  </si>
  <si>
    <t>1c4hjwdg9dl604791</t>
  </si>
  <si>
    <t>Sportage</t>
  </si>
  <si>
    <t>kndpbca25d7406217</t>
  </si>
  <si>
    <t>1n4al3ap5dc259084</t>
  </si>
  <si>
    <t>5xxgm4a70dg226694</t>
  </si>
  <si>
    <t>Grand Cherokee</t>
  </si>
  <si>
    <t>1c4rjebg1dc636460</t>
  </si>
  <si>
    <t>wddgj4hbxdg003743</t>
  </si>
  <si>
    <t>knagm4ad1d5055882</t>
  </si>
  <si>
    <t>knaft4a26d5682378</t>
  </si>
  <si>
    <t>knagm4ad0d5057798</t>
  </si>
  <si>
    <t>5xxgm4a7xdg238335</t>
  </si>
  <si>
    <t>5xxgm4a7xdg239856</t>
  </si>
  <si>
    <t>jn1cv6arxdm750005</t>
  </si>
  <si>
    <t>jn1cv6ap6dm712706</t>
  </si>
  <si>
    <t>E350 Sport BlueTEC</t>
  </si>
  <si>
    <t>wddhf2eb5da710377</t>
  </si>
  <si>
    <t>wddng7db9da492877</t>
  </si>
  <si>
    <t>Lincoln</t>
  </si>
  <si>
    <t>MKX</t>
  </si>
  <si>
    <t>2lmdj8jk9dbl34528</t>
  </si>
  <si>
    <t>Pure</t>
  </si>
  <si>
    <t>salvn2bg2dh730098</t>
  </si>
  <si>
    <t>jm1cw2bl6d0159321</t>
  </si>
  <si>
    <t>tycon enterprises</t>
  </si>
  <si>
    <t>lincoln</t>
  </si>
  <si>
    <t>mkt</t>
  </si>
  <si>
    <t>awd v6</t>
  </si>
  <si>
    <t>2lmhj5nk1dbl52290</t>
  </si>
  <si>
    <t>jn1cv6ap1dm300564</t>
  </si>
  <si>
    <t>jthbe1bl4d5013929</t>
  </si>
  <si>
    <t>Wed Jan 21 2015 05:00:00 GMT-0800 (PST)</t>
  </si>
  <si>
    <t>Jaguar</t>
  </si>
  <si>
    <t>XF</t>
  </si>
  <si>
    <t>sajwa0es1dps79829</t>
  </si>
  <si>
    <t>jaguar north america llc</t>
  </si>
  <si>
    <t>wddgf4hb0dr255362</t>
  </si>
  <si>
    <t>hoehn motors inc</t>
  </si>
  <si>
    <t>kndjt2a68d7570612</t>
  </si>
  <si>
    <t>dollar thrifty damage liquidation</t>
  </si>
  <si>
    <t>knagm4a75d5442817</t>
  </si>
  <si>
    <t>1n4al3ap0dc283888</t>
  </si>
  <si>
    <t>1n4al3ap8dn508594</t>
  </si>
  <si>
    <t>wddgj4hb6df988399</t>
  </si>
  <si>
    <t>knagm4ad8d5056639</t>
  </si>
  <si>
    <t>GL-Class</t>
  </si>
  <si>
    <t>GL450 4MATIC</t>
  </si>
  <si>
    <t>4jgdf7ce3da182451</t>
  </si>
  <si>
    <t>jm1cw2bl4d0152478</t>
  </si>
  <si>
    <t>Fri Dec 26 2014 15:00:00 GMT-0800 (PST)</t>
  </si>
  <si>
    <t>kndpb3a28d7450308</t>
  </si>
  <si>
    <t>4jgdf7ce8da148599</t>
  </si>
  <si>
    <t>sajwa0es4dps64029</t>
  </si>
  <si>
    <t>knadn5a33d6283020</t>
  </si>
  <si>
    <t>M-Class</t>
  </si>
  <si>
    <t>ML350</t>
  </si>
  <si>
    <t>4jgda5jb8da218923</t>
  </si>
  <si>
    <t>mercedes-benz finc services premier program</t>
  </si>
  <si>
    <t>Cooper Countryman</t>
  </si>
  <si>
    <t>wmwzb3c52dwm07005</t>
  </si>
  <si>
    <t>jn1cv6ar2dm752900</t>
  </si>
  <si>
    <t>5xyku3a23dg334585</t>
  </si>
  <si>
    <t>kia of cerritos</t>
  </si>
  <si>
    <t>wddng7db8da497438</t>
  </si>
  <si>
    <t>us bank</t>
  </si>
  <si>
    <t>1n4al2ep3dc223558</t>
  </si>
  <si>
    <t>5xykt4a22dg332853</t>
  </si>
  <si>
    <t>1n4al2ep6dc191432</t>
  </si>
  <si>
    <t>Thu Jan 08 2015 11:30:00 GMT-0800 (PST)</t>
  </si>
  <si>
    <t>4jgda5jb6da160181</t>
  </si>
  <si>
    <t>trade in solutions irvine</t>
  </si>
  <si>
    <t>salvp1bg7dh775994</t>
  </si>
  <si>
    <t>knaft4a2xd5718881</t>
  </si>
  <si>
    <t>5xxgm4a7xdg214617</t>
  </si>
  <si>
    <t>wddng7db4da498361</t>
  </si>
  <si>
    <t>1n4al3ap8dc187703</t>
  </si>
  <si>
    <t>1c4hjwdg3dl620646</t>
  </si>
  <si>
    <t>Pure Premium</t>
  </si>
  <si>
    <t>salvr2bg6dh755364</t>
  </si>
  <si>
    <t>jm3tb2ca2d0403904</t>
  </si>
  <si>
    <t>jm1de1lz8d0163875</t>
  </si>
  <si>
    <t>wddng7db5da496778</t>
  </si>
  <si>
    <t>1n4al3ap6dn518833</t>
  </si>
  <si>
    <t>jn1cv6ar7dm351570</t>
  </si>
  <si>
    <t>jn1cv6ar5dm350059</t>
  </si>
  <si>
    <t>jn1by1ap5dm514530</t>
  </si>
  <si>
    <t>wddgj4hbxdf967359</t>
  </si>
  <si>
    <t>jm1bl1up7d1731716</t>
  </si>
  <si>
    <t>jn1cv6ap3dm720746</t>
  </si>
  <si>
    <t>5xxgr4a6xdg089207</t>
  </si>
  <si>
    <t>wddgj4hb5df998504</t>
  </si>
  <si>
    <t>2t2bk1ba8dc191589</t>
  </si>
  <si>
    <t>1n4al3ap8dc261914</t>
  </si>
  <si>
    <t>wddgf4hb2dr241947</t>
  </si>
  <si>
    <t>jm1cw2cl5d0150799</t>
  </si>
  <si>
    <t>Lancer</t>
  </si>
  <si>
    <t>Ralliart</t>
  </si>
  <si>
    <t>ja32v6fv9du003475</t>
  </si>
  <si>
    <t>jn1cv6ek1dm920250</t>
  </si>
  <si>
    <t>wmwzf3c50dt489905</t>
  </si>
  <si>
    <t>wddng7db5da525549</t>
  </si>
  <si>
    <t>jm1cw2bl0d0149559</t>
  </si>
  <si>
    <t>wddgf4hb8dr256694</t>
  </si>
  <si>
    <t>5xxgr4a61dg178423</t>
  </si>
  <si>
    <t>1n4al3apxdc256245</t>
  </si>
  <si>
    <t>jn1by1ap2dm514632</t>
  </si>
  <si>
    <t>1n4al3ap3dc208697</t>
  </si>
  <si>
    <t>nissan dealer blend/ross nissan of el monte</t>
  </si>
  <si>
    <t>C63 AMG</t>
  </si>
  <si>
    <t>wddgj7hb6dg060457</t>
  </si>
  <si>
    <t>Thu Feb 12 2015 04:00:00 GMT-0800 (PST)</t>
  </si>
  <si>
    <t>knafu4a20d5658140</t>
  </si>
  <si>
    <t>knadm4a31d6173631</t>
  </si>
  <si>
    <t>jn1cv6ar0dm754449</t>
  </si>
  <si>
    <t>5xxgr4a61dg171696</t>
  </si>
  <si>
    <t>Range Rover Sport</t>
  </si>
  <si>
    <t>Supercharged Limited Edition</t>
  </si>
  <si>
    <t>salsh2e49da763586</t>
  </si>
  <si>
    <t>jthbk1gg3d2061489</t>
  </si>
  <si>
    <t>wddhf5kb1da703044</t>
  </si>
  <si>
    <t>E350</t>
  </si>
  <si>
    <t>wddkj5kb4df191416</t>
  </si>
  <si>
    <t>jthbe1bl4d5001280</t>
  </si>
  <si>
    <t>ubs wholesale</t>
  </si>
  <si>
    <t>jn1by1ap6dm514665</t>
  </si>
  <si>
    <t>5xxgr4a64dg097254</t>
  </si>
  <si>
    <t>ja4jt3aw4du020776</t>
  </si>
  <si>
    <t>ES</t>
  </si>
  <si>
    <t>ja32u2fu2du019813</t>
  </si>
  <si>
    <t>jn1cv6arxdm752904</t>
  </si>
  <si>
    <t>Thu Jan 15 2015 04:00:00 GMT-0800 (PST)</t>
  </si>
  <si>
    <t>wddhf5kb6da718574</t>
  </si>
  <si>
    <t>jn1cv6ap8dm716708</t>
  </si>
  <si>
    <t>jthbe1bl4d5006057</t>
  </si>
  <si>
    <t>wddgf7hb8da872198</t>
  </si>
  <si>
    <t>wmwsu3c58dt546181</t>
  </si>
  <si>
    <t>Volkswagen</t>
  </si>
  <si>
    <t>Passat</t>
  </si>
  <si>
    <t>SE PZEV</t>
  </si>
  <si>
    <t>1vwbp7a36dc103091</t>
  </si>
  <si>
    <t>vw credit</t>
  </si>
  <si>
    <t>1n4al3ap5dn426516</t>
  </si>
  <si>
    <t>Toyota</t>
  </si>
  <si>
    <t>Corolla</t>
  </si>
  <si>
    <t>5yfbu4ee5dp216754</t>
  </si>
  <si>
    <t>XC60</t>
  </si>
  <si>
    <t>yv4940dl7d2432124</t>
  </si>
  <si>
    <t>Sienna</t>
  </si>
  <si>
    <t>LE 7-Passenger Mobility Auto Access</t>
  </si>
  <si>
    <t>5tdkk3dc4ds344460</t>
  </si>
  <si>
    <t>Juke</t>
  </si>
  <si>
    <t>S</t>
  </si>
  <si>
    <t>jn8af5mv4dt218618</t>
  </si>
  <si>
    <t>Yaris</t>
  </si>
  <si>
    <t>jtdktud33dd552876</t>
  </si>
  <si>
    <t>Sentra</t>
  </si>
  <si>
    <t>SR</t>
  </si>
  <si>
    <t>3n1ab7ap2dl644629</t>
  </si>
  <si>
    <t>bmw alphera/alphera financial services</t>
  </si>
  <si>
    <t>Rogue</t>
  </si>
  <si>
    <t>jn8as5mt6dw521005</t>
  </si>
  <si>
    <t>santander consumer</t>
  </si>
  <si>
    <t>NV</t>
  </si>
  <si>
    <t>1500 S</t>
  </si>
  <si>
    <t>Van</t>
  </si>
  <si>
    <t>1n6bf0km4dn103306</t>
  </si>
  <si>
    <t>2t1bu4ee4dc089995</t>
  </si>
  <si>
    <t>orange</t>
  </si>
  <si>
    <t>consolidated asset recovery systems  inc.</t>
  </si>
  <si>
    <t>5yfbu4ee9dp201867</t>
  </si>
  <si>
    <t>Wed Dec 17 2014 15:10:00 GMT-0800 (PST)</t>
  </si>
  <si>
    <t>CC</t>
  </si>
  <si>
    <t>R-Line PZEV</t>
  </si>
  <si>
    <t>wvwbp7an8de537909</t>
  </si>
  <si>
    <t>Leaf</t>
  </si>
  <si>
    <t>SL</t>
  </si>
  <si>
    <t>1n4az0cp7dc403583</t>
  </si>
  <si>
    <t>yv4952dl6d2413654</t>
  </si>
  <si>
    <t>Camry</t>
  </si>
  <si>
    <t>4t4bf1fk5dr275482</t>
  </si>
  <si>
    <t>XLE</t>
  </si>
  <si>
    <t>4t1bk1fk0du529833</t>
  </si>
  <si>
    <t>the car exchange</t>
  </si>
  <si>
    <t>Tacoma</t>
  </si>
  <si>
    <t>PreRunner</t>
  </si>
  <si>
    <t>Double Cab</t>
  </si>
  <si>
    <t>5tfjx4gn8dx015982</t>
  </si>
  <si>
    <t>manheim san diego</t>
  </si>
  <si>
    <t>Tue Dec 23 2014 16:00:00 GMT-0800 (PST)</t>
  </si>
  <si>
    <t>5yfbu4ee3dp081760</t>
  </si>
  <si>
    <t>d auto man</t>
  </si>
  <si>
    <t>Jetta</t>
  </si>
  <si>
    <t>3vwdp7aj7dm408489</t>
  </si>
  <si>
    <t>Subaru</t>
  </si>
  <si>
    <t>Impreza WRX</t>
  </si>
  <si>
    <t>jf1gv7e63dg034961</t>
  </si>
  <si>
    <t>gossler motors</t>
  </si>
  <si>
    <t>3.5 SL</t>
  </si>
  <si>
    <t>1n4bl3ap4dc907342</t>
  </si>
  <si>
    <t>nissan motor acceptance corporation</t>
  </si>
  <si>
    <t>FJ Cruiser</t>
  </si>
  <si>
    <t>jtezu4bf8dk013024</t>
  </si>
  <si>
    <t>Wed Jan 14 2015 04:30:00 GMT-0800 (PST)</t>
  </si>
  <si>
    <t>1.6 S Plus</t>
  </si>
  <si>
    <t>3n1cn7ap3dl881422</t>
  </si>
  <si>
    <t>jf1gv7e65dg022651</t>
  </si>
  <si>
    <t>5yfbu4ee7dp143368</t>
  </si>
  <si>
    <t>Beetle</t>
  </si>
  <si>
    <t>2.5L PZEV</t>
  </si>
  <si>
    <t>3vwfp7at2dm654781</t>
  </si>
  <si>
    <t>jn8as5mt2dw525715</t>
  </si>
  <si>
    <t>Avalon</t>
  </si>
  <si>
    <t>4t1bk1eb6du040855</t>
  </si>
  <si>
    <t>toyota financial services/avis budget group-open</t>
  </si>
  <si>
    <t>Scion</t>
  </si>
  <si>
    <t>FR-S</t>
  </si>
  <si>
    <t>jf1znaa14d2706815</t>
  </si>
  <si>
    <t>stream llc dba stream remarketing solutions</t>
  </si>
  <si>
    <t>Tue Dec 23 2014 13:30:00 GMT-0800 (PST)</t>
  </si>
  <si>
    <t>NV200</t>
  </si>
  <si>
    <t>3n6cm0kn8dk691932</t>
  </si>
  <si>
    <t>1n4al3ap7dc157978</t>
  </si>
  <si>
    <t>RAV4</t>
  </si>
  <si>
    <t>2t3bfrev6dw025809</t>
  </si>
  <si>
    <t>Wolfsburg Edition PZEV</t>
  </si>
  <si>
    <t>1vwap7a33dc063127</t>
  </si>
  <si>
    <t>american car finance inc</t>
  </si>
  <si>
    <t>Wed Jan 07 2015 11:00:00 GMT-0800 (PST)</t>
  </si>
  <si>
    <t>jn8as5mv6dw607187</t>
  </si>
  <si>
    <t>Quest</t>
  </si>
  <si>
    <t>jn8ae2kp5d9067114</t>
  </si>
  <si>
    <t>3vwfp7at0dm654617</t>
  </si>
  <si>
    <t>TDI</t>
  </si>
  <si>
    <t>3vwll7aj9dm365104</t>
  </si>
  <si>
    <t>sierra auto investment co</t>
  </si>
  <si>
    <t>Tundra</t>
  </si>
  <si>
    <t>CrewMax Cab</t>
  </si>
  <si>
    <t>5tfem5f11dx062107</t>
  </si>
  <si>
    <t>1n4al3ap6dn529198</t>
  </si>
  <si>
    <t>jtebu4bf8dk163958</t>
  </si>
  <si>
    <t>jn8as5mt7dw521496</t>
  </si>
  <si>
    <t>tC</t>
  </si>
  <si>
    <t>jtkjf5c75d3056716</t>
  </si>
  <si>
    <t>toyota chula vista dba scion</t>
  </si>
  <si>
    <t>1n4al3ap9dc233006</t>
  </si>
  <si>
    <t>Maxima</t>
  </si>
  <si>
    <t>3.5 SV</t>
  </si>
  <si>
    <t>1n4aa5ap0dc844429</t>
  </si>
  <si>
    <t>Porsche</t>
  </si>
  <si>
    <t>Cayenne</t>
  </si>
  <si>
    <t>wp1aa2a26dla06093</t>
  </si>
  <si>
    <t>3n1ab7ap0dl724057</t>
  </si>
  <si>
    <t>Carrera S</t>
  </si>
  <si>
    <t>wp0cb2a99ds155897</t>
  </si>
  <si>
    <t>porsche financial services</t>
  </si>
  <si>
    <t>1vwbp7a35dc065658</t>
  </si>
  <si>
    <t>3vwdp7aj3dm427539</t>
  </si>
  <si>
    <t>1n4al3ap9dn403384</t>
  </si>
  <si>
    <t>Xterra</t>
  </si>
  <si>
    <t>5n1an0nw5dn811428</t>
  </si>
  <si>
    <t>3n1cn7ap0dl867784</t>
  </si>
  <si>
    <t>a l financial corporation</t>
  </si>
  <si>
    <t>jn8as5mv7dw126624</t>
  </si>
  <si>
    <t>3n1ab7ap2dl764267</t>
  </si>
  <si>
    <t>5tfem5f14dx062358</t>
  </si>
  <si>
    <t>1vwbp7a34dc067174</t>
  </si>
  <si>
    <t>3n1ab7ap9dl735283</t>
  </si>
  <si>
    <t>5n1an0nw5dn811686</t>
  </si>
  <si>
    <t>Prius</t>
  </si>
  <si>
    <t>Two</t>
  </si>
  <si>
    <t>jtdkn3du1d5577332</t>
  </si>
  <si>
    <t>3n1cn7ap4dl894504</t>
  </si>
  <si>
    <t>lbs financial credit union</t>
  </si>
  <si>
    <t>S80</t>
  </si>
  <si>
    <t>yv1940as5d1172076</t>
  </si>
  <si>
    <t>volvo na company cars/world omni</t>
  </si>
  <si>
    <t>Frontier</t>
  </si>
  <si>
    <t>SV</t>
  </si>
  <si>
    <t>1n6ad0ev2dn761759</t>
  </si>
  <si>
    <t>3n1ab7ap6dl708901</t>
  </si>
  <si>
    <t>1n4al3ap9dn447420</t>
  </si>
  <si>
    <t>Boxster</t>
  </si>
  <si>
    <t>wp0cb2a80ds132192</t>
  </si>
  <si>
    <t>3n1ab7ap5dl617389</t>
  </si>
  <si>
    <t>3vwdp7aj4dm419482</t>
  </si>
  <si>
    <t>Camry Hybrid</t>
  </si>
  <si>
    <t>4t1bd1fk2du077300</t>
  </si>
  <si>
    <t>lexus of valencia</t>
  </si>
  <si>
    <t>3n1ab7ap6dl694420</t>
  </si>
  <si>
    <t>1n6ad0erxdn725028</t>
  </si>
  <si>
    <t>5yfbu4eexdp143851</t>
  </si>
  <si>
    <t>onemain rem/coast to coast auto group</t>
  </si>
  <si>
    <t>xB</t>
  </si>
  <si>
    <t>jtlze4fe2dj042841</t>
  </si>
  <si>
    <t>bmw of riverside</t>
  </si>
  <si>
    <t>jtebu4bf7dk163319</t>
  </si>
  <si>
    <t>3n1cn7ap3dl888676</t>
  </si>
  <si>
    <t>fleet link services inc</t>
  </si>
  <si>
    <t>3n1cn7ap2dl861520</t>
  </si>
  <si>
    <t>Cube</t>
  </si>
  <si>
    <t>1.8 SL</t>
  </si>
  <si>
    <t>jn8az2kr2dt304554</t>
  </si>
  <si>
    <t>Access Cab</t>
  </si>
  <si>
    <t>5tftx4cnxdx028456</t>
  </si>
  <si>
    <t>ge fleet services for itself/servicer</t>
  </si>
  <si>
    <t>jf1znaa1xd2706429</t>
  </si>
  <si>
    <t>american road leasing inc</t>
  </si>
  <si>
    <t>Jetta SportWagen</t>
  </si>
  <si>
    <t>S PZEV</t>
  </si>
  <si>
    <t>3vwpp7aj2dm636073</t>
  </si>
  <si>
    <t>5yfbu4ee1dp178956</t>
  </si>
  <si>
    <t>toyota financial services</t>
  </si>
  <si>
    <t>Wed Dec 17 2014 13:00:00 GMT-0800 (PST)</t>
  </si>
  <si>
    <t>FE+ S</t>
  </si>
  <si>
    <t>3n1ab7ap3dl639052</t>
  </si>
  <si>
    <t>bank of the west</t>
  </si>
  <si>
    <t>jn8as5mt1dw510445</t>
  </si>
  <si>
    <t>3vwfp7at6dm653746</t>
  </si>
  <si>
    <t>4Runner</t>
  </si>
  <si>
    <t>jtebu5jr2d5116361</t>
  </si>
  <si>
    <t>Sequoia</t>
  </si>
  <si>
    <t>SR5</t>
  </si>
  <si>
    <t>5tdzy5g1xds044408</t>
  </si>
  <si>
    <t>Tue Dec 23 2014 00:00:00 GMT-0800 (PST)</t>
  </si>
  <si>
    <t>3n1cn7ap9dl882803</t>
  </si>
  <si>
    <t>3.5 S</t>
  </si>
  <si>
    <t>1n4aa5ap0dc832068</t>
  </si>
  <si>
    <t>yv1612fs2d2200121</t>
  </si>
  <si>
    <t>volvo car financial service/world omni</t>
  </si>
  <si>
    <t>jtdkn3du0d5560845</t>
  </si>
  <si>
    <t>Legacy</t>
  </si>
  <si>
    <t>2.5i Premium PZEV</t>
  </si>
  <si>
    <t>4s3bmbc65d3033539</t>
  </si>
  <si>
    <t>Wed Dec 31 2014 15:05:00 GMT-0800 (PST)</t>
  </si>
  <si>
    <t>1n4az0cpxdc400130</t>
  </si>
  <si>
    <t>3n1cn7ap8dl859609</t>
  </si>
  <si>
    <t>jn8ae2kp6d9060236</t>
  </si>
  <si>
    <t>alliance motor cars</t>
  </si>
  <si>
    <t>1vwbp7a38dc067453</t>
  </si>
  <si>
    <t>volkswagen of stockton</t>
  </si>
  <si>
    <t>Armada</t>
  </si>
  <si>
    <t>5n1aa0nc3dn604196</t>
  </si>
  <si>
    <t>jn8as5mt1dw014710</t>
  </si>
  <si>
    <t>Venza</t>
  </si>
  <si>
    <t>4t3za3bb6du071712</t>
  </si>
  <si>
    <t>3vwdp7aj1dm402803</t>
  </si>
  <si>
    <t>jn8as5mt2dw504959</t>
  </si>
  <si>
    <t>3n1ab7ap5dl614072</t>
  </si>
  <si>
    <t>1n4al3ap7dn483400</t>
  </si>
  <si>
    <t>3vwdp7aj1dm409220</t>
  </si>
  <si>
    <t>jn8az2kr3dt302814</t>
  </si>
  <si>
    <t>PreRunner V6</t>
  </si>
  <si>
    <t>3tmju4gn1dm152583</t>
  </si>
  <si>
    <t>honda of serramonte</t>
  </si>
  <si>
    <t>Murano</t>
  </si>
  <si>
    <t>jn8az1mu1dw214242</t>
  </si>
  <si>
    <t>S Hybrid</t>
  </si>
  <si>
    <t>wp1ae2a21dla14185</t>
  </si>
  <si>
    <t>l m auto wholesale</t>
  </si>
  <si>
    <t>3vwfp7atxdm663678</t>
  </si>
  <si>
    <t>3n1ab7ap2dl726635</t>
  </si>
  <si>
    <t>Pathfinder</t>
  </si>
  <si>
    <t>5n1ar2mm9dc631171</t>
  </si>
  <si>
    <t>3n1ab7ap9dl684898</t>
  </si>
  <si>
    <t>5yfbu4ee8dp080393</t>
  </si>
  <si>
    <t>remarketing by ge/flagship credit acceptance</t>
  </si>
  <si>
    <t>jn8as5mt8dw001968</t>
  </si>
  <si>
    <t>3n1ab7ap7dl659496</t>
  </si>
  <si>
    <t>3n1ab7ap2dl757450</t>
  </si>
  <si>
    <t>jtdktud33dd558788</t>
  </si>
  <si>
    <t>jn8as5mt9dw016463</t>
  </si>
  <si>
    <t>3n1ab7ap9dl771314</t>
  </si>
  <si>
    <t>Panamera</t>
  </si>
  <si>
    <t>wp0aa2a73dl016450</t>
  </si>
  <si>
    <t>3vwfp7at7dm664450</t>
  </si>
  <si>
    <t>1n4al3ap2dn433729</t>
  </si>
  <si>
    <t>1vwbp7a33dc064976</t>
  </si>
  <si>
    <t>1n4al3ap4dc296398</t>
  </si>
  <si>
    <t>S Special Edition</t>
  </si>
  <si>
    <t>5yfbu4ee8dp220569</t>
  </si>
  <si>
    <t>King Cab</t>
  </si>
  <si>
    <t>1n6bd0ct2dn738942</t>
  </si>
  <si>
    <t>Forester</t>
  </si>
  <si>
    <t>2.5X PZEV</t>
  </si>
  <si>
    <t>jf2shaac3dh434616</t>
  </si>
  <si>
    <t>3vwfp7atxdm663759</t>
  </si>
  <si>
    <t>3n1ab7ap2dl563260</t>
  </si>
  <si>
    <t>4t3za3bb6du074111</t>
  </si>
  <si>
    <t>3n1ab7ap0dl664331</t>
  </si>
  <si>
    <t>wvwbp7an9de566450</t>
  </si>
  <si>
    <t>jtdkn3du6d1643123</t>
  </si>
  <si>
    <t>i auto sales inc</t>
  </si>
  <si>
    <t>4t3za3bb5du071636</t>
  </si>
  <si>
    <t>Highlander</t>
  </si>
  <si>
    <t>5tdyk3eh7ds099402</t>
  </si>
  <si>
    <t>1n4bl3ap5dn530167</t>
  </si>
  <si>
    <t>3n1cn7ap7dl890253</t>
  </si>
  <si>
    <t>4t1bk1eb6du056909</t>
  </si>
  <si>
    <t>1n4bl3ap2dn471000</t>
  </si>
  <si>
    <t>1vwap7a36dc079449</t>
  </si>
  <si>
    <t>3vwdp7aj4dm404030</t>
  </si>
  <si>
    <t>Impreza</t>
  </si>
  <si>
    <t>2.0i Sport Limited PZEV</t>
  </si>
  <si>
    <t>jf1gpau61d2835586</t>
  </si>
  <si>
    <t>audi san diego</t>
  </si>
  <si>
    <t>Wed Dec 17 2014 12:45:00 GMT-0800 (PST)</t>
  </si>
  <si>
    <t>3n1cn7ap2dl879936</t>
  </si>
  <si>
    <t>hertz damaged liquidation</t>
  </si>
  <si>
    <t>1n4bl3ap0dn463283</t>
  </si>
  <si>
    <t>1vwbp7a35dc068561</t>
  </si>
  <si>
    <t>1vwbh7a31dc025977</t>
  </si>
  <si>
    <t>V6</t>
  </si>
  <si>
    <t>3tmmu4fn0dm052604</t>
  </si>
  <si>
    <t>5n1an0nu5dn818622</t>
  </si>
  <si>
    <t>STI</t>
  </si>
  <si>
    <t>jf1gv8j62dl008418</t>
  </si>
  <si>
    <t>showcase wholesale auto llc</t>
  </si>
  <si>
    <t>jn8az2kr6dt300653</t>
  </si>
  <si>
    <t>5tdkk3dc0ds344066</t>
  </si>
  <si>
    <t>1n4aa5apxdc839917</t>
  </si>
  <si>
    <t>4t1bf1fk4du208401</t>
  </si>
  <si>
    <t>jimmy vasser toyota</t>
  </si>
  <si>
    <t>4t4bf1fk2dr316831</t>
  </si>
  <si>
    <t>3n1cn7apxdl889033</t>
  </si>
  <si>
    <t>3n1cn7ap3dl864636</t>
  </si>
  <si>
    <t>wp0aa2a76dl011405</t>
  </si>
  <si>
    <t>3n1ab7ap1dl659882</t>
  </si>
  <si>
    <t>4t1bf1fk5du259552</t>
  </si>
  <si>
    <t>jf1znaa14d1721434</t>
  </si>
  <si>
    <t>FE+ SV</t>
  </si>
  <si>
    <t>3n1ab7ap0dl726200</t>
  </si>
  <si>
    <t>1n4al3ap6dc163500</t>
  </si>
  <si>
    <t>TDI SE</t>
  </si>
  <si>
    <t>1vwbn7a30dc124122</t>
  </si>
  <si>
    <t>3n1ab7ap8dl643520</t>
  </si>
  <si>
    <t>jn8az1mw6dw316475</t>
  </si>
  <si>
    <t>3n1ab7ap6dl699214</t>
  </si>
  <si>
    <t>jn8az1mw6dw312782</t>
  </si>
  <si>
    <t>wp0ca2a81ds112651</t>
  </si>
  <si>
    <t>remarketing by ge/manheim riverside</t>
  </si>
  <si>
    <t>5yfbu4ee2dp124615</t>
  </si>
  <si>
    <t>4t1bd1fk5du078747</t>
  </si>
  <si>
    <t>jtdktud35dd556959</t>
  </si>
  <si>
    <t>3n1cn7ap1dl846815</t>
  </si>
  <si>
    <t>5yfbu4ee3dp157851</t>
  </si>
  <si>
    <t>5yfbu4ee3dp161401</t>
  </si>
  <si>
    <t>3n1ab7ap9dl680169</t>
  </si>
  <si>
    <t>3tmlu4en7dm117820</t>
  </si>
  <si>
    <t>Wed Jan 07 2015 12:15:00 GMT-0800 (PST)</t>
  </si>
  <si>
    <t>jtebu4bf2dk154432</t>
  </si>
  <si>
    <t>california auto exchange</t>
  </si>
  <si>
    <t>3n1cn7apxdl888657</t>
  </si>
  <si>
    <t>3n1ab7ap2dl750921</t>
  </si>
  <si>
    <t>palm springs nissan</t>
  </si>
  <si>
    <t>jtdkn3du9d5636594</t>
  </si>
  <si>
    <t>3n1cn7ap0dl846434</t>
  </si>
  <si>
    <t>3tmku4hn4dm037625</t>
  </si>
  <si>
    <t>5tdkk3dc7ds334960</t>
  </si>
  <si>
    <t>3vwfp7at4dm654698</t>
  </si>
  <si>
    <t>5yfbu4ee0dp204771</t>
  </si>
  <si>
    <t>3n1ab7ap9dl679328</t>
  </si>
  <si>
    <t>jn8as5mv2dw116535</t>
  </si>
  <si>
    <t>yv1612fs1d2225611</t>
  </si>
  <si>
    <t>3n1cn7ap5dl844212</t>
  </si>
  <si>
    <t>black/white auto sales</t>
  </si>
  <si>
    <t>jn8az1mw6dw303046</t>
  </si>
  <si>
    <t>advantage rent a car/hertz</t>
  </si>
  <si>
    <t>5n1ar2mn1dc619184</t>
  </si>
  <si>
    <t>1vwbp7a3xdc068443</t>
  </si>
  <si>
    <t>jn8az1mu6dw209263</t>
  </si>
  <si>
    <t>jn8ae2kp7d9060276</t>
  </si>
  <si>
    <t>4t1bf1fk4du283826</t>
  </si>
  <si>
    <t>1n4aa5ap7dc829796</t>
  </si>
  <si>
    <t>wbakb8c51cc964387</t>
  </si>
  <si>
    <t>bmw</t>
  </si>
  <si>
    <t>750i</t>
  </si>
  <si>
    <t>xdr 750i xdriv</t>
  </si>
  <si>
    <t>wbakc6c5xcc395623</t>
  </si>
  <si>
    <t>wbalz3c5xcdl71530</t>
  </si>
  <si>
    <t>TSX</t>
  </si>
  <si>
    <t>jh4cu2f43cc007761</t>
  </si>
  <si>
    <t>ahfc/honda lease trust/hvt  inc. eot</t>
  </si>
  <si>
    <t>wbalz3c59cdl71275</t>
  </si>
  <si>
    <t>wbakb8c53cc964410</t>
  </si>
  <si>
    <t>3.0T Premium quattro</t>
  </si>
  <si>
    <t>wauggafc1cn055417</t>
  </si>
  <si>
    <t>wbalx3c59cdv77170</t>
  </si>
  <si>
    <t>wbaxg5c54cdx02704</t>
  </si>
  <si>
    <t>wbalz3c58cdl73048</t>
  </si>
  <si>
    <t>wbaxg5c55cdx04560</t>
  </si>
  <si>
    <t>wbalx3c52cc528799</t>
  </si>
  <si>
    <t>7 Series</t>
  </si>
  <si>
    <t>740i</t>
  </si>
  <si>
    <t>wbaka4c54cc613856</t>
  </si>
  <si>
    <t>wbaka4c51cds99089</t>
  </si>
  <si>
    <t>335is</t>
  </si>
  <si>
    <t>wbadx1c56ce570700</t>
  </si>
  <si>
    <t>328i</t>
  </si>
  <si>
    <t>wbadw7c5xce729000</t>
  </si>
  <si>
    <t>wbalz3c5xcdl70913</t>
  </si>
  <si>
    <t>1 Series</t>
  </si>
  <si>
    <t>135i</t>
  </si>
  <si>
    <t>wbauc9c56cvm12464</t>
  </si>
  <si>
    <t>640i</t>
  </si>
  <si>
    <t>wbalw3c56cc891870</t>
  </si>
  <si>
    <t>TL</t>
  </si>
  <si>
    <t>19uua8f23ca002640</t>
  </si>
  <si>
    <t>535i</t>
  </si>
  <si>
    <t>wbafr7c56cc809633</t>
  </si>
  <si>
    <t>wbaka4c53cc613637</t>
  </si>
  <si>
    <t>wbalz3c54cdl72964</t>
  </si>
  <si>
    <t>wbadw7c58ce728833</t>
  </si>
  <si>
    <t>walters auto sales/service inc</t>
  </si>
  <si>
    <t>wbakb8c54cc964089</t>
  </si>
  <si>
    <t>19uua8f23ca027165</t>
  </si>
  <si>
    <t>wbaxg5c56cdw24474</t>
  </si>
  <si>
    <t>740Li</t>
  </si>
  <si>
    <t>wbakb4c53cc576943</t>
  </si>
  <si>
    <t>750li</t>
  </si>
  <si>
    <t>wbakb8c50cc963182</t>
  </si>
  <si>
    <t>528i xDrive</t>
  </si>
  <si>
    <t>wbaxh5c54cdw07718</t>
  </si>
  <si>
    <t>S4</t>
  </si>
  <si>
    <t>waukgafl7ca117999</t>
  </si>
  <si>
    <t>A7</t>
  </si>
  <si>
    <t>Premium quattro</t>
  </si>
  <si>
    <t>wauygafc0cn087585</t>
  </si>
  <si>
    <t>335i</t>
  </si>
  <si>
    <t>wbakg7c52ce802266</t>
  </si>
  <si>
    <t>wbaxg5c5xcdw24820</t>
  </si>
  <si>
    <t>wbaxg5c58cdw24170</t>
  </si>
  <si>
    <t>wbaxg5c53cdx03875</t>
  </si>
  <si>
    <t>wbalw7c59cc618669</t>
  </si>
  <si>
    <t>wba3a5c59cf259549</t>
  </si>
  <si>
    <t>wbaxg5c54cdx02654</t>
  </si>
  <si>
    <t>A5</t>
  </si>
  <si>
    <t>2.0T Premium quattro</t>
  </si>
  <si>
    <t>waulfafr6ca037394</t>
  </si>
  <si>
    <t>porsche of downtown la</t>
  </si>
  <si>
    <t>wbaxg5c53cdw24139</t>
  </si>
  <si>
    <t>wbaxg5c53cdw24979</t>
  </si>
  <si>
    <t>19uua8f26ca035583</t>
  </si>
  <si>
    <t>ahfc/honda lease trust/hvt  inc.</t>
  </si>
  <si>
    <t>wbaxg5c57cdw24497</t>
  </si>
  <si>
    <t>wbakg7c50ce802444</t>
  </si>
  <si>
    <t>wbafr7c59cc808346</t>
  </si>
  <si>
    <t>128i</t>
  </si>
  <si>
    <t>wbaun1c59cvh84475</t>
  </si>
  <si>
    <t>Special Edition</t>
  </si>
  <si>
    <t>jh4cu2f8xcc014175</t>
  </si>
  <si>
    <t>wbadw7c56ce729432</t>
  </si>
  <si>
    <t>wbadw7c58ce728380</t>
  </si>
  <si>
    <t>jh4cu2f87cc007412</t>
  </si>
  <si>
    <t>wbaka8c54ccy37992</t>
  </si>
  <si>
    <t>wbakb8c56cc963431</t>
  </si>
  <si>
    <t>wbadw7c57ce729732</t>
  </si>
  <si>
    <t>off-white</t>
  </si>
  <si>
    <t>wbadw7c52ce729136</t>
  </si>
  <si>
    <t>wbadx7c54ce744332</t>
  </si>
  <si>
    <t>wbakb8c59cc448049</t>
  </si>
  <si>
    <t>wbaka8c59cds99963</t>
  </si>
  <si>
    <t>wbalz3c59cdl72460</t>
  </si>
  <si>
    <t>wbakb4c5xcc575577</t>
  </si>
  <si>
    <t>19uua8f24ca004980</t>
  </si>
  <si>
    <t>wbakb8c58cc962863</t>
  </si>
  <si>
    <t>wbalw7c58cc618677</t>
  </si>
  <si>
    <t>jh4cu2f48cc010509</t>
  </si>
  <si>
    <t>wbaup9c54cvf46588</t>
  </si>
  <si>
    <t>wbakb4c5xcc576244</t>
  </si>
  <si>
    <t>RDX</t>
  </si>
  <si>
    <t>5j8tb2h54ca000490</t>
  </si>
  <si>
    <t>M3</t>
  </si>
  <si>
    <t>wbsdx9c50ce784530</t>
  </si>
  <si>
    <t>wba3a5c5xcfj88779</t>
  </si>
  <si>
    <t>550i</t>
  </si>
  <si>
    <t>wbafr9c5xcdv58413</t>
  </si>
  <si>
    <t>wbalz3c58cdl71784</t>
  </si>
  <si>
    <t>wbake5c54ce755722</t>
  </si>
  <si>
    <t>wbakb8c56cc964045</t>
  </si>
  <si>
    <t>wbalw7c56cc618502</t>
  </si>
  <si>
    <t>650i xDrive</t>
  </si>
  <si>
    <t>wbalz5c56cc619497</t>
  </si>
  <si>
    <t>wbalz3c55cdl70821</t>
  </si>
  <si>
    <t>wbalz3c54cdl72186</t>
  </si>
  <si>
    <t>wbaka8c51ccy37982</t>
  </si>
  <si>
    <t>wbaun1c57cvr00222</t>
  </si>
  <si>
    <t>Cooper Coupe</t>
  </si>
  <si>
    <t>wmwsx3c58ct408212</t>
  </si>
  <si>
    <t>mckenna audi/mckenna bmw</t>
  </si>
  <si>
    <t>waulfafr6ca006081</t>
  </si>
  <si>
    <t>wbaxg5c5xcc594269</t>
  </si>
  <si>
    <t>wba3c1c50ca696789</t>
  </si>
  <si>
    <t>Wed Dec 17 2014 11:00:00 GMT-0800 (PST)</t>
  </si>
  <si>
    <t>wbaxg5c55cdw85315</t>
  </si>
  <si>
    <t>wbsdx9c56ce784810</t>
  </si>
  <si>
    <t>wbaka4c52cds99120</t>
  </si>
  <si>
    <t>wbakg7c55ce263223</t>
  </si>
  <si>
    <t>wbadw7c53ce729632</t>
  </si>
  <si>
    <t>wbafr7c52cc807958</t>
  </si>
  <si>
    <t>wba3a5c5xcf346666</t>
  </si>
  <si>
    <t>wbalz3c54cdl72740</t>
  </si>
  <si>
    <t>wbaun1c54cvh84268</t>
  </si>
  <si>
    <t>wbakg7c55ce263156</t>
  </si>
  <si>
    <t>wbalz3c52cdl70551</t>
  </si>
  <si>
    <t>wbaka8c59ccy37616</t>
  </si>
  <si>
    <t>wbalz3c58cdl70649</t>
  </si>
  <si>
    <t>wbsdx9c5xce784602</t>
  </si>
  <si>
    <t>wbakb4c55cc576684</t>
  </si>
  <si>
    <t>jh4cu2f82cc009116</t>
  </si>
  <si>
    <t>19uua8f59ca015354</t>
  </si>
  <si>
    <t>wbakb8c50cc964249</t>
  </si>
  <si>
    <t>wbafr7c57cc808572</t>
  </si>
  <si>
    <t>wbake5c58ce755738</t>
  </si>
  <si>
    <t>5j8tb2h51ca002472</t>
  </si>
  <si>
    <t>lexus of thousand oaks</t>
  </si>
  <si>
    <t>wbalz3c53cdl72437</t>
  </si>
  <si>
    <t>jh4cu2f47cc007861</t>
  </si>
  <si>
    <t>wbafr7c50cc808946</t>
  </si>
  <si>
    <t>wbake5c56ce755978</t>
  </si>
  <si>
    <t>wbadw7c57ce728676</t>
  </si>
  <si>
    <t>19uua8f24ca015137</t>
  </si>
  <si>
    <t>wbadw7c59ce728503</t>
  </si>
  <si>
    <t>wbakb8c58cc965083</t>
  </si>
  <si>
    <t>wbalz3c53cdl72602</t>
  </si>
  <si>
    <t>wbafr7c58cc808323</t>
  </si>
  <si>
    <t>ZDX</t>
  </si>
  <si>
    <t>2hnyb1h40ch500373</t>
  </si>
  <si>
    <t>wbadw7c51ce728303</t>
  </si>
  <si>
    <t>wba3a5c54cf341740</t>
  </si>
  <si>
    <t>waubfaflxcn004222</t>
  </si>
  <si>
    <t>wbaun1c54cvh84416</t>
  </si>
  <si>
    <t>jh4cu2f80cc007347</t>
  </si>
  <si>
    <t>wbafr7c50cc808722</t>
  </si>
  <si>
    <t>wbaxg5c54cdy30327</t>
  </si>
  <si>
    <t>wbadx1c57ce570754</t>
  </si>
  <si>
    <t>wbaxg5c59cdx05260</t>
  </si>
  <si>
    <t>wbalz3c58cdl73387</t>
  </si>
  <si>
    <t>wbaxg5c53cdx03584</t>
  </si>
  <si>
    <t>wbalz3c5xcdl71009</t>
  </si>
  <si>
    <t>waubgafc0cn029580</t>
  </si>
  <si>
    <t>ars/executive car leasing co</t>
  </si>
  <si>
    <t>wbalw7c50cc618639</t>
  </si>
  <si>
    <t>19uua8f58ca025292</t>
  </si>
  <si>
    <t>wbadw7c5xce729224</t>
  </si>
  <si>
    <t>wbake5c56ce755835</t>
  </si>
  <si>
    <t>wbalx3c51cc528390</t>
  </si>
  <si>
    <t>wbaka4c50cds99049</t>
  </si>
  <si>
    <t>jh4cu2f49cc003956</t>
  </si>
  <si>
    <t>Wed Jan 21 2015 04:30:00 GMT-0800 (PST)</t>
  </si>
  <si>
    <t>jh4cu2f64cc008869</t>
  </si>
  <si>
    <t>R8</t>
  </si>
  <si>
    <t>4.2 quattro</t>
  </si>
  <si>
    <t>wuaauafg1cn002532</t>
  </si>
  <si>
    <t>Wed Feb 11 2015 04:30:00 GMT-0800 (PST)</t>
  </si>
  <si>
    <t>wba3a5c57cf340727</t>
  </si>
  <si>
    <t>wbake3c53ce769664</t>
  </si>
  <si>
    <t>jh4cu2f44cc006621</t>
  </si>
  <si>
    <t>wbake5c53ce755730</t>
  </si>
  <si>
    <t>wbaka4c51cds99397</t>
  </si>
  <si>
    <t>wbakb8c5xcc964159</t>
  </si>
  <si>
    <t>wbaxg5c5xcdw92356</t>
  </si>
  <si>
    <t>wauggafc6cn169316</t>
  </si>
  <si>
    <t>wba3a5c51cf256869</t>
  </si>
  <si>
    <t>wbalz3c53cdl70302</t>
  </si>
  <si>
    <t>wbakb8c53cc963094</t>
  </si>
  <si>
    <t>Thu Jan 15 2015 12:30:00 GMT-0800 (PST)</t>
  </si>
  <si>
    <t>wbakb8c52cc962471</t>
  </si>
  <si>
    <t>wbadw7c57ce728595</t>
  </si>
  <si>
    <t>2hnyd2h34ch534405</t>
  </si>
  <si>
    <t>wbakc8c50cc435719</t>
  </si>
  <si>
    <t>bmw of bakersfield</t>
  </si>
  <si>
    <t>X3</t>
  </si>
  <si>
    <t>xDrive28i</t>
  </si>
  <si>
    <t>5uxwx5c52cl721643</t>
  </si>
  <si>
    <t>wbalz3c53cdl73376</t>
  </si>
  <si>
    <t>jh4cu2f42cc009324</t>
  </si>
  <si>
    <t>wbaxg5c51cdy28437</t>
  </si>
  <si>
    <t>wbakb4c58cc576081</t>
  </si>
  <si>
    <t>wmwzf3c57ct189809</t>
  </si>
  <si>
    <t>wba3a5c50cfj88662</t>
  </si>
  <si>
    <t>onemain rem/manheim san francisco bay</t>
  </si>
  <si>
    <t>Wed Dec 17 2014 00:00:00 GMT-0800 (PST)</t>
  </si>
  <si>
    <t>wbalz3c58cdl72739</t>
  </si>
  <si>
    <t>wbakb8c51cc965121</t>
  </si>
  <si>
    <t>wbadw7c57ce728838</t>
  </si>
  <si>
    <t>wbalz3c55cdl72357</t>
  </si>
  <si>
    <t>wbaun1c5xcvr00070</t>
  </si>
  <si>
    <t>5uxwx5c56cl725811</t>
  </si>
  <si>
    <t>wbaka8c58cdx01066</t>
  </si>
  <si>
    <t>19uua8f55ca013536</t>
  </si>
  <si>
    <t>waucvafr9ca017644</t>
  </si>
  <si>
    <t>3.2 Premium Plus quattro</t>
  </si>
  <si>
    <t>wa1dkafp9ca031827</t>
  </si>
  <si>
    <t>wbakc6c56cc396445</t>
  </si>
  <si>
    <t>wbakb8c59cc964427</t>
  </si>
  <si>
    <t>Technology and Entertainment Packages</t>
  </si>
  <si>
    <t>2hnyd2h46ch518845</t>
  </si>
  <si>
    <t>wbaka4c55cc613607</t>
  </si>
  <si>
    <t>wbafr9c52cdv58955</t>
  </si>
  <si>
    <t>waubgafc5cn004304</t>
  </si>
  <si>
    <t>wbakb8c52cc963717</t>
  </si>
  <si>
    <t>autobahn west enterprises inc</t>
  </si>
  <si>
    <t>wbakb4c5xcc576390</t>
  </si>
  <si>
    <t>wbafr7c54cc808772</t>
  </si>
  <si>
    <t>jh4cu2f82cc003672</t>
  </si>
  <si>
    <t>wbake5c5xce755675</t>
  </si>
  <si>
    <t>waubfafl7ca093223</t>
  </si>
  <si>
    <t>wba3a5c54cf341317</t>
  </si>
  <si>
    <t>wbadw7c50ce729202</t>
  </si>
  <si>
    <t>wbalz3c5xcdl71849</t>
  </si>
  <si>
    <t>2hnyb1h47ch500760</t>
  </si>
  <si>
    <t>waubfafl9cn004681</t>
  </si>
  <si>
    <t>wbalw7c54cc618689</t>
  </si>
  <si>
    <t>wbadw7c50ce728518</t>
  </si>
  <si>
    <t>wbaxg5c56cdw24135</t>
  </si>
  <si>
    <t>535i xDrive</t>
  </si>
  <si>
    <t>wbafu7c52cdu59166</t>
  </si>
  <si>
    <t>wbalw3c59cc891863</t>
  </si>
  <si>
    <t>wbakb8c54cc963069</t>
  </si>
  <si>
    <t>2hnyd2h22ch514452</t>
  </si>
  <si>
    <t>wbafr7c5xcc808193</t>
  </si>
  <si>
    <t>wbalz3c55cdl71077</t>
  </si>
  <si>
    <t>Dodge</t>
  </si>
  <si>
    <t>Avenger</t>
  </si>
  <si>
    <t>1c3cdzab3cn322875</t>
  </si>
  <si>
    <t>E-Series Wagon</t>
  </si>
  <si>
    <t>E-350 Super Duty XL</t>
  </si>
  <si>
    <t>1fbss3bl8cdb20464</t>
  </si>
  <si>
    <t>Escape</t>
  </si>
  <si>
    <t>1fmcu0eg0ckb55384</t>
  </si>
  <si>
    <t>ford motor credit company llc pd</t>
  </si>
  <si>
    <t>1c3cdzab7cn259165</t>
  </si>
  <si>
    <t>Edge</t>
  </si>
  <si>
    <t>SEL</t>
  </si>
  <si>
    <t>2fmdk3jc5cba41602</t>
  </si>
  <si>
    <t>xDrive35i Premium</t>
  </si>
  <si>
    <t>5uxzv4c56cl763245</t>
  </si>
  <si>
    <t>3gyfnge34cs551059</t>
  </si>
  <si>
    <t>3gcpcse06cg246240</t>
  </si>
  <si>
    <t>2fmdk4jc4cba12890</t>
  </si>
  <si>
    <t>Focus</t>
  </si>
  <si>
    <t>Titanium</t>
  </si>
  <si>
    <t>1fahp3n21cl330426</t>
  </si>
  <si>
    <t>remarketing by ge/chase lease remarketing co</t>
  </si>
  <si>
    <t>Flex</t>
  </si>
  <si>
    <t>2fmgk5dc5cbd10752</t>
  </si>
  <si>
    <t>onemain rem/manheim southern california</t>
  </si>
  <si>
    <t>Z4</t>
  </si>
  <si>
    <t>wball5c57ce716603</t>
  </si>
  <si>
    <t>xDrive35d</t>
  </si>
  <si>
    <t>5uxzw0c51cl663432</t>
  </si>
  <si>
    <t>LT Fleet</t>
  </si>
  <si>
    <t>1g1pe5sc1c7112914</t>
  </si>
  <si>
    <t>hoehn honda</t>
  </si>
  <si>
    <t>Traverse</t>
  </si>
  <si>
    <t>1gnkveed2cj170787</t>
  </si>
  <si>
    <t>LS Fleet</t>
  </si>
  <si>
    <t>1g1za5e0xcf381988</t>
  </si>
  <si>
    <t>1fahp3n22cl337238</t>
  </si>
  <si>
    <t>1fahp3f21cl196273</t>
  </si>
  <si>
    <t>1gc1kvcg7cf125051</t>
  </si>
  <si>
    <t>F-350 Super Duty</t>
  </si>
  <si>
    <t>Lariat</t>
  </si>
  <si>
    <t>1ft8w3bt7cea57572</t>
  </si>
  <si>
    <t>5gakrced3cj124033</t>
  </si>
  <si>
    <t>fiserv/usb dealer services northstar exchange</t>
  </si>
  <si>
    <t>Fiesta</t>
  </si>
  <si>
    <t>SES</t>
  </si>
  <si>
    <t>3fadp4fj9cm137823</t>
  </si>
  <si>
    <t>star ford lincoln</t>
  </si>
  <si>
    <t>1g1pe5sc8c7272918</t>
  </si>
  <si>
    <t>1fmcu9eg8ckb92798</t>
  </si>
  <si>
    <t>FIAT</t>
  </si>
  <si>
    <t>3c3cffbr5ct382578</t>
  </si>
  <si>
    <t>nvp remarketing</t>
  </si>
  <si>
    <t>5uxzv4c51cl889822</t>
  </si>
  <si>
    <t>myrddin fleet services</t>
  </si>
  <si>
    <t>Chrysler</t>
  </si>
  <si>
    <t>1c3ccbab5cn208287</t>
  </si>
  <si>
    <t>1fahp3m26cl436775</t>
  </si>
  <si>
    <t>mars auto</t>
  </si>
  <si>
    <t>3fadp4ej1cm105661</t>
  </si>
  <si>
    <t>2fmdk3jc3cba19503</t>
  </si>
  <si>
    <t>2fmdk3jc6cba33928</t>
  </si>
  <si>
    <t>XLS</t>
  </si>
  <si>
    <t>1fmcu0c7xckb67643</t>
  </si>
  <si>
    <t>Journey</t>
  </si>
  <si>
    <t>SXT</t>
  </si>
  <si>
    <t>3c4pdcbgxct207887</t>
  </si>
  <si>
    <t>2fmdk3gc4cba60486</t>
  </si>
  <si>
    <t>1fahp3h27cl120201</t>
  </si>
  <si>
    <t>wball5c56ce716642</t>
  </si>
  <si>
    <t>Charger</t>
  </si>
  <si>
    <t>SRT8</t>
  </si>
  <si>
    <t>2c3cdxej5ch103303</t>
  </si>
  <si>
    <t>2fmgk5bcxcbd20762</t>
  </si>
  <si>
    <t>ford motor credit company llc</t>
  </si>
  <si>
    <t>2fmhk6dt5cbd09627</t>
  </si>
  <si>
    <t>xDrive50i</t>
  </si>
  <si>
    <t>5uxzv8c51cl423542</t>
  </si>
  <si>
    <t>ford</t>
  </si>
  <si>
    <t>e350</t>
  </si>
  <si>
    <t>wagon v8 xlt</t>
  </si>
  <si>
    <t>1fdne3bl8cda87395</t>
  </si>
  <si>
    <t>vpsi  inc</t>
  </si>
  <si>
    <t>1g1pd5sh5c7328067</t>
  </si>
  <si>
    <t>balboa thrift &amp; loan association</t>
  </si>
  <si>
    <t>5uxzw0c59cl664537</t>
  </si>
  <si>
    <t>2g1fc3d31c9123218</t>
  </si>
  <si>
    <t>Equinox</t>
  </si>
  <si>
    <t>2gnfleek0c6316896</t>
  </si>
  <si>
    <t>S V6</t>
  </si>
  <si>
    <t>2c3ccabg6ch183090</t>
  </si>
  <si>
    <t>orange county's credit union</t>
  </si>
  <si>
    <t>Wed Dec 17 2014 12:05:00 GMT-0800 (PST)</t>
  </si>
  <si>
    <t>F-150</t>
  </si>
  <si>
    <t>XLT</t>
  </si>
  <si>
    <t>SuperCrew</t>
  </si>
  <si>
    <t>1ftew1cm9ckd05952</t>
  </si>
  <si>
    <t>Explorer</t>
  </si>
  <si>
    <t>1fmhk7b83cga31940</t>
  </si>
  <si>
    <t>galpin ford studio rentals</t>
  </si>
  <si>
    <t>1fmcu0eg8cka50169</t>
  </si>
  <si>
    <t>premium auto wholesale</t>
  </si>
  <si>
    <t>Thu Jan 08 2015 12:00:00 GMT-0800 (PST)</t>
  </si>
  <si>
    <t>5uxzw0c57cl671289</t>
  </si>
  <si>
    <t>Tue Jun 16 2015 05:30:00 GMT-0700 (PDT)</t>
  </si>
  <si>
    <t>C Pop</t>
  </si>
  <si>
    <t>3c3cffdr3ct355098</t>
  </si>
  <si>
    <t>san diego sports cars</t>
  </si>
  <si>
    <t>5uxwx5c50cl724217</t>
  </si>
  <si>
    <t>1g1za5e04cf380576</t>
  </si>
  <si>
    <t>the hertz corporation/gm</t>
  </si>
  <si>
    <t>5gakrced0cj149925</t>
  </si>
  <si>
    <t>Captiva Sport</t>
  </si>
  <si>
    <t>LTZ Fleet</t>
  </si>
  <si>
    <t>3gnfl4e53cs609522</t>
  </si>
  <si>
    <t>2g1wg5e30c1116290</t>
  </si>
  <si>
    <t>cig financial</t>
  </si>
  <si>
    <t>1gc1kvcg3cf136273</t>
  </si>
  <si>
    <t>Escalade</t>
  </si>
  <si>
    <t>1gys3bef3cr133032</t>
  </si>
  <si>
    <t>1fmcu0e7xckc08558</t>
  </si>
  <si>
    <t>Grand Caravan</t>
  </si>
  <si>
    <t>American Value Package</t>
  </si>
  <si>
    <t>2c4rdgbgxcr138394</t>
  </si>
  <si>
    <t>1g1pf5sc5c7318718</t>
  </si>
  <si>
    <t>2c4rdgcg2cr308102</t>
  </si>
  <si>
    <t>2fmdk3kc0cba63263</t>
  </si>
  <si>
    <t>1c3ccbab7cn236141</t>
  </si>
  <si>
    <t>2fmdk3g93cba04334</t>
  </si>
  <si>
    <t>5uxfg8c57cl590176</t>
  </si>
  <si>
    <t>1fahp3k20cl268649</t>
  </si>
  <si>
    <t>1g1pg5sc3c7127456</t>
  </si>
  <si>
    <t>california fleet inc</t>
  </si>
  <si>
    <t>2fmdk3gc7cba30642</t>
  </si>
  <si>
    <t>1g1zd5e01cf385922</t>
  </si>
  <si>
    <t>3fadp4aj1cm132316</t>
  </si>
  <si>
    <t>enterprise fm exchange/tra/lease</t>
  </si>
  <si>
    <t>CTS Coupe</t>
  </si>
  <si>
    <t>Premium</t>
  </si>
  <si>
    <t>1g6dp1e36c0128773</t>
  </si>
  <si>
    <t>1fahp3f22cl321491</t>
  </si>
  <si>
    <t>Extended Cab</t>
  </si>
  <si>
    <t>1gcrkse74cz226528</t>
  </si>
  <si>
    <t>1g1pc5sh1c7277640</t>
  </si>
  <si>
    <t>1c3cdzab0cn322185</t>
  </si>
  <si>
    <t>FX2</t>
  </si>
  <si>
    <t>1ftfw1ct0cfb64807</t>
  </si>
  <si>
    <t>5uxzv4c55cl759655</t>
  </si>
  <si>
    <t>2fmdk3jc3cba60133</t>
  </si>
  <si>
    <t>2c4rdgcg9cr296434</t>
  </si>
  <si>
    <t>2fmdk3jc5cba60246</t>
  </si>
  <si>
    <t>Town and Country</t>
  </si>
  <si>
    <t>2c4rc1bg5cr304885</t>
  </si>
  <si>
    <t>2g1wg5e34c1315374</t>
  </si>
  <si>
    <t>1g1pg5sc6c7268604</t>
  </si>
  <si>
    <t>1fahp3k20cl290456</t>
  </si>
  <si>
    <t>2c4rdgcg4cr274826</t>
  </si>
  <si>
    <t>1gys3cef9cr278064</t>
  </si>
  <si>
    <t>E-Series Van</t>
  </si>
  <si>
    <t>E-150</t>
  </si>
  <si>
    <t>1ftne1ew7cda57433</t>
  </si>
  <si>
    <t>Volt</t>
  </si>
  <si>
    <t>1g1rd6e47cu107918</t>
  </si>
  <si>
    <t>1g1pf5sc6c7307355</t>
  </si>
  <si>
    <t>Hybrid</t>
  </si>
  <si>
    <t>3fadp0l35cr239363</t>
  </si>
  <si>
    <t>wholesale motor sales inc</t>
  </si>
  <si>
    <t>1fahp3f22cl294180</t>
  </si>
  <si>
    <t>1fahp3k26cl423057</t>
  </si>
  <si>
    <t>1fahp3m24cl423300</t>
  </si>
  <si>
    <t>1g1pf5sc0c7375697</t>
  </si>
  <si>
    <t>1gcrkpea6cz132644</t>
  </si>
  <si>
    <t>5uxwx7c56cl737789</t>
  </si>
  <si>
    <t>1g1zc5e03cf277854</t>
  </si>
  <si>
    <t>fleet street remarketing llc</t>
  </si>
  <si>
    <t>1fbss3bl2cdb17284</t>
  </si>
  <si>
    <t>5uxzv4c53cl762179</t>
  </si>
  <si>
    <t>1fmcu0dg9ckc18905</t>
  </si>
  <si>
    <t>Express Cargo</t>
  </si>
  <si>
    <t>1gcsgafx9c1156776</t>
  </si>
  <si>
    <t>2g1wg5e35c1171477</t>
  </si>
  <si>
    <t>Eco</t>
  </si>
  <si>
    <t>1g1pk5scxc7100916</t>
  </si>
  <si>
    <t>west coast acceptance</t>
  </si>
  <si>
    <t>e150</t>
  </si>
  <si>
    <t>wagon v8</t>
  </si>
  <si>
    <t>1fdne1bw1cdb07405</t>
  </si>
  <si>
    <t>1fahp3h20cl470320</t>
  </si>
  <si>
    <t>kearny pearson kia</t>
  </si>
  <si>
    <t>5gakrced8cj138011</t>
  </si>
  <si>
    <t>5uxzv4c50cl985442</t>
  </si>
  <si>
    <t>1g1pf5sc2c7335329</t>
  </si>
  <si>
    <t>3fahp0ha9cr263531</t>
  </si>
  <si>
    <t>1c3cdzabxcn259189</t>
  </si>
  <si>
    <t>2g1wg5e3xc1252099</t>
  </si>
  <si>
    <t>2g1wg5e36c1103821</t>
  </si>
  <si>
    <t>california rent-a-car &amp; leasing</t>
  </si>
  <si>
    <t>1c3ccbab8cn317472</t>
  </si>
  <si>
    <t>X5 M</t>
  </si>
  <si>
    <t>5ymgy0c58clk27624</t>
  </si>
  <si>
    <t>1ftfw1et3ckd61619</t>
  </si>
  <si>
    <t>1fmcu0eg0ckc81633</t>
  </si>
  <si>
    <t>carmax # 7159</t>
  </si>
  <si>
    <t>1ftfw1ef9cfc79834</t>
  </si>
  <si>
    <t>1g1zc5e09cf392717</t>
  </si>
  <si>
    <t>2LS Fleet</t>
  </si>
  <si>
    <t>3gnal2ek8cs604756</t>
  </si>
  <si>
    <t>3fahp0cg8cr101336</t>
  </si>
  <si>
    <t>3gcukse29cg269406</t>
  </si>
  <si>
    <t>farm credit leasing exchange inc</t>
  </si>
  <si>
    <t>Wed Jan 28 2015 04:30:00 GMT-0800 (PST)</t>
  </si>
  <si>
    <t>2fmdk3akxcba04245</t>
  </si>
  <si>
    <t>2c3cdxhg5ch244551</t>
  </si>
  <si>
    <t>buyers auto sales</t>
  </si>
  <si>
    <t>1g1zd5e07cf310660</t>
  </si>
  <si>
    <t>E-350 Super Duty</t>
  </si>
  <si>
    <t>1ftse3el0cda23063</t>
  </si>
  <si>
    <t>1g1pk5sc4c7113452</t>
  </si>
  <si>
    <t>1fmcu0c71cka22717</t>
  </si>
  <si>
    <t>1fahp3m26cl429227</t>
  </si>
  <si>
    <t>5uxzv4c53cl762151</t>
  </si>
  <si>
    <t>2fmdk3kc2cba37750</t>
  </si>
  <si>
    <t>1g1pg5sc6c7329580</t>
  </si>
  <si>
    <t>1fahp3h23cl156080</t>
  </si>
  <si>
    <t>3c4pdcbb7ct394882</t>
  </si>
  <si>
    <t>remktgedge / cars / carfinance capital llc</t>
  </si>
  <si>
    <t>1fmcu0d75cka90856</t>
  </si>
  <si>
    <t>1LT Fleet</t>
  </si>
  <si>
    <t>3gnal3e50cs542737</t>
  </si>
  <si>
    <t>5uxzv4c56cl764444</t>
  </si>
  <si>
    <t>SuperCab</t>
  </si>
  <si>
    <t>1ftfx1ef6cfc80260</t>
  </si>
  <si>
    <t>1g1zc5e0xcf296157</t>
  </si>
  <si>
    <t>1fmcu0c79cka91865</t>
  </si>
  <si>
    <t>Expedition</t>
  </si>
  <si>
    <t>1fmju2a54cef22860</t>
  </si>
  <si>
    <t>1fmhk7d86cga36787</t>
  </si>
  <si>
    <t>1g1re6e46cu123881</t>
  </si>
  <si>
    <t>1g1zd5e03cf127398</t>
  </si>
  <si>
    <t>1g1za5e07cf312837</t>
  </si>
  <si>
    <t>m/r motors inc</t>
  </si>
  <si>
    <t>5uxzw0c57cl665685</t>
  </si>
  <si>
    <t>2fmdk4ak9cba53541</t>
  </si>
  <si>
    <t>1fahp3j2xcl215975</t>
  </si>
  <si>
    <t>1c3ccbab4cn316982</t>
  </si>
  <si>
    <t>2fmdk3jc8cba70818</t>
  </si>
  <si>
    <t>1fahp3e23cl410357</t>
  </si>
  <si>
    <t>Colorado</t>
  </si>
  <si>
    <t>1gcesbf91c8117688</t>
  </si>
  <si>
    <t>tradewinds remarketing</t>
  </si>
  <si>
    <t>Express</t>
  </si>
  <si>
    <t>LS 3500</t>
  </si>
  <si>
    <t>1gazg1fg7c1187760</t>
  </si>
  <si>
    <t>the motor car group inc</t>
  </si>
  <si>
    <t>1fahp3f27cl145683</t>
  </si>
  <si>
    <t>1g1pf5sc2c7369996</t>
  </si>
  <si>
    <t>5uxzv4c54cl759579</t>
  </si>
  <si>
    <t>2gnalbek2c6216033</t>
  </si>
  <si>
    <t>2g1wg5e36c1319037</t>
  </si>
  <si>
    <t>XL</t>
  </si>
  <si>
    <t>Regular Cab</t>
  </si>
  <si>
    <t>1ftmf1cm6ckd43568</t>
  </si>
  <si>
    <t>1g1pf5sc2c7382909</t>
  </si>
  <si>
    <t>1fmhk8f89cga08890</t>
  </si>
  <si>
    <t>2fmdk3jc0cba70702</t>
  </si>
  <si>
    <t>Crew</t>
  </si>
  <si>
    <t>2c4rdgdg7cr159037</t>
  </si>
  <si>
    <t>3fahp0cg4cr283701</t>
  </si>
  <si>
    <t>5uxzv8c52cl424733</t>
  </si>
  <si>
    <t>Ferrari</t>
  </si>
  <si>
    <t>California</t>
  </si>
  <si>
    <t>zff65tja5c0187066</t>
  </si>
  <si>
    <t>chicago motor car corporation</t>
  </si>
  <si>
    <t>1fahp3k22cl257913</t>
  </si>
  <si>
    <t>1g1pf5sc1c7371061</t>
  </si>
  <si>
    <t>2fmdk3jc3cba04337</t>
  </si>
  <si>
    <t>1g1zd5e03cf357118</t>
  </si>
  <si>
    <t>1fmcu9dg3ckb92323</t>
  </si>
  <si>
    <t>Escalade ESV</t>
  </si>
  <si>
    <t>Platinum Edition</t>
  </si>
  <si>
    <t>1gys3kef7cr241833</t>
  </si>
  <si>
    <t>5uxzv4c53cl766376</t>
  </si>
  <si>
    <t>5uxzw0c51cl672731</t>
  </si>
  <si>
    <t>3fadp4bj9cm105802</t>
  </si>
  <si>
    <t>1g1zc5e08cf357599</t>
  </si>
  <si>
    <t>1gys4bef5cr127343</t>
  </si>
  <si>
    <t>2fmdk3kc3cba33884</t>
  </si>
  <si>
    <t>1gys3bef6cr152612</t>
  </si>
  <si>
    <t>3fadp4fj7cm162266</t>
  </si>
  <si>
    <t>1g1za5e03cf353868</t>
  </si>
  <si>
    <t>2c4rc1bg0cr359597</t>
  </si>
  <si>
    <t>1gcrcse01cz217074</t>
  </si>
  <si>
    <t>5uxzv4c50cl759630</t>
  </si>
  <si>
    <t>Sonic</t>
  </si>
  <si>
    <t>1g1jc5sh1c4110220</t>
  </si>
  <si>
    <t>3gyfnae33cs624161</t>
  </si>
  <si>
    <t>1fmhk7b84cga36676</t>
  </si>
  <si>
    <t>2g1wc5e36c1321527</t>
  </si>
  <si>
    <t>2g1wf5e34c1122872</t>
  </si>
  <si>
    <t>Honda</t>
  </si>
  <si>
    <t>Accord</t>
  </si>
  <si>
    <t>1hgcp2f64ca037696</t>
  </si>
  <si>
    <t>CR-V</t>
  </si>
  <si>
    <t>jhlrm3h54cc007178</t>
  </si>
  <si>
    <t>5xyzk4ag3cg123827</t>
  </si>
  <si>
    <t>5npec4ab0ch368738</t>
  </si>
  <si>
    <t>Tue Feb 10 2015 04:30:00 GMT-0800 (PST)</t>
  </si>
  <si>
    <t>1hgcp2f32ca095277</t>
  </si>
  <si>
    <t>5npdh4ae1ch113720</t>
  </si>
  <si>
    <t>3fahp0ha5cr125131</t>
  </si>
  <si>
    <t>G25</t>
  </si>
  <si>
    <t>jn1dv6ap0cm813081</t>
  </si>
  <si>
    <t>Mustang</t>
  </si>
  <si>
    <t>1zvbp8am9c5266559</t>
  </si>
  <si>
    <t>5npdh4ae3ch122158</t>
  </si>
  <si>
    <t>1hgcp2f32ca063476</t>
  </si>
  <si>
    <t>5npeb4ac1ch308852</t>
  </si>
  <si>
    <t>LX-P</t>
  </si>
  <si>
    <t>1hgcp2f49ca090926</t>
  </si>
  <si>
    <t>1zvbp8em4c5286986</t>
  </si>
  <si>
    <t>3fahp0ha6cr182177</t>
  </si>
  <si>
    <t>jn1dv6ap4cm810619</t>
  </si>
  <si>
    <t>Civic</t>
  </si>
  <si>
    <t>19xfb2f58ce307205</t>
  </si>
  <si>
    <t>5npeb4ac1ch396270</t>
  </si>
  <si>
    <t>kmhgc4dd1cu152484</t>
  </si>
  <si>
    <t>Fit</t>
  </si>
  <si>
    <t>jhmge8g56cs002908</t>
  </si>
  <si>
    <t>5npeb4ac9ch398817</t>
  </si>
  <si>
    <t>1hgcp2f37ca036323</t>
  </si>
  <si>
    <t>Pilot</t>
  </si>
  <si>
    <t>5fnyf3h23cb003554</t>
  </si>
  <si>
    <t>5npec4ac8ch375638</t>
  </si>
  <si>
    <t>Odyssey</t>
  </si>
  <si>
    <t>5fnrl5h24cb009338</t>
  </si>
  <si>
    <t>19xfb2f86ce382348</t>
  </si>
  <si>
    <t>3fahp0ha0cr307187</t>
  </si>
  <si>
    <t>19xfb2f59ce382947</t>
  </si>
  <si>
    <t>19xfb2f56ce392156</t>
  </si>
  <si>
    <t>1zvbp8emxc5273367</t>
  </si>
  <si>
    <t>19xfb2f52ce384572</t>
  </si>
  <si>
    <t>19xfb2f59ce324448</t>
  </si>
  <si>
    <t>3fahp0ja3cr291867</t>
  </si>
  <si>
    <t>5npdh4ae5ch119147</t>
  </si>
  <si>
    <t>3fadp0l39cr356699</t>
  </si>
  <si>
    <t>LX-S</t>
  </si>
  <si>
    <t>1hgcs1b32ca004331</t>
  </si>
  <si>
    <t>km8ju3ac2cu324482</t>
  </si>
  <si>
    <t>kmhec4a45ca055348</t>
  </si>
  <si>
    <t>kmhgc4df0cu165745</t>
  </si>
  <si>
    <t>1hgcp2f60ca025223</t>
  </si>
  <si>
    <t>5npeb4ac0ch395644</t>
  </si>
  <si>
    <t>5j6rm3h55cl046630</t>
  </si>
  <si>
    <t>3fahp0jg6cr296274</t>
  </si>
  <si>
    <t>5npec4acxch406016</t>
  </si>
  <si>
    <t>kmhdh4ae8cu392715</t>
  </si>
  <si>
    <t>kmhdh4aexcu180690</t>
  </si>
  <si>
    <t>kmhct5aexcu028523</t>
  </si>
  <si>
    <t>1hgcp2f36ca106636</t>
  </si>
  <si>
    <t>EX V-6</t>
  </si>
  <si>
    <t>1hgcp3f79ca004479</t>
  </si>
  <si>
    <t>EX-L</t>
  </si>
  <si>
    <t>5fnyf3h59cb020787</t>
  </si>
  <si>
    <t>EX-L V-6</t>
  </si>
  <si>
    <t>1hgcs2b82ca009420</t>
  </si>
  <si>
    <t>1hgcp2f64ca036502</t>
  </si>
  <si>
    <t>5fnrl5h48cb029268</t>
  </si>
  <si>
    <t>5npeb4ac6ch386883</t>
  </si>
  <si>
    <t>1hgcp2f32ca042692</t>
  </si>
  <si>
    <t>1zvbp8em5c5273356</t>
  </si>
  <si>
    <t>jn1dv6apxcm812956</t>
  </si>
  <si>
    <t>2hgfg3b83ch516834</t>
  </si>
  <si>
    <t>1hgcp2f72ca088929</t>
  </si>
  <si>
    <t>5fnyf3h97cb043598</t>
  </si>
  <si>
    <t>connell chevrolet</t>
  </si>
  <si>
    <t>GT</t>
  </si>
  <si>
    <t>1zvbp8cf3c5270248</t>
  </si>
  <si>
    <t>frank toyota</t>
  </si>
  <si>
    <t>jhmfb2f56cs005438</t>
  </si>
  <si>
    <t>jn1dv6ap9cm810566</t>
  </si>
  <si>
    <t>jhlrm3h75cc002265</t>
  </si>
  <si>
    <t>barber honda</t>
  </si>
  <si>
    <t>5npeb4ac7ch381093</t>
  </si>
  <si>
    <t>5npec4ac0ch365704</t>
  </si>
  <si>
    <t>kmhct5ae7cu023442</t>
  </si>
  <si>
    <t>1hgcp2f34ca044475</t>
  </si>
  <si>
    <t>km8ju3acxcu486909</t>
  </si>
  <si>
    <t>1hgcp2f63ca099106</t>
  </si>
  <si>
    <t>1zvbp8em4c5286471</t>
  </si>
  <si>
    <t>jn1dv6ap0cm811542</t>
  </si>
  <si>
    <t>5fnyf3h42cb032027</t>
  </si>
  <si>
    <t>3fahp0jg2cr250747</t>
  </si>
  <si>
    <t>kmhdh4ae7cu384167</t>
  </si>
  <si>
    <t>2hgfg3b53ch552626</t>
  </si>
  <si>
    <t>19xfb2f53ce384838</t>
  </si>
  <si>
    <t>kmhdh4ae4cu324640</t>
  </si>
  <si>
    <t>km8ju3ac7cu328432</t>
  </si>
  <si>
    <t>jn1dv6ap6cm813098</t>
  </si>
  <si>
    <t>jn1dv6apxcm813007</t>
  </si>
  <si>
    <t>jn1dv6ap7cm810825</t>
  </si>
  <si>
    <t>1hgcp2f37ca141511</t>
  </si>
  <si>
    <t>19xfb2f51ce310351</t>
  </si>
  <si>
    <t>kmhdh4aexcu364575</t>
  </si>
  <si>
    <t>1hgcp2f62ca033324</t>
  </si>
  <si>
    <t>5npec4ab3ch424574</t>
  </si>
  <si>
    <t>Crosstour</t>
  </si>
  <si>
    <t>5j6tf1h57cl001628</t>
  </si>
  <si>
    <t>kmhgc4dd8cu158072</t>
  </si>
  <si>
    <t>3fahp0ha8cr262452</t>
  </si>
  <si>
    <t>1hgcp2f45ca052366</t>
  </si>
  <si>
    <t>19xfb2f57ce303128</t>
  </si>
  <si>
    <t>kmhgc4ddxcu163239</t>
  </si>
  <si>
    <t>Transit Connect</t>
  </si>
  <si>
    <t>Cargo Van XLT</t>
  </si>
  <si>
    <t>nm0ls7bn9ct088250</t>
  </si>
  <si>
    <t>Wed Dec 17 2014 15:00:00 GMT-0800 (PST)</t>
  </si>
  <si>
    <t>jn1dv6ap9cm810079</t>
  </si>
  <si>
    <t>kmhgc4dd7cu153669</t>
  </si>
  <si>
    <t>GMC</t>
  </si>
  <si>
    <t>Terrain</t>
  </si>
  <si>
    <t>SLE-2</t>
  </si>
  <si>
    <t>2gkalsekxc6314076</t>
  </si>
  <si>
    <t>3fahp0jg7cr212205</t>
  </si>
  <si>
    <t>5xyzh4ag9cg121238</t>
  </si>
  <si>
    <t>jhlrm3h74cc010308</t>
  </si>
  <si>
    <t>19xfb2f5xce366482</t>
  </si>
  <si>
    <t>2hgfb2f83ch522507</t>
  </si>
  <si>
    <t>repo remarketing/central state credit union</t>
  </si>
  <si>
    <t>kmhct5ae5cu018014</t>
  </si>
  <si>
    <t>jn1dv6ap4cm813052</t>
  </si>
  <si>
    <t>1hgcp2f66ca047467</t>
  </si>
  <si>
    <t>3fahp0ga6cr345587</t>
  </si>
  <si>
    <t>3fahp0ja3cr365434</t>
  </si>
  <si>
    <t>1hgcp2f82ca110484</t>
  </si>
  <si>
    <t>5fnrl5h60cb003457</t>
  </si>
  <si>
    <t>kmhdh4ae4cu263001</t>
  </si>
  <si>
    <t>1zvbp8em9c5273358</t>
  </si>
  <si>
    <t>kmhfh4jgxca123689</t>
  </si>
  <si>
    <t>north county hyundai</t>
  </si>
  <si>
    <t>3fahp0ha3cr291860</t>
  </si>
  <si>
    <t>kmhdh4ae0cu324537</t>
  </si>
  <si>
    <t>3fahp0ha7cr401258</t>
  </si>
  <si>
    <t>1hgcs1b33ca001860</t>
  </si>
  <si>
    <t>3fahp0haxcr381264</t>
  </si>
  <si>
    <t>1hgcp2f39ca103262</t>
  </si>
  <si>
    <t>jn1dv6ap2cm813101</t>
  </si>
  <si>
    <t>Taurus</t>
  </si>
  <si>
    <t>1fahp2ew4cg120134</t>
  </si>
  <si>
    <t>jn1dv6ap9cm811555</t>
  </si>
  <si>
    <t>5fnyf3h25cb039536</t>
  </si>
  <si>
    <t>5fnyf4h91cb041576</t>
  </si>
  <si>
    <t>1hgcp2f36ca040749</t>
  </si>
  <si>
    <t>5fnyf3h56cb028393</t>
  </si>
  <si>
    <t>1fahp2dwxcg136193</t>
  </si>
  <si>
    <t>5npeb4ac2ch392101</t>
  </si>
  <si>
    <t>3fahp0ja4cr334676</t>
  </si>
  <si>
    <t>19xfb2f56ce335830</t>
  </si>
  <si>
    <t>5fnyf3h52cb009680</t>
  </si>
  <si>
    <t>G37</t>
  </si>
  <si>
    <t>jn1cv6ek8cm423176</t>
  </si>
  <si>
    <t>3fahp0ja2cr199410</t>
  </si>
  <si>
    <t>19xfb2f55ce326262</t>
  </si>
  <si>
    <t>kmhec4a40ca060750</t>
  </si>
  <si>
    <t>kmhgc4dd6cu201906</t>
  </si>
  <si>
    <t>km8ju3ac7cu342721</t>
  </si>
  <si>
    <t>G Convertible</t>
  </si>
  <si>
    <t>jn1cv6fe3cm200777</t>
  </si>
  <si>
    <t>1zvbp8am1c5278897</t>
  </si>
  <si>
    <t>3fahp0ja0cr238558</t>
  </si>
  <si>
    <t>5fnrl5h6xcb045814</t>
  </si>
  <si>
    <t>1hgcp2f38ca215423</t>
  </si>
  <si>
    <t>5fnyf3h43cb016418</t>
  </si>
  <si>
    <t>1hgcp2f66ca042222</t>
  </si>
  <si>
    <t>5fnyf3h57cb025342</t>
  </si>
  <si>
    <t>1hgcp2f65ca220069</t>
  </si>
  <si>
    <t>5npeb4ac3ch290449</t>
  </si>
  <si>
    <t>jn1dv6ap3cm813009</t>
  </si>
  <si>
    <t>3fahp0jaxcr146051</t>
  </si>
  <si>
    <t>3fahp0ha5cr238545</t>
  </si>
  <si>
    <t>1hgcp2f69ca039766</t>
  </si>
  <si>
    <t>5npeb4ac8ch376601</t>
  </si>
  <si>
    <t>3fahp0hg4cr305639</t>
  </si>
  <si>
    <t>1zvbp8em3c5273324</t>
  </si>
  <si>
    <t>kmhgc4dd2cu159668</t>
  </si>
  <si>
    <t>jn1dv6ap4cm812693</t>
  </si>
  <si>
    <t>5fnyf3h99cb009193</t>
  </si>
  <si>
    <t>5npec4ac5ch396608</t>
  </si>
  <si>
    <t>1zvbp8am1c5212091</t>
  </si>
  <si>
    <t>1hgcp2f87ca065414</t>
  </si>
  <si>
    <t>1zvbp8ff1c5262211</t>
  </si>
  <si>
    <t>kmhct4ae4cu132368</t>
  </si>
  <si>
    <t>5npeb4ac8ch421391</t>
  </si>
  <si>
    <t>1hgcp2f65ca245389</t>
  </si>
  <si>
    <t>1hgcp2f68ca026944</t>
  </si>
  <si>
    <t>5npeb4ac7ch368554</t>
  </si>
  <si>
    <t>2hgfb2f56ch546404</t>
  </si>
  <si>
    <t>2hgfg3b52ch516894</t>
  </si>
  <si>
    <t>1hgcp2f44ca017057</t>
  </si>
  <si>
    <t>kmhgc4dd8cu171159</t>
  </si>
  <si>
    <t>5fnrl5h22cb004798</t>
  </si>
  <si>
    <t>kmhdh4ae2cu281450</t>
  </si>
  <si>
    <t>2hgfg3b50ch530888</t>
  </si>
  <si>
    <t>jn1dv6ap6cm813070</t>
  </si>
  <si>
    <t>2hgfb2f80ch320417</t>
  </si>
  <si>
    <t>19xfb2f90ce329122</t>
  </si>
  <si>
    <t>5npdh4ae0ch065420</t>
  </si>
  <si>
    <t>kmhfg4jg9ca155326</t>
  </si>
  <si>
    <t>1hgcp2f65ca058119</t>
  </si>
  <si>
    <t>3fahp0jaxcr262804</t>
  </si>
  <si>
    <t>donlen corporation</t>
  </si>
  <si>
    <t>3fahp0ha4cr310450</t>
  </si>
  <si>
    <t>5npeb4ac4ch396389</t>
  </si>
  <si>
    <t>2hgfg3b89ch515431</t>
  </si>
  <si>
    <t>3fadp0l39cr226339</t>
  </si>
  <si>
    <t>5fnrl5h41cb073757</t>
  </si>
  <si>
    <t>3fahp0ha4cr176880</t>
  </si>
  <si>
    <t>1hgcp2f63ca045143</t>
  </si>
  <si>
    <t>kmhgc4dd7cu191208</t>
  </si>
  <si>
    <t>jn1dv6ap2cm810117</t>
  </si>
  <si>
    <t>19xfb2f89ce349795</t>
  </si>
  <si>
    <t>kmhcu4ae2cu137324</t>
  </si>
  <si>
    <t>1fahp2ew8cg143769</t>
  </si>
  <si>
    <t>1hgcp3f88ca039488</t>
  </si>
  <si>
    <t>nm0ls7bn1ct108619</t>
  </si>
  <si>
    <t>1fahp2dw5cg120127</t>
  </si>
  <si>
    <t>5npeb4ac5ch495089</t>
  </si>
  <si>
    <t>5j6tf1h50cl000661</t>
  </si>
  <si>
    <t>2hgfb2f5xch584427</t>
  </si>
  <si>
    <t>FX35</t>
  </si>
  <si>
    <t>jn8as1mwxcm153862</t>
  </si>
  <si>
    <t>5j6tf1h52cl001116</t>
  </si>
  <si>
    <t>5npdh4ae1ch094702</t>
  </si>
  <si>
    <t>5npec4ac4ch374812</t>
  </si>
  <si>
    <t>jn1cv6fe1cm200356</t>
  </si>
  <si>
    <t>jn1dv6ap0cm701073</t>
  </si>
  <si>
    <t>jn1dv6ap0cm813016</t>
  </si>
  <si>
    <t>Yukon</t>
  </si>
  <si>
    <t>Denali</t>
  </si>
  <si>
    <t>1gks1eef3cr155968</t>
  </si>
  <si>
    <t>jn1cv6ek6cm423192</t>
  </si>
  <si>
    <t>kmhgc4dd6cu193175</t>
  </si>
  <si>
    <t>Thu Feb 05 2015 03:30:00 GMT-0800 (PST)</t>
  </si>
  <si>
    <t>Veracruz</t>
  </si>
  <si>
    <t>km8nu4ccxcu197873</t>
  </si>
  <si>
    <t>5fnrl5h96cb012352</t>
  </si>
  <si>
    <t>HF</t>
  </si>
  <si>
    <t>2hgfb2f6xch319922</t>
  </si>
  <si>
    <t>2hgfb2f58ch316749</t>
  </si>
  <si>
    <t>jn1dv6ap1cm810500</t>
  </si>
  <si>
    <t>2hgfg3b54ch527833</t>
  </si>
  <si>
    <t>1hgcp2f67ca075519</t>
  </si>
  <si>
    <t>wddgf4hb2ca599921</t>
  </si>
  <si>
    <t>jn1cv6ap6cm936458</t>
  </si>
  <si>
    <t>wmwzf3c5xct188993</t>
  </si>
  <si>
    <t>jn1cv6ap7cm931902</t>
  </si>
  <si>
    <t>wmwzf3c59ct189374</t>
  </si>
  <si>
    <t>wmwsu3c54ct543907</t>
  </si>
  <si>
    <t>knafu4a25c5582848</t>
  </si>
  <si>
    <t>XJ</t>
  </si>
  <si>
    <t>sajwa2gb4clv25237</t>
  </si>
  <si>
    <t>wmwsu3c57ct257016</t>
  </si>
  <si>
    <t>jn1cv6apxcm623350</t>
  </si>
  <si>
    <t>E350 Luxury</t>
  </si>
  <si>
    <t>wddhf5kb8ca568532</t>
  </si>
  <si>
    <t>Liberty</t>
  </si>
  <si>
    <t>1c4pjlak9cw151871</t>
  </si>
  <si>
    <t>toyota scion of downtown la</t>
  </si>
  <si>
    <t>IS 250</t>
  </si>
  <si>
    <t>jthbf5c28c5159629</t>
  </si>
  <si>
    <t>Wed Jan 07 2015 13:00:00 GMT-0800 (PST)</t>
  </si>
  <si>
    <t>wmwsu3c53ct258129</t>
  </si>
  <si>
    <t>jn1cv6ap8cm624688</t>
  </si>
  <si>
    <t>salag2d45ca597047</t>
  </si>
  <si>
    <t>land rover redwood city</t>
  </si>
  <si>
    <t>wmwzb3c57cwm04986</t>
  </si>
  <si>
    <t>XK</t>
  </si>
  <si>
    <t>XKR</t>
  </si>
  <si>
    <t>sajwa4ec4cmb47263</t>
  </si>
  <si>
    <t>jthbf5c2xc5165951</t>
  </si>
  <si>
    <t>QX</t>
  </si>
  <si>
    <t>QX56</t>
  </si>
  <si>
    <t>jn8az2nf9c9517627</t>
  </si>
  <si>
    <t>dutton motor co</t>
  </si>
  <si>
    <t>2t2zk1ba0cc067913</t>
  </si>
  <si>
    <t>bell lexus</t>
  </si>
  <si>
    <t>jn1cv6ap0cm629805</t>
  </si>
  <si>
    <t>jn1cv6ek4cm424146</t>
  </si>
  <si>
    <t>wmwsu3c52ct256713</t>
  </si>
  <si>
    <t>CT 200h</t>
  </si>
  <si>
    <t>jthkd5bh6c2094275</t>
  </si>
  <si>
    <t>1c4hjwdg9cl227569</t>
  </si>
  <si>
    <t>wmwsu3c59ct256336</t>
  </si>
  <si>
    <t>Mazda6</t>
  </si>
  <si>
    <t>1yvhz8dh4c5m35208</t>
  </si>
  <si>
    <t>MKZ</t>
  </si>
  <si>
    <t>3lnhl2gc3cr814701</t>
  </si>
  <si>
    <t>2t2zk1ba0cc077423</t>
  </si>
  <si>
    <t>5xykt3a13cg279841</t>
  </si>
  <si>
    <t>wmwzg3c51cty32037</t>
  </si>
  <si>
    <t>Navigator</t>
  </si>
  <si>
    <t>5lmjj2j53cel03507</t>
  </si>
  <si>
    <t>wmwsu3c57ct254519</t>
  </si>
  <si>
    <t>XJL Supercharged</t>
  </si>
  <si>
    <t>sajwa2ge4cmv26361</t>
  </si>
  <si>
    <t>2t2bk1ba5cc146110</t>
  </si>
  <si>
    <t>century dealer services corp</t>
  </si>
  <si>
    <t>jn1cv6ap5cm930375</t>
  </si>
  <si>
    <t>knafw5a33c5593985</t>
  </si>
  <si>
    <t>kndpc3a21c7247742</t>
  </si>
  <si>
    <t>i Grand Touring</t>
  </si>
  <si>
    <t>1yvhz8ch9c5m09768</t>
  </si>
  <si>
    <t>wmwsu3c59ct259088</t>
  </si>
  <si>
    <t>5lmjj2j57cel00156</t>
  </si>
  <si>
    <t>wmwsu3c5xct256359</t>
  </si>
  <si>
    <t>Laredo</t>
  </si>
  <si>
    <t>1c4rjeag0cc116413</t>
  </si>
  <si>
    <t>2t2zk1ba5cc069236</t>
  </si>
  <si>
    <t>lease remarketing services inc</t>
  </si>
  <si>
    <t>wmwsu3c51ct184970</t>
  </si>
  <si>
    <t>1c4bjwdg4cl192882</t>
  </si>
  <si>
    <t>jthbf5c25c5169633</t>
  </si>
  <si>
    <t>sajwa1cb8clv28495</t>
  </si>
  <si>
    <t>wmwsu3c55ct256804</t>
  </si>
  <si>
    <t>sajwa4ec0cmb46109</t>
  </si>
  <si>
    <t>jn1cv6ar1cm673846</t>
  </si>
  <si>
    <t>Thu Feb 19 2015 11:30:00 GMT-0800 (PST)</t>
  </si>
  <si>
    <t>jn1cv6ap8cm620642</t>
  </si>
  <si>
    <t>wmwzg3c51cty37657</t>
  </si>
  <si>
    <t>wddgf4hb2ca657803</t>
  </si>
  <si>
    <t>elad motors</t>
  </si>
  <si>
    <t>jn1cv6ap4cm622002</t>
  </si>
  <si>
    <t>M35h</t>
  </si>
  <si>
    <t>jn1ey1ap8cm910589</t>
  </si>
  <si>
    <t>sajwa4fb2clb47841</t>
  </si>
  <si>
    <t>wddkk5kf8cf165819</t>
  </si>
  <si>
    <t>jn1cv6ap2cm627697</t>
  </si>
  <si>
    <t>wmwsu3c53ct185814</t>
  </si>
  <si>
    <t>wddgf4hbxcr216065</t>
  </si>
  <si>
    <t>wmwsv3c52ct385841</t>
  </si>
  <si>
    <t>jn1cv6ap4cm931985</t>
  </si>
  <si>
    <t>jn1by1ap5cm332129</t>
  </si>
  <si>
    <t>Portfolio</t>
  </si>
  <si>
    <t>sajwa0hb0cls24919</t>
  </si>
  <si>
    <t>jn1by1ap1cm332208</t>
  </si>
  <si>
    <t>jm3tb3cvxc0358928</t>
  </si>
  <si>
    <t>jn1by1ap7cm333976</t>
  </si>
  <si>
    <t>kndpc3a25c7335550</t>
  </si>
  <si>
    <t>wddkj5kb7cf139695</t>
  </si>
  <si>
    <t>jn1by1ap1cm331995</t>
  </si>
  <si>
    <t>wmwsu3c52ct367469</t>
  </si>
  <si>
    <t>wmwsu3c53ct255652</t>
  </si>
  <si>
    <t>jm1bl1ug0c1554005</t>
  </si>
  <si>
    <t>5xykt3a64cg309425</t>
  </si>
  <si>
    <t>wmwsu3c57ct259784</t>
  </si>
  <si>
    <t>wmwsu3c52ct261510</t>
  </si>
  <si>
    <t>wddgf4hbxca673179</t>
  </si>
  <si>
    <t>knafw4a3xc5550402</t>
  </si>
  <si>
    <t>remarketing by ge/southern california financial</t>
  </si>
  <si>
    <t>Range Rover</t>
  </si>
  <si>
    <t>HSE</t>
  </si>
  <si>
    <t>salme1d45ca360653</t>
  </si>
  <si>
    <t>sajwa0hb5cls22759</t>
  </si>
  <si>
    <t>jaguar land rover thousand oaks</t>
  </si>
  <si>
    <t>jn1cv6ap2cm933184</t>
  </si>
  <si>
    <t>S ALL4</t>
  </si>
  <si>
    <t>wmwzc5c52cwl56077</t>
  </si>
  <si>
    <t>jn1cv6ek2cm422587</t>
  </si>
  <si>
    <t>5xykt3a69cg304916</t>
  </si>
  <si>
    <t>wmwzp3c50ct250544</t>
  </si>
  <si>
    <t>jn1cv6ap0cm620196</t>
  </si>
  <si>
    <t>5xxgr4a62cg078250</t>
  </si>
  <si>
    <t>wmwsu3c5xct256149</t>
  </si>
  <si>
    <t>jn1by1ap0cm332278</t>
  </si>
  <si>
    <t>1c4rjeag5cc212439</t>
  </si>
  <si>
    <t>wmwsv3c58cty26856</t>
  </si>
  <si>
    <t>sajwa0fb3cls57383</t>
  </si>
  <si>
    <t>Koup EX</t>
  </si>
  <si>
    <t>Koup</t>
  </si>
  <si>
    <t>knafu6a20c5640974</t>
  </si>
  <si>
    <t>SL-Class</t>
  </si>
  <si>
    <t>SL550</t>
  </si>
  <si>
    <t>wdbsk7baxcf169427</t>
  </si>
  <si>
    <t>mercedes benz of bakersfield</t>
  </si>
  <si>
    <t>wmwsu3c54ct258074</t>
  </si>
  <si>
    <t>5xxgr4a61cg029248</t>
  </si>
  <si>
    <t>wmwsu3c55ct261906</t>
  </si>
  <si>
    <t>jn1cv6apxcm622361</t>
  </si>
  <si>
    <t>2t2zk1ba6cc078821</t>
  </si>
  <si>
    <t>jn1cv6apxcm624031</t>
  </si>
  <si>
    <t>wddgf4hb8ca631285</t>
  </si>
  <si>
    <t>1yvhz8bh5c5m05184</t>
  </si>
  <si>
    <t>wmwsu3c52ct184718</t>
  </si>
  <si>
    <t>wddgf4hb8ca613028</t>
  </si>
  <si>
    <t>jn1cv6ap4cm621786</t>
  </si>
  <si>
    <t>wmwzn3c52ct134090</t>
  </si>
  <si>
    <t>kndjt2a50c7391664</t>
  </si>
  <si>
    <t>sajwa1cb1clv27432</t>
  </si>
  <si>
    <t>jm1bl1ugxc1528639</t>
  </si>
  <si>
    <t>wddhf5kb4ca658244</t>
  </si>
  <si>
    <t>jn1cv6ap6cm624785</t>
  </si>
  <si>
    <t>wmwzn3c53ct133983</t>
  </si>
  <si>
    <t>wddhf5kb5ca575132</t>
  </si>
  <si>
    <t>wmwsx3c51ct154746</t>
  </si>
  <si>
    <t>s Touring</t>
  </si>
  <si>
    <t>jm1bl1l60c1505590</t>
  </si>
  <si>
    <t>jn1cv6ek2cm422640</t>
  </si>
  <si>
    <t>jn1cv6ap1cm623267</t>
  </si>
  <si>
    <t>Supercharged</t>
  </si>
  <si>
    <t>sajwa1ge9cmv34031</t>
  </si>
  <si>
    <t>2t2zk1ba0cc079964</t>
  </si>
  <si>
    <t>jn1cv6ek9cm420190</t>
  </si>
  <si>
    <t>jn1by1ap7cm331094</t>
  </si>
  <si>
    <t>jn1cv6ap5cm623000</t>
  </si>
  <si>
    <t>Sedona</t>
  </si>
  <si>
    <t>kndmg4c78c6477824</t>
  </si>
  <si>
    <t>jn1by1ap4cm332641</t>
  </si>
  <si>
    <t>wddkk5kf3cf164464</t>
  </si>
  <si>
    <t>jn1cv6ap0cm627388</t>
  </si>
  <si>
    <t>jn1cv6ek9cm422005</t>
  </si>
  <si>
    <t>wmwsu3c58ct185503</t>
  </si>
  <si>
    <t>a and a auto mart inc</t>
  </si>
  <si>
    <t>jthbf5c25c5181152</t>
  </si>
  <si>
    <t>wmwsu3c5xct255549</t>
  </si>
  <si>
    <t>jthbf5c24c5160616</t>
  </si>
  <si>
    <t>kndjt2a57c7432856</t>
  </si>
  <si>
    <t>1c4bjwdg7cl197008</t>
  </si>
  <si>
    <t>salsf2d47ca720225</t>
  </si>
  <si>
    <t>wmwsu3c57ct258585</t>
  </si>
  <si>
    <t>5xxgr4a63cg001290</t>
  </si>
  <si>
    <t>jn1by1ap7cm332021</t>
  </si>
  <si>
    <t>wmwsu3c55ct261971</t>
  </si>
  <si>
    <t>jm1bl1l8xc1612096</t>
  </si>
  <si>
    <t>knagm4ad3c5030092</t>
  </si>
  <si>
    <t>jn8az2nf2c9515492</t>
  </si>
  <si>
    <t>jn1cv6ap4cm626714</t>
  </si>
  <si>
    <t>5xxgm4a75cg027509</t>
  </si>
  <si>
    <t>wddgf4hb6cr221246</t>
  </si>
  <si>
    <t>jn1cv6ek5cm424009</t>
  </si>
  <si>
    <t>jn1cv6ap8cm629275</t>
  </si>
  <si>
    <t>jn1cv6ap4cm620895</t>
  </si>
  <si>
    <t>1c4bjwdg6cl192916</t>
  </si>
  <si>
    <t>jn1cv6ap6cm621711</t>
  </si>
  <si>
    <t>wmwsu3c51ct185066</t>
  </si>
  <si>
    <t>wmwsu3c54ct263100</t>
  </si>
  <si>
    <t>jn1by1ap2cm332637</t>
  </si>
  <si>
    <t>sajwa1cb2clv28735</t>
  </si>
  <si>
    <t>jthbk1eg6c2490790</t>
  </si>
  <si>
    <t>sajwa0hb3cls59258</t>
  </si>
  <si>
    <t>jm1bl1v89c1673274</t>
  </si>
  <si>
    <t>kndjt2a57c7389362</t>
  </si>
  <si>
    <t>wmwsv3c50cty18198</t>
  </si>
  <si>
    <t>wmwsv3c53cty25954</t>
  </si>
  <si>
    <t>3lnhl2gc1cr814700</t>
  </si>
  <si>
    <t>jn1cv6ar1cm673295</t>
  </si>
  <si>
    <t>knagm4adxc5024323</t>
  </si>
  <si>
    <t>knagm4ad8c5031853</t>
  </si>
  <si>
    <t>wmwsx1c5xct163613</t>
  </si>
  <si>
    <t>5xxgr4a68cg001060</t>
  </si>
  <si>
    <t>Tue May 19 2015 05:00:00 GMT-0700 (PDT)</t>
  </si>
  <si>
    <t>jn1cv6ekxcm420585</t>
  </si>
  <si>
    <t>wmwzb3c58cwm05077</t>
  </si>
  <si>
    <t>wddhf5kb2ca594172</t>
  </si>
  <si>
    <t>jn1by1ap7cm330656</t>
  </si>
  <si>
    <t>jn1cv6ek0cm421759</t>
  </si>
  <si>
    <t>jthbf5c28c5160859</t>
  </si>
  <si>
    <t>jn1cv6ek7cm420415</t>
  </si>
  <si>
    <t>salmf1e46ca360169</t>
  </si>
  <si>
    <t>jm1cw2bl0c0109917</t>
  </si>
  <si>
    <t>kndjt2a5xc7430888</t>
  </si>
  <si>
    <t>jthbk1eg5c2475682</t>
  </si>
  <si>
    <t>jthbf5c26c5162917</t>
  </si>
  <si>
    <t>jn1cv6ap0cm624670</t>
  </si>
  <si>
    <t>M37x</t>
  </si>
  <si>
    <t>jn1by1ar9cm390553</t>
  </si>
  <si>
    <t>jn1cv6ap8cm622956</t>
  </si>
  <si>
    <t>5xykw4a2xcg255560</t>
  </si>
  <si>
    <t>jn1cv6ap8cm620401</t>
  </si>
  <si>
    <t>jn1cv6ap3cm625473</t>
  </si>
  <si>
    <t>1c4pjmak5cw183626</t>
  </si>
  <si>
    <t>jn1cv6ap6cm934600</t>
  </si>
  <si>
    <t>jn1cv6ap7cm932340</t>
  </si>
  <si>
    <t>jn1by1ar3cm392623</t>
  </si>
  <si>
    <t>wmwsu3c58ct256733</t>
  </si>
  <si>
    <t>jn1by1ap5cm332499</t>
  </si>
  <si>
    <t>jn1cv6ap7cm622933</t>
  </si>
  <si>
    <t>jn1cv6ek1cm422290</t>
  </si>
  <si>
    <t>jn1cv6ek4cm422185</t>
  </si>
  <si>
    <t>IS 350</t>
  </si>
  <si>
    <t>jthbe5c27c5029117</t>
  </si>
  <si>
    <t>jm1bl1v88c1676117</t>
  </si>
  <si>
    <t>jn1cv6ap0cm620392</t>
  </si>
  <si>
    <t>wmwsu3c56ct257122</t>
  </si>
  <si>
    <t>wddgf4hb8cr233513</t>
  </si>
  <si>
    <t>salmf1e48ca360609</t>
  </si>
  <si>
    <t>wmwsu3c53ct185196</t>
  </si>
  <si>
    <t>jn1by1ap1cm332581</t>
  </si>
  <si>
    <t>1c4pjlak5cw208177</t>
  </si>
  <si>
    <t>remarketing by ge/mission fcu</t>
  </si>
  <si>
    <t>wmwsu3c56ct257413</t>
  </si>
  <si>
    <t>jn1by1ar2cm390295</t>
  </si>
  <si>
    <t>sajwa0fb6cls22675</t>
  </si>
  <si>
    <t>wmwsu3c55ct256009</t>
  </si>
  <si>
    <t>wddhf5kb3ca561858</t>
  </si>
  <si>
    <t>Patriot</t>
  </si>
  <si>
    <t>1c4njpbb6cd528245</t>
  </si>
  <si>
    <t>remarketing by ge/xpress rent a car</t>
  </si>
  <si>
    <t>jn1cv6ap2cm623102</t>
  </si>
  <si>
    <t>knafu4a20c5501478</t>
  </si>
  <si>
    <t>wddgf4hbxcr213327</t>
  </si>
  <si>
    <t>jn1cv6ap2cm620734</t>
  </si>
  <si>
    <t>kndmg4c7xc6479574</t>
  </si>
  <si>
    <t>wmwsu3c53ct263928</t>
  </si>
  <si>
    <t>jn1by1ap1cm331687</t>
  </si>
  <si>
    <t>5lmjj3h53cel07987</t>
  </si>
  <si>
    <t>salsf2d49ca718718</t>
  </si>
  <si>
    <t>wmwsv3c50cty25460</t>
  </si>
  <si>
    <t>jn1cv6ap1cm627934</t>
  </si>
  <si>
    <t>jm1bl1ug0c1525605</t>
  </si>
  <si>
    <t>1n4al2apxcn433082</t>
  </si>
  <si>
    <t>wddng7db7ca436127</t>
  </si>
  <si>
    <t>mitsubishi</t>
  </si>
  <si>
    <t>galant</t>
  </si>
  <si>
    <t>fe</t>
  </si>
  <si>
    <t>4a32b2ff6ce016184</t>
  </si>
  <si>
    <t>3n1ab6ap1cl763961</t>
  </si>
  <si>
    <t>autonet trading</t>
  </si>
  <si>
    <t>Wed Feb 25 2015 04:30:00 GMT-0800 (PST)</t>
  </si>
  <si>
    <t>wdbsk7ba3cf169124</t>
  </si>
  <si>
    <t>sports trend auto sales</t>
  </si>
  <si>
    <t>1.8 S</t>
  </si>
  <si>
    <t>3n1bc1cp1cl373279</t>
  </si>
  <si>
    <t>jn1az0cp8ct015709</t>
  </si>
  <si>
    <t>1n4al2apxcn440467</t>
  </si>
  <si>
    <t>Ram</t>
  </si>
  <si>
    <t>R/T</t>
  </si>
  <si>
    <t>3c6jd6ct4cg277128</t>
  </si>
  <si>
    <t>1n4al2ap5cn547233</t>
  </si>
  <si>
    <t>sama california auto export inc</t>
  </si>
  <si>
    <t>ST</t>
  </si>
  <si>
    <t>3c6jd6ak6cg143165</t>
  </si>
  <si>
    <t>1n4al2ap5cn454566</t>
  </si>
  <si>
    <t>3n1bc1cp1ck816312</t>
  </si>
  <si>
    <t>1n4al2ap7cn400752</t>
  </si>
  <si>
    <t>3n1ab6ap8cl622983</t>
  </si>
  <si>
    <t>4t1bk3db3cu449763</t>
  </si>
  <si>
    <t>rd cars</t>
  </si>
  <si>
    <t>1n4aa5ap0cc842808</t>
  </si>
  <si>
    <t>4a32b2ff0ce016262</t>
  </si>
  <si>
    <t>4a32b2ff5ce008853</t>
  </si>
  <si>
    <t>1n4al2ap5cn576568</t>
  </si>
  <si>
    <t>3n1bc1cp8ck806330</t>
  </si>
  <si>
    <t>1n4al2ap8cn467277</t>
  </si>
  <si>
    <t>Fri Dec 26 2014 12:00:00 GMT-0800 (PST)</t>
  </si>
  <si>
    <t>1n4al2ap0cc137726</t>
  </si>
  <si>
    <t>1n4al2ap6cn429658</t>
  </si>
  <si>
    <t>1n4al2ap3cc116675</t>
  </si>
  <si>
    <t>3n1bc1cp0ck808394</t>
  </si>
  <si>
    <t>1n4al2ap0cn450652</t>
  </si>
  <si>
    <t>3500 S</t>
  </si>
  <si>
    <t>1n6af0ly1cn102996</t>
  </si>
  <si>
    <t>1n4aa5ap5cc825311</t>
  </si>
  <si>
    <t>WRX</t>
  </si>
  <si>
    <t>jf1gr7e64cg236940</t>
  </si>
  <si>
    <t>4t1bd1fk6cu007829</t>
  </si>
  <si>
    <t>1n4al2ap2cn413411</t>
  </si>
  <si>
    <t>1n4al2ap6cn565692</t>
  </si>
  <si>
    <t>metro nissan of montclair</t>
  </si>
  <si>
    <t>3n1ab6ap5cl694787</t>
  </si>
  <si>
    <t>5n1aa0ne1cn611292</t>
  </si>
  <si>
    <t>GT-R</t>
  </si>
  <si>
    <t>Black Edition</t>
  </si>
  <si>
    <t>jn1ar5efxcm251015</t>
  </si>
  <si>
    <t>remarketing services of el paso</t>
  </si>
  <si>
    <t>jn1az0cp4ct025329</t>
  </si>
  <si>
    <t>ML350 4MATIC</t>
  </si>
  <si>
    <t>4jgda5hb3ca097478</t>
  </si>
  <si>
    <t>mercedes benz of ontario</t>
  </si>
  <si>
    <t>4jgda5hb2ca087296</t>
  </si>
  <si>
    <t>orange coast chrysler jeep dodge</t>
  </si>
  <si>
    <t>1n4al2ap2cn436963</t>
  </si>
  <si>
    <t>3n1bc1cp2ck279255</t>
  </si>
  <si>
    <t>4a32b2ff2ce023486</t>
  </si>
  <si>
    <t>4jgbf7be9ca782589</t>
  </si>
  <si>
    <t>jn1az0cp7ct015796</t>
  </si>
  <si>
    <t>4jgbf7bexca783234</t>
  </si>
  <si>
    <t>wp1aa2a25cla01045</t>
  </si>
  <si>
    <t>5n1aa0nc8cn607416</t>
  </si>
  <si>
    <t>1n4al2ap8cc153673</t>
  </si>
  <si>
    <t>wp0ad2a76cl045477</t>
  </si>
  <si>
    <t>4t1bf1fk6cu084288</t>
  </si>
  <si>
    <t>1n4al2ap8cc153415</t>
  </si>
  <si>
    <t>2.5X Touring PZEV</t>
  </si>
  <si>
    <t>jf2shabc9ch423486</t>
  </si>
  <si>
    <t>SLT</t>
  </si>
  <si>
    <t>Quad Cab</t>
  </si>
  <si>
    <t>1c6rd6gp9cs100115</t>
  </si>
  <si>
    <t>1n4al2ap5cn442160</t>
  </si>
  <si>
    <t>wp0aa2a79cl012594</t>
  </si>
  <si>
    <t>downtown motors inc</t>
  </si>
  <si>
    <t>jtkjf5c76c3033122</t>
  </si>
  <si>
    <t>4jgbf7bexca779751</t>
  </si>
  <si>
    <t>1n4al2ap4cn404113</t>
  </si>
  <si>
    <t>1n4al2ep5cc226976</t>
  </si>
  <si>
    <t>wp1aa2a20cla03236</t>
  </si>
  <si>
    <t>rusnak pasadena jaguar sterling pasadena</t>
  </si>
  <si>
    <t>4a32b2ff1ce008333</t>
  </si>
  <si>
    <t>remarketing by ge/finance &amp; thrift company</t>
  </si>
  <si>
    <t>3n1ab6ap4cl679178</t>
  </si>
  <si>
    <t>S350 BlueTEC 4MATIC</t>
  </si>
  <si>
    <t>wddng8db9ca422512</t>
  </si>
  <si>
    <t>jtkjf5c7xc3027985</t>
  </si>
  <si>
    <t>cardinale gmc truck</t>
  </si>
  <si>
    <t>1n4al2ap8cc254986</t>
  </si>
  <si>
    <t>1n4al2ap9cc126546</t>
  </si>
  <si>
    <t>Mon Jan 06 2014 12:30:00 GMT-0800 (PST)</t>
  </si>
  <si>
    <t>3n1bc1cp8ck196087</t>
  </si>
  <si>
    <t>1n4al2ap2cc129546</t>
  </si>
  <si>
    <t>wddng8db9ca426754</t>
  </si>
  <si>
    <t>4jgbf7be6ca780900</t>
  </si>
  <si>
    <t>1n4al2ap8cn421206</t>
  </si>
  <si>
    <t>1c6rd6gp2cs155540</t>
  </si>
  <si>
    <t>riverside car store inc</t>
  </si>
  <si>
    <t>wddng7db1ca424913</t>
  </si>
  <si>
    <t>1n4al2ap5cn429618</t>
  </si>
  <si>
    <t>4jgbf7be4ca779566</t>
  </si>
  <si>
    <t>3c6ud5hl5cg142479</t>
  </si>
  <si>
    <t>1n4al2ap8cn474181</t>
  </si>
  <si>
    <t>3n1ab6ap7cl660012</t>
  </si>
  <si>
    <t>corona auto wholesale inc</t>
  </si>
  <si>
    <t>3n1ab6apxcl629997</t>
  </si>
  <si>
    <t>Carrera S (Midyear Redesign)</t>
  </si>
  <si>
    <t>wp0ab2a95cs121218</t>
  </si>
  <si>
    <t>1n4al2ap0cn424407</t>
  </si>
  <si>
    <t>1n4al2ap3cn402255</t>
  </si>
  <si>
    <t>jn1az0cp4ct026805</t>
  </si>
  <si>
    <t>1n4al2ap8cn428611</t>
  </si>
  <si>
    <t>1n4al2ap8cc150000</t>
  </si>
  <si>
    <t>1n4al2ap9cn499901</t>
  </si>
  <si>
    <t>1n4al2ap5cn458231</t>
  </si>
  <si>
    <t>4jgbf7be2ca778965</t>
  </si>
  <si>
    <t>3n1bc1cp3ck229013</t>
  </si>
  <si>
    <t>jn8as5mv8cw412187</t>
  </si>
  <si>
    <t>1n4al2ap1cn434122</t>
  </si>
  <si>
    <t>1n4al2ap4cn400496</t>
  </si>
  <si>
    <t>1n4al2ap8cc126876</t>
  </si>
  <si>
    <t>1n4al2ep7cc106371</t>
  </si>
  <si>
    <t>1n4al2ap6cn427568</t>
  </si>
  <si>
    <t>1n4al2apxcc125390</t>
  </si>
  <si>
    <t>wp0aa2a71cl010872</t>
  </si>
  <si>
    <t>prestige auto</t>
  </si>
  <si>
    <t>jtlze4fe6cj010019</t>
  </si>
  <si>
    <t>Tue Jan 06 2015 16:00:00 GMT-0800 (PST)</t>
  </si>
  <si>
    <t>wp1aa2a21cla00605</t>
  </si>
  <si>
    <t>porsche of hawaii</t>
  </si>
  <si>
    <t>1n4al2ap0cn510350</t>
  </si>
  <si>
    <t>Galant</t>
  </si>
  <si>
    <t>4a32b3ff8ce009274</t>
  </si>
  <si>
    <t>1n4al2ap6cc128710</t>
  </si>
  <si>
    <t>1n4al2ap5cn471724</t>
  </si>
  <si>
    <t>4t1bf1fkxcu022487</t>
  </si>
  <si>
    <t>1n4al2ap7cn406650</t>
  </si>
  <si>
    <t>1n6bd0ct2cc446833</t>
  </si>
  <si>
    <t>o'reilly auto parts</t>
  </si>
  <si>
    <t>1n4al2ap2cc130891</t>
  </si>
  <si>
    <t>1n4al2ap1cc177703</t>
  </si>
  <si>
    <t>E350 Luxury 4MATIC</t>
  </si>
  <si>
    <t>wddhf8jb4ca571916</t>
  </si>
  <si>
    <t>wddng7db5ca487674</t>
  </si>
  <si>
    <t>1n4al2ap9cn405239</t>
  </si>
  <si>
    <t>4t1bf1fk6cu095761</t>
  </si>
  <si>
    <t>1n4al2ap1cn460655</t>
  </si>
  <si>
    <t>ML350 BlueTEC</t>
  </si>
  <si>
    <t>4jgda2eb1ca025472</t>
  </si>
  <si>
    <t>1n4al2epxcc171389</t>
  </si>
  <si>
    <t>5n1aa0nc3cn607033</t>
  </si>
  <si>
    <t>1n4al2apxcn453946</t>
  </si>
  <si>
    <t>1n4al2ap8cc139112</t>
  </si>
  <si>
    <t>jn1az0cp7ct023963</t>
  </si>
  <si>
    <t>1n4al2ap2cc256166</t>
  </si>
  <si>
    <t>ja4ap4au5cz004435</t>
  </si>
  <si>
    <t>first investors servicing corp</t>
  </si>
  <si>
    <t>1n4al2ap9cn479356</t>
  </si>
  <si>
    <t>4jgbf7bexca781158</t>
  </si>
  <si>
    <t>1n4al2ap4cn421025</t>
  </si>
  <si>
    <t>ja4jt3aw8cu003302</t>
  </si>
  <si>
    <t>jn8as5mv0cw352146</t>
  </si>
  <si>
    <t>1n4al2apxcn403077</t>
  </si>
  <si>
    <t>1n4al2ap0cn419692</t>
  </si>
  <si>
    <t>jf1gv7e67cg024559</t>
  </si>
  <si>
    <t>prestige chrysler jeep dodge</t>
  </si>
  <si>
    <t>jn1az0cpxct017946</t>
  </si>
  <si>
    <t>mossy nissan oceanside</t>
  </si>
  <si>
    <t>jn1az0cp5ct016056</t>
  </si>
  <si>
    <t>1n4al2ap1cn499388</t>
  </si>
  <si>
    <t>1n4al2ap9cn417746</t>
  </si>
  <si>
    <t>3n1ab6ap1cl769100</t>
  </si>
  <si>
    <t>jn1az0cp0ct020919</t>
  </si>
  <si>
    <t>3n1bc1cp0ck815359</t>
  </si>
  <si>
    <t>jn8as5mt5cw259184</t>
  </si>
  <si>
    <t>1n4al2ap3cc158506</t>
  </si>
  <si>
    <t>1n4al2ap7cn429376</t>
  </si>
  <si>
    <t>2.5i Premium</t>
  </si>
  <si>
    <t>4s3bmcb6xc3029413</t>
  </si>
  <si>
    <t>4jgbf7be4ca778188</t>
  </si>
  <si>
    <t>ja4as3awxcu013364</t>
  </si>
  <si>
    <t>jn8as5mt0cw251381</t>
  </si>
  <si>
    <t>4jgbf7be7ca782669</t>
  </si>
  <si>
    <t>1n6ad0erxcc421224</t>
  </si>
  <si>
    <t>4jgda5hb6ca044788</t>
  </si>
  <si>
    <t>fletcher jones motorcars</t>
  </si>
  <si>
    <t>4jgbf7bexca782696</t>
  </si>
  <si>
    <t>1n4al2ep8cc191074</t>
  </si>
  <si>
    <t>phillips auto brokerage</t>
  </si>
  <si>
    <t>1n4al2ap5cc225980</t>
  </si>
  <si>
    <t>onemain rem/delta dealer</t>
  </si>
  <si>
    <t>4jgbf7be7ca773583</t>
  </si>
  <si>
    <t>1n4al2ap7cn417437</t>
  </si>
  <si>
    <t>jn8as5mt3cw291728</t>
  </si>
  <si>
    <t>1n4al2ap1cn482459</t>
  </si>
  <si>
    <t>1n4al2ap1cn418275</t>
  </si>
  <si>
    <t>jn1az0cp4ct023001</t>
  </si>
  <si>
    <t>jn1az0cp1ct016331</t>
  </si>
  <si>
    <t>3n1ab6ap3cl625581</t>
  </si>
  <si>
    <t>1n4al2ap3cc216730</t>
  </si>
  <si>
    <t>1n4al2ap9cn453999</t>
  </si>
  <si>
    <t>4jgbf7be8ca778985</t>
  </si>
  <si>
    <t>4jgbf7be5ca780127</t>
  </si>
  <si>
    <t>1n4aa5ap2cc808904</t>
  </si>
  <si>
    <t>ML63 AMG</t>
  </si>
  <si>
    <t>4jgda7eb0ca049551</t>
  </si>
  <si>
    <t>4jgbf7be1ca778875</t>
  </si>
  <si>
    <t>4t1bf1fkxcu063573</t>
  </si>
  <si>
    <t>1n4al2ap3cn432632</t>
  </si>
  <si>
    <t>1n4al2ap3cc259271</t>
  </si>
  <si>
    <t>remarketing by ge/manheim california</t>
  </si>
  <si>
    <t>1.6 S</t>
  </si>
  <si>
    <t>3n1cn7ap0cl945298</t>
  </si>
  <si>
    <t>jn1az0cp3ct023930</t>
  </si>
  <si>
    <t>1n4al2ap9cn412028</t>
  </si>
  <si>
    <t>1c6rd6gp8cs225557</t>
  </si>
  <si>
    <t>symbolic motor cars</t>
  </si>
  <si>
    <t>1n4al2ap3cn429617</t>
  </si>
  <si>
    <t>3n1cn7ap7cl866033</t>
  </si>
  <si>
    <t>smart</t>
  </si>
  <si>
    <t>fortwo</t>
  </si>
  <si>
    <t>passion coupe</t>
  </si>
  <si>
    <t>wmeej3baxck524809</t>
  </si>
  <si>
    <t>1n4al2ap3cn413739</t>
  </si>
  <si>
    <t>4a32b2ff9ce018740</t>
  </si>
  <si>
    <t>1n4al2ap7cn432892</t>
  </si>
  <si>
    <t>wbake3c57be768905</t>
  </si>
  <si>
    <t>wbadx7c58be743926</t>
  </si>
  <si>
    <t>wbaph5c59bf093304</t>
  </si>
  <si>
    <t>wbaph5g55bnm79007</t>
  </si>
  <si>
    <t>wbaph7c53be850277</t>
  </si>
  <si>
    <t>wbafu7c57bdu54138</t>
  </si>
  <si>
    <t>2.0T Premium</t>
  </si>
  <si>
    <t>wauafafl9bn013374</t>
  </si>
  <si>
    <t>5yfbu4ee9cp048910</t>
  </si>
  <si>
    <t>GLI</t>
  </si>
  <si>
    <t>Autobahn PZEV</t>
  </si>
  <si>
    <t>3vw4a7aj0cm016826</t>
  </si>
  <si>
    <t>wbapm5c52be578482</t>
  </si>
  <si>
    <t>wbaph5g55bnm83168</t>
  </si>
  <si>
    <t>wbaph7c51be683532</t>
  </si>
  <si>
    <t>Three</t>
  </si>
  <si>
    <t>jtdkn3du4c1536019</t>
  </si>
  <si>
    <t>turquoise</t>
  </si>
  <si>
    <t>wbapm5c59be578799</t>
  </si>
  <si>
    <t>yv1622fsxc2098367</t>
  </si>
  <si>
    <t>5 Series Gran Turismo</t>
  </si>
  <si>
    <t>wbasp2c53bc337588</t>
  </si>
  <si>
    <t>wbaph5c5xba447103</t>
  </si>
  <si>
    <t>wbaph5c56ba443825</t>
  </si>
  <si>
    <t>wbaph5c54bf094053</t>
  </si>
  <si>
    <t>XC90</t>
  </si>
  <si>
    <t>yv4952cy2c1608846</t>
  </si>
  <si>
    <t>SH-AWD</t>
  </si>
  <si>
    <t>5j8tb1h58ba002803</t>
  </si>
  <si>
    <t>wbaph5c52ba448620</t>
  </si>
  <si>
    <t>wbaph5g59bnm75557</t>
  </si>
  <si>
    <t>waulfafr0ba028480</t>
  </si>
  <si>
    <t>yv1622fs5c2098583</t>
  </si>
  <si>
    <t>wbapm5c59be578379</t>
  </si>
  <si>
    <t>wbaph5g58bnn59112</t>
  </si>
  <si>
    <t>5tdzk3eh4cs059863</t>
  </si>
  <si>
    <t>Tiguan</t>
  </si>
  <si>
    <t>wvgav7ax9cw519295</t>
  </si>
  <si>
    <t>wbadx7c58be743036</t>
  </si>
  <si>
    <t>wbaph5c56bf093700</t>
  </si>
  <si>
    <t>wbaph7c52be852392</t>
  </si>
  <si>
    <t>wbaph5g56bnn58976</t>
  </si>
  <si>
    <t>wbafr7c52bc807666</t>
  </si>
  <si>
    <t>wbapm5c57be578428</t>
  </si>
  <si>
    <t>wbaph5c51bf094141</t>
  </si>
  <si>
    <t>wbafr1c56bdv82627</t>
  </si>
  <si>
    <t>328i xDrive</t>
  </si>
  <si>
    <t>wbapk7c50ba974614</t>
  </si>
  <si>
    <t>wbapk5g58bnn31666</t>
  </si>
  <si>
    <t>wbafr7c51bc602551</t>
  </si>
  <si>
    <t>meridian remarketing</t>
  </si>
  <si>
    <t>wbaph5c52bf093726</t>
  </si>
  <si>
    <t>wbaph5g52bnm77179</t>
  </si>
  <si>
    <t>wbaph5g55bnm83672</t>
  </si>
  <si>
    <t>wbaph5c54ba442608</t>
  </si>
  <si>
    <t>wbaph5g57bnm76447</t>
  </si>
  <si>
    <t>jtdbu4ee7c9174690</t>
  </si>
  <si>
    <t>wbapk7g51bnn78470</t>
  </si>
  <si>
    <t>wa1dkafp2ba050167</t>
  </si>
  <si>
    <t>yv4940dl4c2246720</t>
  </si>
  <si>
    <t>volvo na lemon law/world omni</t>
  </si>
  <si>
    <t>wbaph7c52be850559</t>
  </si>
  <si>
    <t>5tdyk3eh5cs059446</t>
  </si>
  <si>
    <t>toyota santa monica</t>
  </si>
  <si>
    <t>GTI</t>
  </si>
  <si>
    <t>PZEV</t>
  </si>
  <si>
    <t>wvwhd7aj2cw322549</t>
  </si>
  <si>
    <t>wbaph5g53bnm74002</t>
  </si>
  <si>
    <t>wbaph5c5xba448462</t>
  </si>
  <si>
    <t>wbaph5g55bnm80836</t>
  </si>
  <si>
    <t>yv1902fh2c2057979</t>
  </si>
  <si>
    <t>wbaph5g59bnm80337</t>
  </si>
  <si>
    <t>1vwbp7a30cc065176</t>
  </si>
  <si>
    <t>wbaph5g52bnm83919</t>
  </si>
  <si>
    <t>waubgafl8ba127617</t>
  </si>
  <si>
    <t>wbspm9c54be698772</t>
  </si>
  <si>
    <t>wbaph5c52bf093306</t>
  </si>
  <si>
    <t>wbaph5c59ba447318</t>
  </si>
  <si>
    <t>wbaph7c59be852549</t>
  </si>
  <si>
    <t>wbadx7c56be580421</t>
  </si>
  <si>
    <t>wbapm5c50be575760</t>
  </si>
  <si>
    <t>wbake5c57be755504</t>
  </si>
  <si>
    <t>wbadx7c59be742543</t>
  </si>
  <si>
    <t>wbadw7c51be728154</t>
  </si>
  <si>
    <t>wbaka4c59bc612751</t>
  </si>
  <si>
    <t>wbsdx9c59be585281</t>
  </si>
  <si>
    <t>yv1622fs7c2093546</t>
  </si>
  <si>
    <t>wbaph7c50be852309</t>
  </si>
  <si>
    <t>wbaph5g52bnm83161</t>
  </si>
  <si>
    <t>wbapm5g50bnn01152</t>
  </si>
  <si>
    <t>wbapm5g59bnn00937</t>
  </si>
  <si>
    <t>wbasp2c52bc337744</t>
  </si>
  <si>
    <t>apexcars net</t>
  </si>
  <si>
    <t>5tfdy5f13cx228089</t>
  </si>
  <si>
    <t>south coast toyota</t>
  </si>
  <si>
    <t>wbaph5c58ba443471</t>
  </si>
  <si>
    <t>wbaph7c57be682112</t>
  </si>
  <si>
    <t>wbaph5c54bf093274</t>
  </si>
  <si>
    <t>wbapm5c54be577799</t>
  </si>
  <si>
    <t>jtdkn3du8c1533737</t>
  </si>
  <si>
    <t>Sport PZEV</t>
  </si>
  <si>
    <t>wvwmp7an7ce513608</t>
  </si>
  <si>
    <t>onemain rem/european motors group</t>
  </si>
  <si>
    <t>wbafu7c55bdu54705</t>
  </si>
  <si>
    <t>wbapk5c55ba993843</t>
  </si>
  <si>
    <t>wbspm9c59be699111</t>
  </si>
  <si>
    <t>wbaph5g58bnm83813</t>
  </si>
  <si>
    <t>yv1902fhxc2053310</t>
  </si>
  <si>
    <t>2t1bu4ee7cc756752</t>
  </si>
  <si>
    <t>wbaph7c5xba802007</t>
  </si>
  <si>
    <t>wbafr1c55bc260843</t>
  </si>
  <si>
    <t>Q7</t>
  </si>
  <si>
    <t>3.0T S line Prestige quattro</t>
  </si>
  <si>
    <t>wa1dgafe4bd002359</t>
  </si>
  <si>
    <t>carfinders inc</t>
  </si>
  <si>
    <t>wbaut9c51ba191622</t>
  </si>
  <si>
    <t>wbaph7c57be852307</t>
  </si>
  <si>
    <t>wbaph5c56bf093972</t>
  </si>
  <si>
    <t>5yfbu4ee5cp043025</t>
  </si>
  <si>
    <t>wvwhd7aj7cw202097</t>
  </si>
  <si>
    <t>bmw of murrieta</t>
  </si>
  <si>
    <t>yv1622fs2c2054668</t>
  </si>
  <si>
    <t>wbaph5c55ba446215</t>
  </si>
  <si>
    <t>wbadw7c50be728159</t>
  </si>
  <si>
    <t>wbaph5g58bnn59188</t>
  </si>
  <si>
    <t>wbafr1c59bds35793</t>
  </si>
  <si>
    <t>wbapk5g59bnn81752</t>
  </si>
  <si>
    <t>2hnyd2h26bh545766</t>
  </si>
  <si>
    <t>wbake5c50be574244</t>
  </si>
  <si>
    <t>Wed Jan 07 2015 12:00:00 GMT-0800 (PST)</t>
  </si>
  <si>
    <t>5yfbu4ee5cp045583</t>
  </si>
  <si>
    <t>yv1622fsxc2034426</t>
  </si>
  <si>
    <t>wbafu7c54bdu55005</t>
  </si>
  <si>
    <t>manheim nevada</t>
  </si>
  <si>
    <t>4t1bd1fk1cu021041</t>
  </si>
  <si>
    <t>wbaph5g59bnm72058</t>
  </si>
  <si>
    <t>wbapm5c52bf181994</t>
  </si>
  <si>
    <t>wbaph5g53bnm77885</t>
  </si>
  <si>
    <t>yv1622fs7c2099430</t>
  </si>
  <si>
    <t>2.0T White Turbo Launch Edition PZEV</t>
  </si>
  <si>
    <t>3vwva7at3cm642151</t>
  </si>
  <si>
    <t>wbaph7c59be852762</t>
  </si>
  <si>
    <t>TDI Premium quattro</t>
  </si>
  <si>
    <t>wa1lmafe5bd003010</t>
  </si>
  <si>
    <t>wbaph5g51bnm84561</t>
  </si>
  <si>
    <t>wauvgafh6bn011740</t>
  </si>
  <si>
    <t>wbadx1c51be394492</t>
  </si>
  <si>
    <t>Highlander Hybrid</t>
  </si>
  <si>
    <t>jtedc3eh6c2006592</t>
  </si>
  <si>
    <t>la costa auto sales</t>
  </si>
  <si>
    <t>3vwdp7aj7cm304616</t>
  </si>
  <si>
    <t>3vwdp7aj7cm346185</t>
  </si>
  <si>
    <t>wbake5c54be755489</t>
  </si>
  <si>
    <t>wa1lfafp1ba010565</t>
  </si>
  <si>
    <t>richard j bartlett jr enterprises</t>
  </si>
  <si>
    <t>Lux Limited PZEV</t>
  </si>
  <si>
    <t>wvwhp7an0ce531482</t>
  </si>
  <si>
    <t>mckenna volks</t>
  </si>
  <si>
    <t>wbafr9c51bde81867</t>
  </si>
  <si>
    <t>335d</t>
  </si>
  <si>
    <t>wbapn7c53bf184265</t>
  </si>
  <si>
    <t>wbaph5g56bnn59299</t>
  </si>
  <si>
    <t>4t1bk1fkxcu517509</t>
  </si>
  <si>
    <t>wbaph5c59bf093111</t>
  </si>
  <si>
    <t>wbaph5g50bnm82784</t>
  </si>
  <si>
    <t>wbaph5c51ba447104</t>
  </si>
  <si>
    <t>3vwdp7aj5cm320913</t>
  </si>
  <si>
    <t>Base 7-Passenger</t>
  </si>
  <si>
    <t>5tdzk3dc9cs204563</t>
  </si>
  <si>
    <t>wbafr1c51bc260869</t>
  </si>
  <si>
    <t>wbake3c58be558295</t>
  </si>
  <si>
    <t>wbaph5g56bnm76701</t>
  </si>
  <si>
    <t>wbadx7c54be743406</t>
  </si>
  <si>
    <t>wbaph5c57bf093253</t>
  </si>
  <si>
    <t>3vw2k7aj7cm355491</t>
  </si>
  <si>
    <t>wbafu7c57bdu55628</t>
  </si>
  <si>
    <t>335i xDrive</t>
  </si>
  <si>
    <t>wbapl5g59bnn22990</t>
  </si>
  <si>
    <t>wbaph5g57bnm83897</t>
  </si>
  <si>
    <t>jtmwf4dv4c5043639</t>
  </si>
  <si>
    <t>800 loan mart</t>
  </si>
  <si>
    <t>wbaph7c5xbe852124</t>
  </si>
  <si>
    <t>wbadx1c56be570646</t>
  </si>
  <si>
    <t>wbake5c54be432253</t>
  </si>
  <si>
    <t>wbapm5g51bnn00933</t>
  </si>
  <si>
    <t>wbafr7c52bc802659</t>
  </si>
  <si>
    <t>jh4cu2f6xbc016232</t>
  </si>
  <si>
    <t>wbaph5g56bnm76858</t>
  </si>
  <si>
    <t>wbaph5c57ba441419</t>
  </si>
  <si>
    <t>5tfty5f15cx007590</t>
  </si>
  <si>
    <t>3vwdp7aj0cm007753</t>
  </si>
  <si>
    <t>wbaph5c54bf093579</t>
  </si>
  <si>
    <t>wbaph5c57ba446667</t>
  </si>
  <si>
    <t>wbadx7c59be581546</t>
  </si>
  <si>
    <t>wbaph5g58bnm84010</t>
  </si>
  <si>
    <t>yv4952bz9c1125705</t>
  </si>
  <si>
    <t>smith volvo inc</t>
  </si>
  <si>
    <t>wbaph5g57bnn59229</t>
  </si>
  <si>
    <t>yv1622fs3c2089011</t>
  </si>
  <si>
    <t>wbake5c55be754738</t>
  </si>
  <si>
    <t>3vw2k7aj3cm333410</t>
  </si>
  <si>
    <t>wbapk5c5xbf127784</t>
  </si>
  <si>
    <t>3vwpp7aj1cm641571</t>
  </si>
  <si>
    <t>wbake5c50be754954</t>
  </si>
  <si>
    <t>wvwhd7aj4cw325923</t>
  </si>
  <si>
    <t>wbaph5g51bnm83913</t>
  </si>
  <si>
    <t>wbapm5c55be575995</t>
  </si>
  <si>
    <t>wbaph5g5xbnm80203</t>
  </si>
  <si>
    <t>newport coast auto com</t>
  </si>
  <si>
    <t>wbaph5g53bnm82973</t>
  </si>
  <si>
    <t>wbaph7g5xbnn07962</t>
  </si>
  <si>
    <t>waubfafm5ba116005</t>
  </si>
  <si>
    <t>wbafu7c58bc875162</t>
  </si>
  <si>
    <t>yv1622fs4c2085209</t>
  </si>
  <si>
    <t>wvgav7axxcw001891</t>
  </si>
  <si>
    <t>wbapn7c52bf183611</t>
  </si>
  <si>
    <t>wbadx1c55be570637</t>
  </si>
  <si>
    <t>wbaph5g5xbnm82338</t>
  </si>
  <si>
    <t>wbafr7c57bc805654</t>
  </si>
  <si>
    <t>1vwap7a33cc058461</t>
  </si>
  <si>
    <t>wbadw7c56be728036</t>
  </si>
  <si>
    <t>wbapk5c52bf125527</t>
  </si>
  <si>
    <t>wbapk7g55bnn71294</t>
  </si>
  <si>
    <t>yv1622fs6c2110420</t>
  </si>
  <si>
    <t>wbaph7c50be852696</t>
  </si>
  <si>
    <t>wbaph5g56bnm83213</t>
  </si>
  <si>
    <t>Prius Plug-in</t>
  </si>
  <si>
    <t>jtdkn3dp2c3008090</t>
  </si>
  <si>
    <t>5yfbu4ee3cp012064</t>
  </si>
  <si>
    <t>wauefafl6bn041490</t>
  </si>
  <si>
    <t>yv4940dl8c2329213</t>
  </si>
  <si>
    <t>wbaph5g51bnm83393</t>
  </si>
  <si>
    <t>wbapk5g5xbnn81193</t>
  </si>
  <si>
    <t>3fahp0ha6br191945</t>
  </si>
  <si>
    <t>jn1dv6apxbm604347</t>
  </si>
  <si>
    <t>2b3cl3cg9bh509325</t>
  </si>
  <si>
    <t>jn1dv6ap5bm830893</t>
  </si>
  <si>
    <t>jn1dv6ap6bm604314</t>
  </si>
  <si>
    <t>jn1dv6ap5bm604255</t>
  </si>
  <si>
    <t>jn1dv6ap8bm603696</t>
  </si>
  <si>
    <t>1c3bc2fb9bn582842</t>
  </si>
  <si>
    <t>LT1</t>
  </si>
  <si>
    <t>2cnaldec1b6444564</t>
  </si>
  <si>
    <t>1fmcu0dg4bkb99906</t>
  </si>
  <si>
    <t>3fadp4bj1bm111964</t>
  </si>
  <si>
    <t>2fmdk3jc8bbb61442</t>
  </si>
  <si>
    <t>5uxwx5c54blw13930</t>
  </si>
  <si>
    <t>1gcrcrea8bz323117</t>
  </si>
  <si>
    <t>m and m enterprises</t>
  </si>
  <si>
    <t>1hgcp2f64ba122987</t>
  </si>
  <si>
    <t>1hgcp2f32ba077747</t>
  </si>
  <si>
    <t>1fdne1bw5bda95550</t>
  </si>
  <si>
    <t>CR-Z</t>
  </si>
  <si>
    <t>jhmzf1c43bs000087</t>
  </si>
  <si>
    <t>1ftfw1cf3bke02634</t>
  </si>
  <si>
    <t>jn1dv6ap4bm831565</t>
  </si>
  <si>
    <t>5npeb4ac3bh259622</t>
  </si>
  <si>
    <t>C</t>
  </si>
  <si>
    <t>2c3ca6ct5bh594011</t>
  </si>
  <si>
    <t>western fcu</t>
  </si>
  <si>
    <t>1g1zc5eu9bf379693</t>
  </si>
  <si>
    <t>2d4rn4dg4br732845</t>
  </si>
  <si>
    <t>jn1dv6apxbm604378</t>
  </si>
  <si>
    <t>3fahp0ha9br274978</t>
  </si>
  <si>
    <t>repo remarketing/schools first fcu</t>
  </si>
  <si>
    <t>5xyzk4ag4bg002299</t>
  </si>
  <si>
    <t>FX4</t>
  </si>
  <si>
    <t>1ftfx1ef7bke22718</t>
  </si>
  <si>
    <t>EX35</t>
  </si>
  <si>
    <t>jn1aj0hp8bm801535</t>
  </si>
  <si>
    <t>5uxzv8c5xbl420637</t>
  </si>
  <si>
    <t>2fmdk4jc0bbb51879</t>
  </si>
  <si>
    <t>LTZ 1500</t>
  </si>
  <si>
    <t>1gnscke03br107876</t>
  </si>
  <si>
    <t>3fahp0ha7br173289</t>
  </si>
  <si>
    <t>jn1dv6ap3bm831640</t>
  </si>
  <si>
    <t>5uxzw0c50bl661864</t>
  </si>
  <si>
    <t>jn1dv6ap5bm602778</t>
  </si>
  <si>
    <t>1gnkrged4bj239879</t>
  </si>
  <si>
    <t>5npec4ac1bh167731</t>
  </si>
  <si>
    <t>Sierra 1500</t>
  </si>
  <si>
    <t>SLE</t>
  </si>
  <si>
    <t>1gtr1ve08bz326198</t>
  </si>
  <si>
    <t>remarketing by ge/golden 1 credit union</t>
  </si>
  <si>
    <t>1zvbp8am2b5169573</t>
  </si>
  <si>
    <t>nm0ls7bn8bt043315</t>
  </si>
  <si>
    <t>northwestern chrys/j/d/ge</t>
  </si>
  <si>
    <t>jn1dv6ap2bm831628</t>
  </si>
  <si>
    <t>wbspm9c54be699016</t>
  </si>
  <si>
    <t>LaCrosse</t>
  </si>
  <si>
    <t>CXL</t>
  </si>
  <si>
    <t>1g4gc5ed9bf324512</t>
  </si>
  <si>
    <t>HHR</t>
  </si>
  <si>
    <t>3gnbaafw6bs543461</t>
  </si>
  <si>
    <t>wholesale enterprise inc</t>
  </si>
  <si>
    <t>2fmdk3gc5bba57689</t>
  </si>
  <si>
    <t>2g1wf5ek4b1270994</t>
  </si>
  <si>
    <t>3fahp0ha9br188070</t>
  </si>
  <si>
    <t>STX</t>
  </si>
  <si>
    <t>1ftmf1cm5bkd36514</t>
  </si>
  <si>
    <t>1hgcp2f35ba131090</t>
  </si>
  <si>
    <t>1hgcp2f48ba157076</t>
  </si>
  <si>
    <t>Accord Crosstour</t>
  </si>
  <si>
    <t>5j6tf1h50bl000660</t>
  </si>
  <si>
    <t>2fmdk3jc7bbb29890</t>
  </si>
  <si>
    <t>1gc1kyc8xbf134853</t>
  </si>
  <si>
    <t>jn1dv6ap8bm604248</t>
  </si>
  <si>
    <t>1fmcu9d74bkc54178</t>
  </si>
  <si>
    <t>5npec4ac1bh273581</t>
  </si>
  <si>
    <t>jn1dv6ap2bm601040</t>
  </si>
  <si>
    <t>3fahp0ha6br139926</t>
  </si>
  <si>
    <t>1gnkvged8bj135858</t>
  </si>
  <si>
    <t>kmhgh4jf8bu042912</t>
  </si>
  <si>
    <t>5uxwx5c50bl716424</t>
  </si>
  <si>
    <t>5npeb4ac3bh261158</t>
  </si>
  <si>
    <t>CXS</t>
  </si>
  <si>
    <t>1g4ge5ed8bf296535</t>
  </si>
  <si>
    <t>5npdh4ae6bh029522</t>
  </si>
  <si>
    <t>jn1dv6ap0bm604356</t>
  </si>
  <si>
    <t>5j6re3h39bl060928</t>
  </si>
  <si>
    <t>car_full_name</t>
  </si>
  <si>
    <t>sale_year</t>
  </si>
  <si>
    <t>condition_flag</t>
  </si>
  <si>
    <t>Min</t>
  </si>
  <si>
    <t>Max</t>
  </si>
  <si>
    <t>Median</t>
  </si>
  <si>
    <t>price_flag</t>
  </si>
  <si>
    <r>
      <t>year</t>
    </r>
    <r>
      <rPr>
        <sz val="11"/>
        <color theme="1"/>
        <rFont val="Aptos"/>
        <family val="2"/>
      </rPr>
      <t xml:space="preserve"> → numeric, model year of the car</t>
    </r>
  </si>
  <si>
    <r>
      <t>make</t>
    </r>
    <r>
      <rPr>
        <sz val="11"/>
        <color theme="1"/>
        <rFont val="Aptos"/>
        <family val="2"/>
      </rPr>
      <t xml:space="preserve"> → text, brand name</t>
    </r>
  </si>
  <si>
    <r>
      <t>model</t>
    </r>
    <r>
      <rPr>
        <sz val="11"/>
        <color theme="1"/>
        <rFont val="Aptos"/>
        <family val="2"/>
      </rPr>
      <t xml:space="preserve"> → text, car model</t>
    </r>
  </si>
  <si>
    <r>
      <t>trim</t>
    </r>
    <r>
      <rPr>
        <sz val="11"/>
        <color theme="1"/>
        <rFont val="Aptos"/>
        <family val="2"/>
      </rPr>
      <t xml:space="preserve"> → text, version of the model</t>
    </r>
  </si>
  <si>
    <r>
      <t>body</t>
    </r>
    <r>
      <rPr>
        <sz val="11"/>
        <color theme="1"/>
        <rFont val="Aptos"/>
        <family val="2"/>
      </rPr>
      <t xml:space="preserve"> → text, body type (SUV, Sedan, etc.)</t>
    </r>
  </si>
  <si>
    <r>
      <t>transmission</t>
    </r>
    <r>
      <rPr>
        <sz val="11"/>
        <color theme="1"/>
        <rFont val="Aptos"/>
        <family val="2"/>
      </rPr>
      <t xml:space="preserve"> → text</t>
    </r>
  </si>
  <si>
    <r>
      <t>vin</t>
    </r>
    <r>
      <rPr>
        <sz val="11"/>
        <color theme="1"/>
        <rFont val="Aptos"/>
        <family val="2"/>
      </rPr>
      <t xml:space="preserve"> → text, unique id</t>
    </r>
  </si>
  <si>
    <r>
      <t>state</t>
    </r>
    <r>
      <rPr>
        <sz val="11"/>
        <color theme="1"/>
        <rFont val="Aptos"/>
        <family val="2"/>
      </rPr>
      <t xml:space="preserve"> → text, location</t>
    </r>
  </si>
  <si>
    <r>
      <t>condition</t>
    </r>
    <r>
      <rPr>
        <sz val="11"/>
        <color theme="1"/>
        <rFont val="Aptos"/>
        <family val="2"/>
      </rPr>
      <t xml:space="preserve"> → numeric score</t>
    </r>
  </si>
  <si>
    <r>
      <t>odometer</t>
    </r>
    <r>
      <rPr>
        <sz val="11"/>
        <color theme="1"/>
        <rFont val="Aptos"/>
        <family val="2"/>
      </rPr>
      <t xml:space="preserve"> → numeric, mileage</t>
    </r>
  </si>
  <si>
    <r>
      <t>color</t>
    </r>
    <r>
      <rPr>
        <sz val="11"/>
        <color theme="1"/>
        <rFont val="Aptos"/>
        <family val="2"/>
      </rPr>
      <t xml:space="preserve"> → text</t>
    </r>
  </si>
  <si>
    <r>
      <t>interior</t>
    </r>
    <r>
      <rPr>
        <sz val="11"/>
        <color theme="1"/>
        <rFont val="Aptos"/>
        <family val="2"/>
      </rPr>
      <t xml:space="preserve"> → text</t>
    </r>
  </si>
  <si>
    <r>
      <t>seller</t>
    </r>
    <r>
      <rPr>
        <sz val="11"/>
        <color theme="1"/>
        <rFont val="Aptos"/>
        <family val="2"/>
      </rPr>
      <t xml:space="preserve"> → text</t>
    </r>
  </si>
  <si>
    <r>
      <t>mmr</t>
    </r>
    <r>
      <rPr>
        <sz val="11"/>
        <color theme="1"/>
        <rFont val="Aptos"/>
        <family val="2"/>
      </rPr>
      <t xml:space="preserve"> → numeric, market reference price</t>
    </r>
  </si>
  <si>
    <r>
      <t>sellingprice</t>
    </r>
    <r>
      <rPr>
        <sz val="11"/>
        <color theme="1"/>
        <rFont val="Aptos"/>
        <family val="2"/>
      </rPr>
      <t xml:space="preserve"> → numeric, final price</t>
    </r>
  </si>
  <si>
    <r>
      <t>saledate</t>
    </r>
    <r>
      <rPr>
        <sz val="11"/>
        <color theme="1"/>
        <rFont val="Aptos"/>
        <family val="2"/>
      </rPr>
      <t xml:space="preserve"> → text → converted to </t>
    </r>
    <r>
      <rPr>
        <b/>
        <sz val="11"/>
        <color theme="1"/>
        <rFont val="Aptos"/>
        <family val="2"/>
      </rPr>
      <t>sale_year</t>
    </r>
  </si>
  <si>
    <t>Row Labels</t>
  </si>
  <si>
    <t>Grand Total</t>
  </si>
  <si>
    <t>Column Labels</t>
  </si>
  <si>
    <t>Count</t>
  </si>
  <si>
    <t>Average</t>
  </si>
  <si>
    <t>Std Dev</t>
  </si>
  <si>
    <t>1st Quartile</t>
  </si>
  <si>
    <t>2nd Quartile</t>
  </si>
  <si>
    <t>3rd Quartile</t>
  </si>
  <si>
    <t>Mode</t>
  </si>
  <si>
    <t>Count of make</t>
  </si>
  <si>
    <t>Count of model</t>
  </si>
  <si>
    <t>Count of trim</t>
  </si>
  <si>
    <t>Count of body</t>
  </si>
  <si>
    <t>Medium</t>
  </si>
  <si>
    <t>Low</t>
  </si>
  <si>
    <t>High</t>
  </si>
  <si>
    <t>Count of car_full_name</t>
  </si>
  <si>
    <t>Count of price_flag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</si>
</sst>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Aptos"/>
      <family val="2"/>
    </font>
    <font>
      <b/>
      <sz val="11"/>
      <color theme="1"/>
      <name val="Aptos"/>
      <family val="2"/>
    </font>
    <font>
      <sz val="11"/>
      <color theme="0" tint="-0.249977111117893"/>
      <name val="Calibri"/>
      <family val="2"/>
      <scheme val="minor"/>
    </font>
    <font>
      <sz val="8"/>
      <color theme="1"/>
      <name val="Calibri"/>
      <family val="2"/>
      <scheme val="minor"/>
    </font>
    <font>
      <sz val="11"/>
      <color theme="1" tint="4.9989318521683403E-2"/>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2" fillId="0" borderId="0" applyFont="0" applyFill="0" applyBorder="0" applyAlignment="0" applyProtection="0"/>
  </cellStyleXfs>
  <cellXfs count="31">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xf numFmtId="0" fontId="0" fillId="0" borderId="8" xfId="0" applyBorder="1"/>
    <xf numFmtId="0" fontId="0" fillId="0" borderId="9" xfId="0" applyBorder="1"/>
    <xf numFmtId="164" fontId="0" fillId="0" borderId="0" xfId="1" applyNumberFormat="1" applyFont="1"/>
    <xf numFmtId="2" fontId="0" fillId="0" borderId="0" xfId="0" applyNumberFormat="1"/>
    <xf numFmtId="164" fontId="0" fillId="0" borderId="1" xfId="1" applyNumberFormat="1" applyFont="1" applyBorder="1"/>
    <xf numFmtId="164" fontId="0" fillId="0" borderId="8" xfId="1" applyNumberFormat="1" applyFont="1" applyBorder="1"/>
    <xf numFmtId="0" fontId="1" fillId="3" borderId="1" xfId="0" applyFont="1" applyFill="1" applyBorder="1" applyAlignment="1">
      <alignment horizontal="center"/>
    </xf>
    <xf numFmtId="0" fontId="4" fillId="0" borderId="0" xfId="0" applyFont="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0" fontId="1" fillId="4" borderId="0" xfId="0" applyFont="1" applyFill="1" applyAlignment="1">
      <alignment horizontal="center"/>
    </xf>
    <xf numFmtId="0" fontId="5" fillId="0" borderId="1" xfId="0" applyFont="1" applyBorder="1"/>
    <xf numFmtId="0" fontId="6" fillId="0" borderId="0" xfId="0" applyFont="1"/>
    <xf numFmtId="0" fontId="1" fillId="5" borderId="0" xfId="0" applyFont="1" applyFill="1" applyAlignment="1">
      <alignment horizontal="center"/>
    </xf>
    <xf numFmtId="0" fontId="1" fillId="5" borderId="1" xfId="0" applyFont="1" applyFill="1" applyBorder="1"/>
    <xf numFmtId="0" fontId="1" fillId="4" borderId="1" xfId="0" applyFont="1" applyFill="1" applyBorder="1"/>
    <xf numFmtId="0" fontId="0" fillId="6" borderId="0" xfId="0" applyFill="1" applyAlignment="1">
      <alignment horizontal="center"/>
    </xf>
    <xf numFmtId="0" fontId="1" fillId="6" borderId="1" xfId="0" applyFont="1" applyFill="1" applyBorder="1"/>
    <xf numFmtId="0" fontId="5" fillId="0" borderId="2" xfId="0" applyFont="1" applyBorder="1"/>
    <xf numFmtId="43" fontId="0" fillId="0" borderId="1" xfId="1" applyFont="1" applyBorder="1"/>
    <xf numFmtId="0" fontId="1" fillId="0" borderId="0" xfId="0" applyFont="1" applyFill="1" applyBorder="1"/>
    <xf numFmtId="0" fontId="7" fillId="0" borderId="1" xfId="0" applyFont="1" applyBorder="1"/>
  </cellXfs>
  <cellStyles count="2">
    <cellStyle name="Comma" xfId="1" builtinId="3"/>
    <cellStyle name="Normal" xfId="0" builtinId="0"/>
  </cellStyles>
  <dxfs count="20">
    <dxf>
      <border diagonalUp="0" diagonalDown="0" outline="0">
        <left style="thin">
          <color indexed="64"/>
        </left>
        <right/>
        <top style="thin">
          <color indexed="64"/>
        </top>
        <bottom style="thin">
          <color indexed="64"/>
        </bottom>
      </border>
    </dxf>
    <dxf>
      <numFmt numFmtId="164" formatCode="_-* #,##0_-;\-* #,##0_-;_-* &quot;-&quot;??_-;_-@_-"/>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47625</xdr:colOff>
      <xdr:row>12</xdr:row>
      <xdr:rowOff>28575</xdr:rowOff>
    </xdr:from>
    <xdr:to>
      <xdr:col>3</xdr:col>
      <xdr:colOff>1323975</xdr:colOff>
      <xdr:row>46</xdr:row>
      <xdr:rowOff>19050</xdr:rowOff>
    </xdr:to>
    <xdr:sp macro="" textlink="">
      <xdr:nvSpPr>
        <xdr:cNvPr id="2" name="TextBox 1">
          <a:extLst>
            <a:ext uri="{FF2B5EF4-FFF2-40B4-BE49-F238E27FC236}">
              <a16:creationId xmlns:a16="http://schemas.microsoft.com/office/drawing/2014/main" id="{3C42AE50-9B1C-AEB4-AE6C-B00FF4B9192B}"/>
            </a:ext>
          </a:extLst>
        </xdr:cNvPr>
        <xdr:cNvSpPr txBox="1"/>
      </xdr:nvSpPr>
      <xdr:spPr>
        <a:xfrm>
          <a:off x="47625" y="2314575"/>
          <a:ext cx="3762375" cy="646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We have data for 1,999 cars. The prices tell us how much cars are selling for in this dataset. The </a:t>
          </a:r>
          <a:r>
            <a:rPr lang="en-US" b="1"/>
            <a:t>average price</a:t>
          </a:r>
          <a:r>
            <a:rPr lang="en-US"/>
            <a:t> of a car is about </a:t>
          </a:r>
          <a:r>
            <a:rPr lang="en-US" b="1"/>
            <a:t>$20,393</a:t>
          </a:r>
          <a:r>
            <a:rPr lang="en-US"/>
            <a:t>, which gives a general idea of what a typical car costs. The </a:t>
          </a:r>
          <a:r>
            <a:rPr lang="en-US" b="1"/>
            <a:t>median price</a:t>
          </a:r>
          <a:r>
            <a:rPr lang="en-US"/>
            <a:t> is </a:t>
          </a:r>
          <a:r>
            <a:rPr lang="en-US" b="1"/>
            <a:t>$18,200</a:t>
          </a:r>
          <a:r>
            <a:rPr lang="en-US"/>
            <a:t>, which means half of the cars cost less than this, and half cost more. Comparing the average and median, we can see that the average is slightly higher than the median. This happens because a few very expensive cars push the average up.</a:t>
          </a:r>
        </a:p>
        <a:p>
          <a:r>
            <a:rPr lang="en-US"/>
            <a:t>The </a:t>
          </a:r>
          <a:r>
            <a:rPr lang="en-US" b="1"/>
            <a:t>standard deviation</a:t>
          </a:r>
          <a:r>
            <a:rPr lang="en-US"/>
            <a:t> is </a:t>
          </a:r>
          <a:r>
            <a:rPr lang="en-US" b="1"/>
            <a:t>$11,708</a:t>
          </a:r>
          <a:r>
            <a:rPr lang="en-US"/>
            <a:t>, which shows that car prices are spread out. Some cars cost much less and some cost much more than the average. A bigger standard deviation means there is a bigger difference between cheap and expensive cars.</a:t>
          </a:r>
        </a:p>
        <a:p>
          <a:r>
            <a:rPr lang="en-US"/>
            <a:t>The </a:t>
          </a:r>
          <a:r>
            <a:rPr lang="en-US" b="1"/>
            <a:t>minimum price</a:t>
          </a:r>
          <a:r>
            <a:rPr lang="en-US"/>
            <a:t> is </a:t>
          </a:r>
          <a:r>
            <a:rPr lang="en-US" b="1"/>
            <a:t>$1,000</a:t>
          </a:r>
          <a:r>
            <a:rPr lang="en-US"/>
            <a:t>, and this car is a </a:t>
          </a:r>
          <a:r>
            <a:rPr lang="en-US" b="1"/>
            <a:t>Nissan Maxima 3.5 S</a:t>
          </a:r>
          <a:r>
            <a:rPr lang="en-US"/>
            <a:t>. This shows that there are very cheap cars in the dataset, likely older or with more mileage. The </a:t>
          </a:r>
          <a:r>
            <a:rPr lang="en-US" b="1"/>
            <a:t>maximum price</a:t>
          </a:r>
          <a:r>
            <a:rPr lang="en-US"/>
            <a:t> is </a:t>
          </a:r>
          <a:r>
            <a:rPr lang="en-US" b="1"/>
            <a:t>$154,000</a:t>
          </a:r>
          <a:r>
            <a:rPr lang="en-US"/>
            <a:t>, which is a </a:t>
          </a:r>
          <a:r>
            <a:rPr lang="en-US" b="1"/>
            <a:t>Ferrari California Base</a:t>
          </a:r>
          <a:r>
            <a:rPr lang="en-US"/>
            <a:t>. This shows there are very expensive cars too. The big gap between the cheapest and most expensive cars explains why the average is higher than the median.</a:t>
          </a:r>
        </a:p>
        <a:p>
          <a:r>
            <a:rPr lang="en-US"/>
            <a:t>The </a:t>
          </a:r>
          <a:r>
            <a:rPr lang="en-US" b="1"/>
            <a:t>first quartile (Q1)</a:t>
          </a:r>
          <a:r>
            <a:rPr lang="en-US"/>
            <a:t> is </a:t>
          </a:r>
          <a:r>
            <a:rPr lang="en-US" b="1"/>
            <a:t>$12,100</a:t>
          </a:r>
          <a:r>
            <a:rPr lang="en-US"/>
            <a:t>, which means 25% of the cars cost less than this. The </a:t>
          </a:r>
          <a:r>
            <a:rPr lang="en-US" b="1"/>
            <a:t>second quartile (Q2)</a:t>
          </a:r>
          <a:r>
            <a:rPr lang="en-US"/>
            <a:t> is the same as the median, </a:t>
          </a:r>
          <a:r>
            <a:rPr lang="en-US" b="1"/>
            <a:t>$18,200</a:t>
          </a:r>
          <a:r>
            <a:rPr lang="en-US"/>
            <a:t>, showing the middle point. The </a:t>
          </a:r>
          <a:r>
            <a:rPr lang="en-US" b="1"/>
            <a:t>third quartile (Q3)</a:t>
          </a:r>
          <a:r>
            <a:rPr lang="en-US"/>
            <a:t> is </a:t>
          </a:r>
          <a:r>
            <a:rPr lang="en-US" b="1"/>
            <a:t>$25,000</a:t>
          </a:r>
          <a:r>
            <a:rPr lang="en-US"/>
            <a:t>, meaning 75% of cars cost less than this. These quartiles divide the data into four parts and help understand where most car prices lie.</a:t>
          </a:r>
        </a:p>
        <a:p>
          <a:r>
            <a:rPr lang="en-US"/>
            <a:t>The </a:t>
          </a:r>
          <a:r>
            <a:rPr lang="en-US" b="1"/>
            <a:t>mode</a:t>
          </a:r>
          <a:r>
            <a:rPr lang="en-US"/>
            <a:t> is </a:t>
          </a:r>
          <a:r>
            <a:rPr lang="en-US" b="1"/>
            <a:t>$21,000</a:t>
          </a:r>
          <a:r>
            <a:rPr lang="en-US"/>
            <a:t>, which is the price that appears most often in the dataset. This can tell us the most common selling price for a car in this data.</a:t>
          </a:r>
        </a:p>
        <a:p>
          <a:r>
            <a:rPr lang="en-US"/>
            <a:t>Overall, this shows that most cars in the dataset are between </a:t>
          </a:r>
          <a:r>
            <a:rPr lang="en-US" b="1"/>
            <a:t>$12,100 and $25,000</a:t>
          </a:r>
          <a:r>
            <a:rPr lang="en-US"/>
            <a:t>, but there are some very cheap and very expensive cars that make the dataset wide-ranging. Using </a:t>
          </a:r>
          <a:r>
            <a:rPr lang="en-US" b="1"/>
            <a:t>VLOOKUP</a:t>
          </a:r>
          <a:r>
            <a:rPr lang="en-US"/>
            <a:t>, we also found which exact cars have the minimum and maximum price, which gives context to the numbers. This helps anyone reading understand not just the numbers, but what kind of cars those numbers represent.</a:t>
          </a:r>
        </a:p>
        <a:p>
          <a:endParaRPr lang="en-PK" sz="1100"/>
        </a:p>
      </xdr:txBody>
    </xdr:sp>
    <xdr:clientData/>
  </xdr:twoCellAnchor>
  <xdr:twoCellAnchor>
    <xdr:from>
      <xdr:col>0</xdr:col>
      <xdr:colOff>219075</xdr:colOff>
      <xdr:row>47</xdr:row>
      <xdr:rowOff>104775</xdr:rowOff>
    </xdr:from>
    <xdr:to>
      <xdr:col>3</xdr:col>
      <xdr:colOff>809625</xdr:colOff>
      <xdr:row>55</xdr:row>
      <xdr:rowOff>133350</xdr:rowOff>
    </xdr:to>
    <xdr:sp macro="" textlink="">
      <xdr:nvSpPr>
        <xdr:cNvPr id="3" name="TextBox 2">
          <a:extLst>
            <a:ext uri="{FF2B5EF4-FFF2-40B4-BE49-F238E27FC236}">
              <a16:creationId xmlns:a16="http://schemas.microsoft.com/office/drawing/2014/main" id="{EE2A5A65-8FA5-815D-D5F8-E64838BAAE55}"/>
            </a:ext>
          </a:extLst>
        </xdr:cNvPr>
        <xdr:cNvSpPr txBox="1"/>
      </xdr:nvSpPr>
      <xdr:spPr>
        <a:xfrm>
          <a:off x="219075" y="9058275"/>
          <a:ext cx="307657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dataset has 1,999 cars. The average selling price is $20,393, and the median is $18,200. Most cars cost between $12,100 (Q1) and $25,000 (Q3). The cheapest car is a Nissan Maxima at $1,000, and the most expensive is a Ferrari California at $154,000. Prices vary a lot, showing a mix of cheap and expensive cars in the market.</a:t>
          </a:r>
          <a:endParaRPr lang="en-PK" sz="1100"/>
        </a:p>
      </xdr:txBody>
    </xdr:sp>
    <xdr:clientData/>
  </xdr:twoCellAnchor>
  <xdr:twoCellAnchor>
    <xdr:from>
      <xdr:col>4</xdr:col>
      <xdr:colOff>247650</xdr:colOff>
      <xdr:row>12</xdr:row>
      <xdr:rowOff>38100</xdr:rowOff>
    </xdr:from>
    <xdr:to>
      <xdr:col>7</xdr:col>
      <xdr:colOff>2019300</xdr:colOff>
      <xdr:row>20</xdr:row>
      <xdr:rowOff>114300</xdr:rowOff>
    </xdr:to>
    <xdr:sp macro="" textlink="">
      <xdr:nvSpPr>
        <xdr:cNvPr id="5" name="TextBox 4">
          <a:extLst>
            <a:ext uri="{FF2B5EF4-FFF2-40B4-BE49-F238E27FC236}">
              <a16:creationId xmlns:a16="http://schemas.microsoft.com/office/drawing/2014/main" id="{3754A132-922F-868F-7086-CEC36F7C0B29}"/>
            </a:ext>
          </a:extLst>
        </xdr:cNvPr>
        <xdr:cNvSpPr txBox="1"/>
      </xdr:nvSpPr>
      <xdr:spPr>
        <a:xfrm>
          <a:off x="4067175" y="2324100"/>
          <a:ext cx="4314825"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dataset has 1,944 cars with recorded condition scores. The average condition score is 33.5, and the median is 38. Most cars fall between 29 (1st quartile) and 43 (3rd quartile). The lowest condition score is 1, which belongs to a Nissan Altima 2.5 S. The highest condition score is 49, which belongs to an Audi Q5 2.0T Premium Plus quattro. The most common condition score is 44. These numbers show that most cars in the dataset are in good condition, but there are a few cars that are very low or very high, which indicates some variation in the car conditions.</a:t>
          </a:r>
          <a:endParaRPr lang="en-PK" sz="1100"/>
        </a:p>
      </xdr:txBody>
    </xdr:sp>
    <xdr:clientData/>
  </xdr:twoCellAnchor>
  <xdr:twoCellAnchor>
    <xdr:from>
      <xdr:col>4</xdr:col>
      <xdr:colOff>352425</xdr:colOff>
      <xdr:row>21</xdr:row>
      <xdr:rowOff>66675</xdr:rowOff>
    </xdr:from>
    <xdr:to>
      <xdr:col>7</xdr:col>
      <xdr:colOff>2000250</xdr:colOff>
      <xdr:row>30</xdr:row>
      <xdr:rowOff>123825</xdr:rowOff>
    </xdr:to>
    <xdr:sp macro="" textlink="">
      <xdr:nvSpPr>
        <xdr:cNvPr id="6" name="TextBox 5">
          <a:extLst>
            <a:ext uri="{FF2B5EF4-FFF2-40B4-BE49-F238E27FC236}">
              <a16:creationId xmlns:a16="http://schemas.microsoft.com/office/drawing/2014/main" id="{24C057D2-17C1-B540-3A5A-D108F4AB4644}"/>
            </a:ext>
          </a:extLst>
        </xdr:cNvPr>
        <xdr:cNvSpPr txBox="1"/>
      </xdr:nvSpPr>
      <xdr:spPr>
        <a:xfrm>
          <a:off x="4171950" y="4067175"/>
          <a:ext cx="4191000"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dataset has 1,944 cars. Condition scores range from 1 (Nissan Altima) to 49 (Audi Q5). The average score is 33.5, and the median is 38. Most cars fall between 29 and 43. The most common score is 44. This shows most cars are in decent condition with some variation.</a:t>
          </a:r>
          <a:endParaRPr lang="en-PK" sz="1100"/>
        </a:p>
      </xdr:txBody>
    </xdr:sp>
    <xdr:clientData/>
  </xdr:twoCellAnchor>
  <xdr:twoCellAnchor>
    <xdr:from>
      <xdr:col>8</xdr:col>
      <xdr:colOff>57150</xdr:colOff>
      <xdr:row>12</xdr:row>
      <xdr:rowOff>66675</xdr:rowOff>
    </xdr:from>
    <xdr:to>
      <xdr:col>13</xdr:col>
      <xdr:colOff>19050</xdr:colOff>
      <xdr:row>32</xdr:row>
      <xdr:rowOff>85725</xdr:rowOff>
    </xdr:to>
    <xdr:sp macro="" textlink="">
      <xdr:nvSpPr>
        <xdr:cNvPr id="7" name="TextBox 6">
          <a:extLst>
            <a:ext uri="{FF2B5EF4-FFF2-40B4-BE49-F238E27FC236}">
              <a16:creationId xmlns:a16="http://schemas.microsoft.com/office/drawing/2014/main" id="{283AEC5C-7887-CCB4-6542-D40CABAB943A}"/>
            </a:ext>
          </a:extLst>
        </xdr:cNvPr>
        <xdr:cNvSpPr txBox="1"/>
      </xdr:nvSpPr>
      <xdr:spPr>
        <a:xfrm>
          <a:off x="8496300" y="2352675"/>
          <a:ext cx="5200650" cy="382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dataset contains 1,999 cars with recorded odometer readings. On average, cars have traveled 35,371 miles. The median odometer reading is 32,906 miles. This means that half of the cars have traveled less than 32,906 miles, and half have traveled more. The first quartile is 21,323 miles, and the third quartile is 43,261 miles. This shows that most cars in the dataset are within this range, indicating a typical usage pattern for used cars in the market.</a:t>
          </a:r>
        </a:p>
        <a:p>
          <a:r>
            <a:rPr lang="en-US"/>
            <a:t>The minimum odometer reading is 1 mile, which might seem unusual. This could happen if a car is almost new, such as a demo model, or if there was a data entry error where the actual mileage was not recorded correctly. On the other side, the maximum odometer reading is 999,999 miles, which is extremely high and likely represents either an older car or a data entry placeholder for cars with very high mileage.</a:t>
          </a:r>
        </a:p>
        <a:p>
          <a:r>
            <a:rPr lang="en-US"/>
            <a:t>The mode of the dataset is 13,661 miles. This indicates that many cars in the dataset have odometer readings close to this value, which could suggest popular models or cars that are often sold after lower usage periods. The standard deviation is 29,372 miles, which shows that the mileage varies a lot across the dataset. This wide range reflects the mix of nearly new cars, average used cars, and high-mileage vehicles.</a:t>
          </a:r>
        </a:p>
        <a:p>
          <a:r>
            <a:rPr lang="en-US"/>
            <a:t>Overall, the odometer data gives insight into the usage patterns of cars in the dataset. Most cars are moderately used, with some exceptions on the very low and very high ends. These extreme values can occur due to nearly new vehicles, very old vehicles, or data inconsistencies. Understanding the odometer readings helps in analyzing car value, resale price, and expected wear and tear.</a:t>
          </a:r>
        </a:p>
        <a:p>
          <a:endParaRPr lang="en-PK" sz="1100"/>
        </a:p>
      </xdr:txBody>
    </xdr:sp>
    <xdr:clientData/>
  </xdr:twoCellAnchor>
  <xdr:twoCellAnchor>
    <xdr:from>
      <xdr:col>8</xdr:col>
      <xdr:colOff>152400</xdr:colOff>
      <xdr:row>34</xdr:row>
      <xdr:rowOff>38100</xdr:rowOff>
    </xdr:from>
    <xdr:to>
      <xdr:col>12</xdr:col>
      <xdr:colOff>1066800</xdr:colOff>
      <xdr:row>40</xdr:row>
      <xdr:rowOff>152400</xdr:rowOff>
    </xdr:to>
    <xdr:sp macro="" textlink="">
      <xdr:nvSpPr>
        <xdr:cNvPr id="8" name="TextBox 7">
          <a:extLst>
            <a:ext uri="{FF2B5EF4-FFF2-40B4-BE49-F238E27FC236}">
              <a16:creationId xmlns:a16="http://schemas.microsoft.com/office/drawing/2014/main" id="{870D098C-8F97-6AF1-80E8-89AD24B57B7B}"/>
            </a:ext>
          </a:extLst>
        </xdr:cNvPr>
        <xdr:cNvSpPr txBox="1"/>
      </xdr:nvSpPr>
      <xdr:spPr>
        <a:xfrm>
          <a:off x="8591550" y="6515100"/>
          <a:ext cx="50673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dataset has 1,999 cars. Odometer readings range from 1 mile (likely a new or demo car) to 999,999 miles (very high mileage or placeholder). The average is 35,371 miles, and the median is 32,906 miles. Most cars fall between 21,323 and 43,261 miles. The mode is 13,661 miles. This shows most cars are moderately used, with some outliers at very low or very high mileage.</a:t>
          </a:r>
          <a:endParaRPr lang="en-PK"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11</xdr:row>
      <xdr:rowOff>38100</xdr:rowOff>
    </xdr:from>
    <xdr:to>
      <xdr:col>9</xdr:col>
      <xdr:colOff>1114425</xdr:colOff>
      <xdr:row>18</xdr:row>
      <xdr:rowOff>161925</xdr:rowOff>
    </xdr:to>
    <xdr:sp macro="" textlink="">
      <xdr:nvSpPr>
        <xdr:cNvPr id="3" name="TextBox 2">
          <a:extLst>
            <a:ext uri="{FF2B5EF4-FFF2-40B4-BE49-F238E27FC236}">
              <a16:creationId xmlns:a16="http://schemas.microsoft.com/office/drawing/2014/main" id="{BF692497-AF6A-E823-409E-D31199B9E491}"/>
            </a:ext>
          </a:extLst>
        </xdr:cNvPr>
        <xdr:cNvSpPr txBox="1"/>
      </xdr:nvSpPr>
      <xdr:spPr>
        <a:xfrm>
          <a:off x="3629025" y="2133600"/>
          <a:ext cx="584835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most common car makes are BMW with 330 cars, Infiniti with 249, Nissan with 244, Hyundai with 189, and Ford with 137. The top models are 3 Series (151), G Sedan (181), Altima (118), Elantra (53), and Sonata (54). Popular trims include 328i (109), G37 Journey (139), Base (173), GLS (86), and SE (88).</a:t>
          </a:r>
        </a:p>
        <a:p>
          <a:r>
            <a:rPr lang="en-US"/>
            <a:t>For body types, Sedan appears most often, followed by SUV, G Sedan, Hatchback, and Convertible. This shows that certain makes, models, trims, and body types are more frequently sold than others, highlighting trends in car popularity.</a:t>
          </a:r>
        </a:p>
        <a:p>
          <a:endParaRPr lang="en-P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123825</xdr:colOff>
      <xdr:row>3</xdr:row>
      <xdr:rowOff>152400</xdr:rowOff>
    </xdr:from>
    <xdr:to>
      <xdr:col>9</xdr:col>
      <xdr:colOff>1504950</xdr:colOff>
      <xdr:row>12</xdr:row>
      <xdr:rowOff>133350</xdr:rowOff>
    </xdr:to>
    <xdr:sp macro="" textlink="">
      <xdr:nvSpPr>
        <xdr:cNvPr id="3" name="TextBox 2">
          <a:extLst>
            <a:ext uri="{FF2B5EF4-FFF2-40B4-BE49-F238E27FC236}">
              <a16:creationId xmlns:a16="http://schemas.microsoft.com/office/drawing/2014/main" id="{6D21D80F-4799-BA91-C499-0EDE217CFEEA}"/>
            </a:ext>
          </a:extLst>
        </xdr:cNvPr>
        <xdr:cNvSpPr txBox="1"/>
      </xdr:nvSpPr>
      <xdr:spPr>
        <a:xfrm>
          <a:off x="5057775" y="723900"/>
          <a:ext cx="611505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count of car_full_name shows how cars are spread across quality levels based on condition. Most cars fall into the Medium condition group, with 886 cars in this range. There are 771 cars in the High condition group, while 342 cars are in the Low condition group. This shows that most cars are neither very poor nor very high in condition, but sit in the middle range.</a:t>
          </a:r>
        </a:p>
        <a:p>
          <a:endParaRPr lang="en-US"/>
        </a:p>
        <a:p>
          <a:r>
            <a:rPr lang="en-US"/>
            <a:t>The count of price_flag follows the same pattern. There are 886 cars in the Medium price group, 771 cars in the High price group, and 342 cars in the Low price group. This suggests that pricing closely follows the condition of the cars, with medium-condition cars mostly priced in the medium range, and fewer cars falling into the low and high price groups.</a:t>
          </a:r>
        </a:p>
        <a:p>
          <a:endParaRPr lang="en-PK"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R" refreshedDate="46007.978417708335" createdVersion="8" refreshedVersion="8" minRefreshableVersion="3" recordCount="2000" xr:uid="{D2BCAA18-AAE2-48F9-B591-F074BE201E9E}">
  <cacheSource type="worksheet">
    <worksheetSource ref="A1:T1048576" sheet="car_sale_raw_dataset"/>
  </cacheSource>
  <cacheFields count="20">
    <cacheField name="year" numFmtId="0">
      <sharedItems containsString="0" containsBlank="1" containsNumber="1" containsInteger="1" minValue="2011" maxValue="2015"/>
    </cacheField>
    <cacheField name="make" numFmtId="0">
      <sharedItems containsBlank="1" count="35">
        <s v="Kia"/>
        <s v="BMW"/>
        <s v="Volvo"/>
        <s v="Nissan"/>
        <s v="Chevrolet"/>
        <s v="Audi"/>
        <s v="Ford"/>
        <s v="Hyundai"/>
        <s v="Buick"/>
        <s v="Cadillac"/>
        <s v="Acura"/>
        <s v="Lexus"/>
        <s v="Infiniti"/>
        <s v="Jeep"/>
        <s v="Mercedes-Benz"/>
        <s v="Mitsubishi"/>
        <s v="Mazda"/>
        <s v="MINI"/>
        <s v="Land Rover"/>
        <s v="Lincoln"/>
        <s v="Jaguar"/>
        <s v="Volkswagen"/>
        <s v="Toyota"/>
        <s v="Subaru"/>
        <s v="Scion"/>
        <s v="Porsche"/>
        <m/>
        <s v="Dodge"/>
        <s v="FIAT"/>
        <s v="Chrysler"/>
        <s v="Ferrari"/>
        <s v="Honda"/>
        <s v="GMC"/>
        <s v="Ram"/>
        <s v="smart"/>
      </sharedItems>
    </cacheField>
    <cacheField name="model" numFmtId="0">
      <sharedItems containsBlank="1" containsMixedTypes="1" containsNumber="1" containsInteger="1" minValue="200" maxValue="2500" count="238">
        <s v="Sorento"/>
        <s v="3 Series"/>
        <s v="S60"/>
        <s v="6 Series Gran Coupe"/>
        <s v="Altima"/>
        <s v="M5"/>
        <s v="Cruze"/>
        <s v="A4"/>
        <s v="Camaro"/>
        <s v="A6"/>
        <s v="Optima"/>
        <s v="Fusion"/>
        <s v="Sonata"/>
        <s v="Q5"/>
        <s v="6 Series"/>
        <s v="Impala"/>
        <s v="5 Series"/>
        <s v="A3"/>
        <s v="XC70"/>
        <s v="X5"/>
        <s v="SQ5"/>
        <s v="S5"/>
        <s v="Verano"/>
        <s v="Suburban"/>
        <s v="ELR"/>
        <s v="V60"/>
        <s v="X6"/>
        <s v="ILX"/>
        <s v="K900"/>
        <s v="Malibu"/>
        <s v="RX 350"/>
        <s v="Versa"/>
        <s v="Elantra"/>
        <s v="Versa Note"/>
        <s v="A8"/>
        <s v="X1"/>
        <m/>
        <s v="Enclave"/>
        <s v="TTS"/>
        <s v="4 Series"/>
        <s v="Silverado 2500HD"/>
        <s v="MDX"/>
        <s v="Silverado 1500"/>
        <s v="SRX"/>
        <s v="G Coupe"/>
        <s v="G Sedan"/>
        <s v="FX"/>
        <s v="Santa Fe"/>
        <s v="Genesis"/>
        <s v="Equus"/>
        <s v="Sonata Hybrid"/>
        <s v="Accent"/>
        <s v="Veloster"/>
        <s v="Elantra Coupe"/>
        <s v="Azera"/>
        <s v="Tucson"/>
        <s v="Genesis Coupe"/>
        <s v="Wrangler"/>
        <s v="S-Class"/>
        <s v="GS 350"/>
        <s v="Outlander"/>
        <s v="C-Class"/>
        <s v="Mazda2"/>
        <s v="Rio"/>
        <s v="M"/>
        <s v="370Z"/>
        <s v="Soul"/>
        <s v="Outlander Sport"/>
        <s v="SLK-Class"/>
        <s v="ES 350"/>
        <s v="E-Class"/>
        <s v="Mazda3"/>
        <s v="Cooper Clubman"/>
        <s v="Cooper"/>
        <s v="CX-9"/>
        <s v="Forte"/>
        <s v="Compass"/>
        <s v="JX"/>
        <s v="RX 450h"/>
        <s v="LR4"/>
        <s v="Mazda5"/>
        <s v="Range Rover Evoque"/>
        <s v="LS 460"/>
        <s v="GLK-Class"/>
        <s v="Sportage"/>
        <s v="Grand Cherokee"/>
        <s v="MKX"/>
        <s v="mkt"/>
        <s v="XF"/>
        <s v="GL-Class"/>
        <s v="M-Class"/>
        <s v="Cooper Countryman"/>
        <s v="Lancer"/>
        <s v="Range Rover Sport"/>
        <s v="Passat"/>
        <s v="Corolla"/>
        <s v="XC60"/>
        <s v="Sienna"/>
        <s v="Juke"/>
        <s v="Yaris"/>
        <s v="Sentra"/>
        <s v="Rogue"/>
        <s v="NV"/>
        <s v="CC"/>
        <s v="Leaf"/>
        <s v="Camry"/>
        <s v="Tacoma"/>
        <s v="Jetta"/>
        <s v="Impreza WRX"/>
        <s v="FJ Cruiser"/>
        <s v="Beetle"/>
        <s v="Avalon"/>
        <s v="FR-S"/>
        <s v="NV200"/>
        <s v="RAV4"/>
        <s v="Quest"/>
        <s v="Tundra"/>
        <s v="tC"/>
        <s v="Maxima"/>
        <s v="Cayenne"/>
        <n v="911"/>
        <s v="Xterra"/>
        <s v="Prius"/>
        <s v="S80"/>
        <s v="Frontier"/>
        <s v="Boxster"/>
        <s v="Camry Hybrid"/>
        <s v="xB"/>
        <s v="Cube"/>
        <s v="Jetta SportWagen"/>
        <s v="4Runner"/>
        <s v="Sequoia"/>
        <s v="Legacy"/>
        <s v="Armada"/>
        <s v="Venza"/>
        <s v="Murano"/>
        <s v="Pathfinder"/>
        <s v="Panamera"/>
        <s v="Forester"/>
        <s v="Highlander"/>
        <s v="Impreza"/>
        <s v="750i"/>
        <s v="TSX"/>
        <s v="7 Series"/>
        <s v="1 Series"/>
        <s v="TL"/>
        <s v="750li"/>
        <s v="S4"/>
        <s v="A7"/>
        <s v="A5"/>
        <s v="RDX"/>
        <s v="M3"/>
        <s v="Cooper Coupe"/>
        <s v="ZDX"/>
        <s v="R8"/>
        <s v="X3"/>
        <s v="Avenger"/>
        <s v="E-Series Wagon"/>
        <s v="Escape"/>
        <s v="Edge"/>
        <s v="Focus"/>
        <s v="Flex"/>
        <s v="Z4"/>
        <s v="Traverse"/>
        <s v="F-350 Super Duty"/>
        <s v="Fiesta"/>
        <n v="500"/>
        <n v="200"/>
        <s v="Journey"/>
        <s v="Charger"/>
        <s v="e350"/>
        <s v="Equinox"/>
        <n v="300"/>
        <s v="F-150"/>
        <s v="Explorer"/>
        <s v="Captiva Sport"/>
        <s v="Escalade"/>
        <s v="Grand Caravan"/>
        <s v="CTS Coupe"/>
        <s v="Town and Country"/>
        <s v="E-Series Van"/>
        <s v="Volt"/>
        <s v="Express Cargo"/>
        <s v="e150"/>
        <s v="X5 M"/>
        <s v="Expedition"/>
        <s v="Colorado"/>
        <s v="Express"/>
        <s v="California"/>
        <s v="Escalade ESV"/>
        <s v="Sonic"/>
        <s v="Accord"/>
        <s v="CR-V"/>
        <s v="Mustang"/>
        <s v="Civic"/>
        <s v="Fit"/>
        <s v="Pilot"/>
        <s v="Odyssey"/>
        <s v="Crosstour"/>
        <s v="Transit Connect"/>
        <s v="Terrain"/>
        <s v="Taurus"/>
        <s v="G Convertible"/>
        <s v="Yukon"/>
        <s v="Veracruz"/>
        <s v="XJ"/>
        <s v="Liberty"/>
        <s v="IS 250"/>
        <s v="XK"/>
        <s v="QX"/>
        <s v="CT 200h"/>
        <s v="Mazda6"/>
        <s v="MKZ"/>
        <s v="Navigator"/>
        <s v="Range Rover"/>
        <s v="SL-Class"/>
        <s v="Sedona"/>
        <s v="IS 350"/>
        <s v="Patriot"/>
        <s v="galant"/>
        <n v="1500"/>
        <s v="GT-R"/>
        <n v="2500"/>
        <s v="fortwo"/>
        <s v="GLI"/>
        <s v="5 Series Gran Turismo"/>
        <s v="XC90"/>
        <s v="Tiguan"/>
        <s v="GTI"/>
        <s v="Q7"/>
        <s v="Highlander Hybrid"/>
        <s v="Prius Plug-in"/>
        <s v="CR-Z"/>
        <s v="EX"/>
        <s v="Sierra 1500"/>
        <s v="LaCrosse"/>
        <s v="HHR"/>
        <s v="Accord Crosstour"/>
      </sharedItems>
    </cacheField>
    <cacheField name="trim" numFmtId="0">
      <sharedItems containsBlank="1" containsMixedTypes="1" containsNumber="1" minValue="2" maxValue="1500" count="251">
        <s v="LX"/>
        <s v="328i SULEV"/>
        <s v="T5"/>
        <s v="650i"/>
        <s v="2.5 S"/>
        <s v="Base"/>
        <s v="1LT"/>
        <s v="2.0T Premium Plus quattro"/>
        <s v="LT"/>
        <s v="3.0T Prestige quattro"/>
        <s v="SE"/>
        <s v="2LT"/>
        <s v="LS"/>
        <s v="LTZ"/>
        <s v="528i"/>
        <s v="1.8 TFSI Premium"/>
        <s v="T6"/>
        <s v="sDrive35i"/>
        <s v="3.0T Premium Plus quattro"/>
        <s v="Premium Plus quattro"/>
        <s v="Convenience Group"/>
        <s v="xDrive35i"/>
        <s v="Technology Package"/>
        <s v="Luxury"/>
        <s v="1.6 SL"/>
        <s v="1.6 SV"/>
        <s v="L 3.0T quattro"/>
        <s v="sDrive28i"/>
        <s v="750Li"/>
        <s v="Leather Group"/>
        <s v="quattro"/>
        <s v="428i SULEV"/>
        <s v="Work Truck"/>
        <s v="Advance and Entertainment Packages"/>
        <s v="535d"/>
        <s v="G37 Sport"/>
        <s v="G37 Journey"/>
        <s v="FX37"/>
        <s v="Limited"/>
        <s v="5.0 R-Spec"/>
        <s v="Signature"/>
        <s v="GLS"/>
        <s v="Sport"/>
        <s v="Sport 2.0T"/>
        <s v="Turbo"/>
        <s v="GS"/>
        <s v="Ultimate"/>
        <n v="3.8"/>
        <s v="3.8 Track"/>
        <s v="Unlimited Rubicon"/>
        <s v="EX Hybrid"/>
        <n v="2.5"/>
        <s v="S550"/>
        <s v="C250"/>
        <s v="SX"/>
        <s v="Unlimited Sahara"/>
        <s v="C250 Sport"/>
        <s v="Touring"/>
        <s v="M37"/>
        <s v="+"/>
        <s v="LE"/>
        <s v="SLK350"/>
        <s v="E350 Sport"/>
        <s v="i SV"/>
        <s v="Latitude"/>
        <s v="i Touring"/>
        <s v="JX35"/>
        <s v="G37x"/>
        <s v="HSE LUX"/>
        <s v="EX"/>
        <s v="i Sport"/>
        <s v="Pure Plus"/>
        <s v="L"/>
        <s v="GLK350"/>
        <s v="Unlimited Sport"/>
        <s v="E350 Sport BlueTEC"/>
        <s v="Pure"/>
        <s v="awd v6"/>
        <s v="GL450 4MATIC"/>
        <s v="ML350"/>
        <s v="Pure Premium"/>
        <s v="Ralliart"/>
        <s v="C63 AMG"/>
        <s v="Supercharged Limited Edition"/>
        <s v="E350"/>
        <s v="ES"/>
        <s v="SE PZEV"/>
        <n v="3.2"/>
        <s v="LE 7-Passenger Mobility Auto Access"/>
        <s v="S"/>
        <s v="SR"/>
        <s v="1500 S"/>
        <s v="R-Line PZEV"/>
        <s v="SL"/>
        <s v="XLE"/>
        <s v="PreRunner"/>
        <s v="3.5 SL"/>
        <s v="1.6 S Plus"/>
        <s v="2.5L PZEV"/>
        <s v="Wolfsburg Edition PZEV"/>
        <s v="TDI"/>
        <s v="Tundra"/>
        <s v="3.5 SV"/>
        <s v="Carrera S"/>
        <s v="Two"/>
        <s v="SV"/>
        <s v="1.8 SL"/>
        <s v="S PZEV"/>
        <s v="FE+ S"/>
        <s v="SR5"/>
        <s v="3.5 S"/>
        <s v="2.5i Premium PZEV"/>
        <s v="PreRunner V6"/>
        <s v="S Hybrid"/>
        <s v="S Special Edition"/>
        <s v="2.5X PZEV"/>
        <s v="2.0i Sport Limited PZEV"/>
        <s v="V6"/>
        <s v="STI"/>
        <s v="FE+ SV"/>
        <s v="TDI SE"/>
        <m/>
        <s v="xdr 750i xdriv"/>
        <s v="3.0T Premium quattro"/>
        <s v="740i"/>
        <s v="335is"/>
        <s v="328i"/>
        <s v="135i"/>
        <s v="640i"/>
        <s v="535i"/>
        <s v="740Li"/>
        <s v="528i xDrive"/>
        <s v="Premium quattro"/>
        <s v="335i"/>
        <s v="2.0T Premium quattro"/>
        <s v="128i"/>
        <s v="Special Edition"/>
        <s v="750i"/>
        <s v="550i"/>
        <s v="650i xDrive"/>
        <s v="4.2 quattro"/>
        <s v="xDrive28i"/>
        <s v="3.2 Premium Plus quattro"/>
        <s v="Technology and Entertainment Packages"/>
        <s v="535i xDrive"/>
        <s v="E-350 Super Duty XL"/>
        <s v="SEL"/>
        <s v="xDrive35i Premium"/>
        <s v="Titanium"/>
        <s v="xDrive35d"/>
        <s v="LT Fleet"/>
        <s v="LS Fleet"/>
        <s v="Lariat"/>
        <s v="SES"/>
        <s v="XLS"/>
        <s v="SXT"/>
        <s v="SRT8"/>
        <s v="xDrive50i"/>
        <s v="wagon v8 xlt"/>
        <s v="S V6"/>
        <s v="XLT"/>
        <s v="C Pop"/>
        <s v="LTZ Fleet"/>
        <s v="American Value Package"/>
        <s v="Premium"/>
        <s v="FX2"/>
        <s v="E-150"/>
        <s v="Hybrid"/>
        <n v="1500"/>
        <s v="Eco"/>
        <s v="wagon v8"/>
        <s v="2LS Fleet"/>
        <s v="E-350 Super Duty"/>
        <s v="1LT Fleet"/>
        <s v="LS 3500"/>
        <s v="XL"/>
        <s v="Crew"/>
        <s v="Platinum Edition"/>
        <s v="G25"/>
        <s v="LX-P"/>
        <s v="LX-S"/>
        <n v="4.5999999999999996"/>
        <s v="EX V-6"/>
        <s v="EX-L"/>
        <s v="EX-L V-6"/>
        <s v="GT"/>
        <s v="Cargo Van XLT"/>
        <s v="SLE-2"/>
        <s v="G37"/>
        <s v="FX35"/>
        <s v="Denali"/>
        <s v="HF"/>
        <s v="E350 Luxury"/>
        <s v="XKR"/>
        <s v="QX56"/>
        <s v="XJL Supercharged"/>
        <s v="i Grand Touring"/>
        <s v="Laredo"/>
        <s v="M35h"/>
        <s v="Portfolio"/>
        <s v="HSE"/>
        <s v="S ALL4"/>
        <s v="Koup EX"/>
        <s v="SL550"/>
        <s v="s Touring"/>
        <s v="Supercharged"/>
        <s v="M37x"/>
        <s v="fe"/>
        <n v="2"/>
        <s v="1.8 S"/>
        <s v="R/T"/>
        <s v="ST"/>
        <s v="3500 S"/>
        <s v="WRX"/>
        <s v="Black Edition"/>
        <s v="ML350 4MATIC"/>
        <s v="2.5X Touring PZEV"/>
        <s v="SLT"/>
        <s v="S350 BlueTEC 4MATIC"/>
        <s v="Carrera S (Midyear Redesign)"/>
        <n v="4"/>
        <s v="E350 Luxury 4MATIC"/>
        <s v="ML350 BlueTEC"/>
        <s v="2.5i Premium"/>
        <s v="ML63 AMG"/>
        <s v="1.6 S"/>
        <s v="passion coupe"/>
        <s v="2.0T Premium"/>
        <s v="Autobahn PZEV"/>
        <s v="Three"/>
        <s v="SH-AWD"/>
        <s v="328i xDrive"/>
        <s v="PZEV"/>
        <s v="Sport PZEV"/>
        <s v="3.0T S line Prestige quattro"/>
        <s v="2.0T White Turbo Launch Edition PZEV"/>
        <s v="TDI Premium quattro"/>
        <s v="Lux Limited PZEV"/>
        <s v="335d"/>
        <s v="Base 7-Passenger"/>
        <s v="335i xDrive"/>
        <s v="LT1"/>
        <s v="C"/>
        <s v="Express"/>
        <s v="FX4"/>
        <s v="EX35"/>
        <s v="LTZ 1500"/>
        <s v="SLE"/>
        <s v="CXL"/>
        <s v="STX"/>
        <s v="CXS"/>
      </sharedItems>
    </cacheField>
    <cacheField name="body" numFmtId="0">
      <sharedItems containsBlank="1" count="27">
        <s v="SUV"/>
        <s v="Sedan"/>
        <s v="Convertible"/>
        <s v="Coupe"/>
        <s v="Wagon"/>
        <s v="Hatchback"/>
        <s v="Crew Cab"/>
        <s v="G Coupe"/>
        <s v="G Sedan"/>
        <s v="Elantra Coupe"/>
        <s v="Genesis Coupe"/>
        <s v="Minivan"/>
        <m/>
        <s v="Van"/>
        <s v="Double Cab"/>
        <s v="CrewMax Cab"/>
        <s v="Access Cab"/>
        <s v="King Cab"/>
        <s v="SuperCrew"/>
        <s v="CTS Coupe"/>
        <s v="Extended Cab"/>
        <s v="E-Series Van"/>
        <s v="SuperCab"/>
        <s v="Regular Cab"/>
        <s v="G Convertible"/>
        <s v="Koup"/>
        <s v="Quad Cab"/>
      </sharedItems>
    </cacheField>
    <cacheField name="transmission" numFmtId="0">
      <sharedItems containsBlank="1"/>
    </cacheField>
    <cacheField name="vin" numFmtId="0">
      <sharedItems containsBlank="1"/>
    </cacheField>
    <cacheField name="state" numFmtId="0">
      <sharedItems containsBlank="1"/>
    </cacheField>
    <cacheField name="condition" numFmtId="0">
      <sharedItems containsString="0" containsBlank="1" containsNumber="1" containsInteger="1" minValue="1" maxValue="49"/>
    </cacheField>
    <cacheField name="odometer" numFmtId="0">
      <sharedItems containsString="0" containsBlank="1" containsNumber="1" containsInteger="1" minValue="1" maxValue="999999" count="1964">
        <n v="16639"/>
        <n v="9393"/>
        <n v="1331"/>
        <n v="14282"/>
        <n v="2641"/>
        <n v="5554"/>
        <n v="14943"/>
        <n v="28617"/>
        <n v="9557"/>
        <n v="4809"/>
        <n v="14414"/>
        <n v="2034"/>
        <n v="5559"/>
        <n v="14634"/>
        <n v="15686"/>
        <n v="11398"/>
        <n v="8311"/>
        <n v="7983"/>
        <n v="13441"/>
        <n v="8819"/>
        <n v="14538"/>
        <n v="25969"/>
        <n v="33450"/>
        <n v="5826"/>
        <n v="10736"/>
        <n v="9281"/>
        <n v="16506"/>
        <n v="12725"/>
        <n v="11278"/>
        <n v="11874"/>
        <n v="37888"/>
        <n v="9606"/>
        <n v="13757"/>
        <n v="5875"/>
        <n v="12862"/>
        <n v="19531"/>
        <n v="11426"/>
        <n v="111"/>
        <n v="16360"/>
        <n v="9027"/>
        <n v="4436"/>
        <n v="9208"/>
        <n v="13205"/>
        <n v="11846"/>
        <n v="38261"/>
        <n v="379"/>
        <n v="12242"/>
        <n v="40661"/>
        <n v="9051"/>
        <n v="13878"/>
        <n v="10906"/>
        <n v="10678"/>
        <n v="7305"/>
        <n v="4314"/>
        <n v="5304"/>
        <n v="10357"/>
        <n v="6105"/>
        <n v="7770"/>
        <n v="5214"/>
        <n v="7766"/>
        <n v="9684"/>
        <n v="31"/>
        <n v="1608"/>
        <n v="9914"/>
        <n v="7879"/>
        <n v="14176"/>
        <n v="17594"/>
        <n v="1906"/>
        <n v="8037"/>
        <n v="5773"/>
        <n v="32918"/>
        <n v="19689"/>
        <n v="12172"/>
        <n v="20595"/>
        <n v="13623"/>
        <n v="9837"/>
        <n v="13606"/>
        <n v="37752"/>
        <n v="9161"/>
        <n v="11001"/>
        <n v="14599"/>
        <n v="13386"/>
        <n v="15161"/>
        <n v="3996"/>
        <n v="10551"/>
        <n v="18152"/>
        <n v="13452"/>
        <n v="37938"/>
        <n v="39623"/>
        <n v="8742"/>
        <n v="16348"/>
        <n v="9750"/>
        <n v="3367"/>
        <n v="21523"/>
        <n v="4205"/>
        <n v="8891"/>
        <n v="8154"/>
        <n v="6726"/>
        <n v="36771"/>
        <n v="9552"/>
        <n v="10673"/>
        <n v="14806"/>
        <n v="7924"/>
        <n v="12752"/>
        <n v="19499"/>
        <n v="6759"/>
        <n v="12292"/>
        <n v="15727"/>
        <n v="13711"/>
        <n v="8683"/>
        <n v="4503"/>
        <n v="7800"/>
        <n v="40393"/>
        <n v="9685"/>
        <n v="10615"/>
        <n v="13031"/>
        <n v="12905"/>
        <n v="16611"/>
        <n v="12273"/>
        <n v="11204"/>
        <n v="40560"/>
        <n v="5335"/>
        <n v="14716"/>
        <n v="68"/>
        <n v="24112"/>
        <n v="4859"/>
        <n v="21126"/>
        <n v="26675"/>
        <n v="19978"/>
        <n v="10532"/>
        <n v="25859"/>
        <n v="14974"/>
        <n v="21463"/>
        <n v="22961"/>
        <n v="21144"/>
        <n v="56651"/>
        <n v="11439"/>
        <n v="39935"/>
        <n v="20317"/>
        <n v="37436"/>
        <n v="26888"/>
        <n v="7815"/>
        <n v="54830"/>
        <n v="2606"/>
        <n v="36416"/>
        <n v="26412"/>
        <n v="11099"/>
        <n v="11250"/>
        <n v="16386"/>
        <n v="20663"/>
        <n v="16154"/>
        <n v="22405"/>
        <n v="28172"/>
        <n v="18600"/>
        <n v="17523"/>
        <n v="11440"/>
        <n v="28231"/>
        <n v="13225"/>
        <n v="41888"/>
        <n v="35428"/>
        <n v="36307"/>
        <n v="13736"/>
        <n v="25442"/>
        <n v="15208"/>
        <n v="10929"/>
        <n v="29672"/>
        <n v="22165"/>
        <n v="21263"/>
        <n v="24971"/>
        <n v="37290"/>
        <n v="17367"/>
        <n v="11847"/>
        <n v="15562"/>
        <n v="18479"/>
        <n v="22021"/>
        <n v="34136"/>
        <n v="28668"/>
        <n v="10474"/>
        <n v="16338"/>
        <n v="47010"/>
        <n v="11809"/>
        <n v="15131"/>
        <n v="28053"/>
        <n v="19587"/>
        <n v="20246"/>
        <n v="19957"/>
        <n v="17337"/>
        <n v="48510"/>
        <n v="23104"/>
        <n v="5017"/>
        <n v="24054"/>
        <n v="36194"/>
        <n v="14264"/>
        <n v="8595"/>
        <n v="9927"/>
        <n v="37759"/>
        <n v="17232"/>
        <n v="40087"/>
        <n v="25960"/>
        <n v="25132"/>
        <n v="14887"/>
        <n v="41841"/>
        <n v="34566"/>
        <n v="10747"/>
        <n v="42798"/>
        <n v="16684"/>
        <n v="18420"/>
        <n v="35824"/>
        <n v="17090"/>
        <n v="12735"/>
        <n v="24031"/>
        <n v="29907"/>
        <n v="19109"/>
        <n v="26396"/>
        <n v="23507"/>
        <n v="34745"/>
        <n v="10564"/>
        <n v="16132"/>
        <n v="16854"/>
        <n v="19551"/>
        <n v="14486"/>
        <n v="17831"/>
        <n v="26792"/>
        <n v="19152"/>
        <n v="19492"/>
        <n v="50160"/>
        <n v="19368"/>
        <n v="12154"/>
        <n v="11566"/>
        <n v="25635"/>
        <n v="39062"/>
        <n v="29006"/>
        <n v="8559"/>
        <n v="26907"/>
        <n v="14765"/>
        <n v="18673"/>
        <n v="37279"/>
        <n v="20707"/>
        <n v="8467"/>
        <n v="16009"/>
        <n v="15260"/>
        <n v="9539"/>
        <n v="20976"/>
        <n v="22294"/>
        <n v="44135"/>
        <n v="30556"/>
        <n v="29731"/>
        <n v="36957"/>
        <n v="13321"/>
        <n v="6552"/>
        <n v="22143"/>
        <n v="23420"/>
        <n v="33078"/>
        <n v="28875"/>
        <n v="6747"/>
        <n v="38170"/>
        <n v="23156"/>
        <n v="32387"/>
        <n v="40593"/>
        <n v="13661"/>
        <n v="21557"/>
        <n v="20067"/>
        <n v="45991"/>
        <n v="22354"/>
        <n v="20952"/>
        <n v="15758"/>
        <n v="37154"/>
        <n v="35963"/>
        <n v="28920"/>
        <n v="19893"/>
        <n v="38594"/>
        <n v="19035"/>
        <n v="16605"/>
        <n v="28127"/>
        <n v="14076"/>
        <n v="999999"/>
        <n v="17916"/>
        <n v="42006"/>
        <n v="7755"/>
        <n v="41481"/>
        <n v="22828"/>
        <n v="1111"/>
        <n v="19729"/>
        <n v="27387"/>
        <n v="23097"/>
        <n v="9373"/>
        <n v="15802"/>
        <n v="27333"/>
        <n v="8495"/>
        <n v="22033"/>
        <n v="20263"/>
        <n v="28694"/>
        <n v="30464"/>
        <n v="10610"/>
        <n v="25447"/>
        <n v="13505"/>
        <n v="19573"/>
        <n v="27532"/>
        <n v="33158"/>
        <n v="36991"/>
        <n v="35518"/>
        <n v="15160"/>
        <n v="20202"/>
        <n v="12730"/>
        <n v="11798"/>
        <n v="41783"/>
        <n v="35995"/>
        <n v="17541"/>
        <n v="40322"/>
        <n v="47516"/>
        <n v="15813"/>
        <n v="23470"/>
        <n v="29782"/>
        <n v="10993"/>
        <n v="18921"/>
        <n v="32413"/>
        <n v="20"/>
        <n v="32437"/>
        <n v="38388"/>
        <n v="21579"/>
        <n v="17672"/>
        <n v="13162"/>
        <n v="13002"/>
        <n v="16486"/>
        <n v="11596"/>
        <n v="16153"/>
        <n v="9785"/>
        <n v="13871"/>
        <n v="26843"/>
        <n v="18548"/>
        <n v="25016"/>
        <n v="11041"/>
        <n v="9535"/>
        <n v="40045"/>
        <n v="23481"/>
        <n v="37499"/>
        <n v="13273"/>
        <n v="37060"/>
        <n v="66"/>
        <n v="35828"/>
        <n v="20408"/>
        <n v="36564"/>
        <n v="16833"/>
        <n v="40079"/>
        <n v="16219"/>
        <n v="20070"/>
        <n v="13632"/>
        <n v="6802"/>
        <n v="20432"/>
        <n v="24120"/>
        <n v="17203"/>
        <n v="10241"/>
        <n v="41710"/>
        <n v="25895"/>
        <n v="9153"/>
        <n v="16045"/>
        <n v="37136"/>
        <n v="4811"/>
        <n v="62381"/>
        <n v="39590"/>
        <n v="36071"/>
        <n v="11757"/>
        <n v="20705"/>
        <n v="24131"/>
        <n v="38766"/>
        <n v="44303"/>
        <n v="36931"/>
        <n v="38974"/>
        <n v="41173"/>
        <n v="24252"/>
        <n v="37020"/>
        <n v="31406"/>
        <n v="20161"/>
        <n v="14061"/>
        <n v="47601"/>
        <n v="44392"/>
        <n v="10808"/>
        <n v="19543"/>
        <n v="445"/>
        <n v="48270"/>
        <n v="48050"/>
        <n v="36667"/>
        <n v="11699"/>
        <n v="37713"/>
        <n v="31978"/>
        <n v="8470"/>
        <n v="24478"/>
        <n v="4995"/>
        <n v="54715"/>
        <n v="36498"/>
        <n v="7273"/>
        <n v="16426"/>
        <n v="46733"/>
        <n v="33838"/>
        <n v="33985"/>
        <n v="54978"/>
        <n v="44289"/>
        <n v="20209"/>
        <n v="38688"/>
        <n v="40931"/>
        <n v="39364"/>
        <n v="32090"/>
        <n v="10506"/>
        <n v="10510"/>
        <n v="47917"/>
        <n v="37738"/>
        <n v="19683"/>
        <n v="29353"/>
        <n v="37527"/>
        <n v="14012"/>
        <n v="37395"/>
        <n v="4668"/>
        <n v="35900"/>
        <n v="27970"/>
        <n v="38395"/>
        <n v="59886"/>
        <n v="2059"/>
        <n v="24614"/>
        <n v="39272"/>
        <n v="4850"/>
        <n v="48463"/>
        <n v="23642"/>
        <n v="45649"/>
        <n v="10055"/>
        <n v="9338"/>
        <n v="55885"/>
        <n v="41807"/>
        <n v="42938"/>
        <n v="19078"/>
        <n v="36000"/>
        <n v="40275"/>
        <n v="17786"/>
        <n v="45800"/>
        <n v="25524"/>
        <n v="28156"/>
        <n v="45685"/>
        <n v="48156"/>
        <n v="22658"/>
        <n v="13508"/>
        <n v="31688"/>
        <n v="39473"/>
        <n v="21898"/>
        <n v="10782"/>
        <n v="46120"/>
        <n v="71"/>
        <n v="14557"/>
        <n v="18554"/>
        <n v="36990"/>
        <n v="21052"/>
        <n v="35591"/>
        <n v="41997"/>
        <n v="40331"/>
        <n v="40425"/>
        <n v="8177"/>
        <n v="39566"/>
        <n v="18960"/>
        <n v="21258"/>
        <n v="81410"/>
        <n v="20984"/>
        <n v="26360"/>
        <n v="17689"/>
        <n v="46548"/>
        <n v="35450"/>
        <n v="28463"/>
        <n v="24168"/>
        <n v="39459"/>
        <n v="25808"/>
        <n v="7787"/>
        <n v="74874"/>
        <n v="13149"/>
        <n v="21189"/>
        <n v="10067"/>
        <n v="23615"/>
        <n v="39476"/>
        <n v="13929"/>
        <n v="39159"/>
        <n v="37182"/>
        <n v="19780"/>
        <n v="21642"/>
        <n v="26853"/>
        <n v="36898"/>
        <n v="32685"/>
        <n v="16584"/>
        <n v="6891"/>
        <n v="11342"/>
        <n v="6536"/>
        <n v="41357"/>
        <n v="44723"/>
        <n v="71662"/>
        <n v="38407"/>
        <n v="36975"/>
        <n v="28790"/>
        <n v="38530"/>
        <n v="32532"/>
        <n v="9214"/>
        <n v="39081"/>
        <n v="35707"/>
        <n v="38691"/>
        <n v="38666"/>
        <n v="42482"/>
        <n v="5403"/>
        <n v="40884"/>
        <n v="37317"/>
        <n v="33776"/>
        <n v="43262"/>
        <n v="42887"/>
        <n v="40101"/>
        <n v="6787"/>
        <n v="39573"/>
        <n v="42547"/>
        <n v="67229"/>
        <n v="23783"/>
        <n v="21932"/>
        <n v="45568"/>
        <n v="22984"/>
        <n v="37664"/>
        <n v="27059"/>
        <n v="19058"/>
        <n v="36764"/>
        <n v="10862"/>
        <n v="14818"/>
        <n v="23941"/>
        <n v="11238"/>
        <n v="38444"/>
        <n v="9810"/>
        <n v="21968"/>
        <n v="10972"/>
        <n v="33980"/>
        <n v="37213"/>
        <n v="38131"/>
        <n v="38247"/>
        <n v="26757"/>
        <n v="20880"/>
        <n v="31064"/>
        <n v="19538"/>
        <n v="42813"/>
        <n v="8691"/>
        <n v="30333"/>
        <n v="40498"/>
        <n v="38311"/>
        <n v="59042"/>
        <n v="10616"/>
        <n v="32635"/>
        <n v="22672"/>
        <n v="22514"/>
        <n v="42973"/>
        <n v="22907"/>
        <n v="24498"/>
        <n v="34915"/>
        <n v="34933"/>
        <n v="49188"/>
        <n v="38134"/>
        <n v="28412"/>
        <n v="73267"/>
        <n v="36802"/>
        <n v="47268"/>
        <n v="19836"/>
        <n v="37628"/>
        <n v="21826"/>
        <n v="39860"/>
        <n v="38882"/>
        <n v="2575"/>
        <n v="32198"/>
        <n v="33754"/>
        <n v="38680"/>
        <n v="9419"/>
        <n v="36431"/>
        <n v="34469"/>
        <n v="27196"/>
        <n v="48744"/>
        <n v="37320"/>
        <n v="40924"/>
        <n v="36159"/>
        <n v="46283"/>
        <n v="9531"/>
        <n v="26637"/>
        <n v="54735"/>
        <n v="27525"/>
        <n v="67280"/>
        <n v="10106"/>
        <n v="38180"/>
        <n v="34988"/>
        <n v="102345"/>
        <n v="13675"/>
        <n v="36465"/>
        <n v="22425"/>
        <n v="19584"/>
        <n v="5997"/>
        <n v="29616"/>
        <n v="15746"/>
        <n v="44428"/>
        <n v="16868"/>
        <n v="37102"/>
        <n v="39554"/>
        <n v="24185"/>
        <n v="37767"/>
        <n v="26850"/>
        <n v="41214"/>
        <n v="29111"/>
        <n v="82186"/>
        <n v="38611"/>
        <n v="27457"/>
        <n v="32822"/>
        <n v="57865"/>
        <n v="20379"/>
        <n v="2477"/>
        <n v="15240"/>
        <n v="10688"/>
        <n v="15690"/>
        <n v="25019"/>
        <n v="35011"/>
        <n v="36874"/>
        <n v="37028"/>
        <n v="37293"/>
        <n v="15035"/>
        <n v="50451"/>
        <n v="16949"/>
        <n v="39437"/>
        <n v="30168"/>
        <n v="19765"/>
        <n v="24437"/>
        <n v="31326"/>
        <n v="10912"/>
        <n v="38082"/>
        <n v="8649"/>
        <n v="11338"/>
        <n v="12194"/>
        <n v="39162"/>
        <n v="52002"/>
        <n v="24592"/>
        <n v="27953"/>
        <n v="37803"/>
        <n v="19942"/>
        <n v="45805"/>
        <n v="24734"/>
        <n v="8485"/>
        <n v="28786"/>
        <n v="22654"/>
        <n v="37703"/>
        <n v="63459"/>
        <n v="22338"/>
        <n v="41829"/>
        <n v="37508"/>
        <n v="27187"/>
        <n v="29277"/>
        <n v="21896"/>
        <n v="18293"/>
        <n v="26505"/>
        <n v="18015"/>
        <n v="11284"/>
        <n v="26999"/>
        <n v="37791"/>
        <n v="45876"/>
        <n v="44897"/>
        <n v="39548"/>
        <n v="35400"/>
        <n v="32117"/>
        <n v="38775"/>
        <n v="11357"/>
        <n v="36882"/>
        <n v="7794"/>
        <n v="22420"/>
        <n v="12379"/>
        <n v="38019"/>
        <n v="26221"/>
        <n v="37724"/>
        <n v="18265"/>
        <n v="19377"/>
        <n v="20893"/>
        <n v="60564"/>
        <n v="40250"/>
        <n v="29258"/>
        <n v="38288"/>
        <n v="54019"/>
        <n v="24369"/>
        <n v="68829"/>
        <n v="38759"/>
        <n v="39900"/>
        <n v="20906"/>
        <n v="15343"/>
        <n v="34549"/>
        <n v="26165"/>
        <n v="10628"/>
        <n v="39931"/>
        <n v="20091"/>
        <n v="34561"/>
        <n v="16417"/>
        <n v="35303"/>
        <n v="24954"/>
        <n v="39631"/>
        <n v="4423"/>
        <n v="22006"/>
        <n v="36297"/>
        <n v="63250"/>
        <n v="1"/>
        <n v="59291"/>
        <n v="13948"/>
        <n v="18366"/>
        <n v="41426"/>
        <n v="33876"/>
        <n v="33219"/>
        <n v="30392"/>
        <n v="13325"/>
        <n v="36247"/>
        <n v="26640"/>
        <n v="14779"/>
        <n v="39904"/>
        <n v="50045"/>
        <n v="35138"/>
        <n v="21938"/>
        <n v="42988"/>
        <n v="56455"/>
        <n v="32808"/>
        <n v="28311"/>
        <n v="48376"/>
        <n v="41961"/>
        <n v="43769"/>
        <n v="36744"/>
        <n v="43352"/>
        <n v="29165"/>
        <n v="23444"/>
        <n v="39968"/>
        <n v="41790"/>
        <n v="11094"/>
        <n v="40052"/>
        <n v="37618"/>
        <n v="35516"/>
        <n v="42704"/>
        <n v="34651"/>
        <n v="27368"/>
        <n v="24984"/>
        <n v="23629"/>
        <n v="19742"/>
        <n v="39556"/>
        <n v="14805"/>
        <n v="27948"/>
        <n v="31300"/>
        <n v="14421"/>
        <n v="23208"/>
        <n v="50790"/>
        <n v="28925"/>
        <n v="43127"/>
        <n v="16381"/>
        <n v="19785"/>
        <n v="36541"/>
        <n v="34941"/>
        <n v="45443"/>
        <n v="20904"/>
        <n v="54744"/>
        <n v="24452"/>
        <n v="17189"/>
        <n v="35818"/>
        <n v="14149"/>
        <n v="27675"/>
        <n v="24132"/>
        <n v="16288"/>
        <n v="39628"/>
        <n v="28395"/>
        <n v="28170"/>
        <n v="14769"/>
        <n v="34780"/>
        <n v="35711"/>
        <n v="48424"/>
        <n v="19669"/>
        <n v="19782"/>
        <n v="32509"/>
        <n v="31762"/>
        <n v="29808"/>
        <n v="13044"/>
        <n v="36671"/>
        <n v="37632"/>
        <n v="27979"/>
        <n v="22371"/>
        <n v="32960"/>
        <n v="46534"/>
        <n v="29157"/>
        <n v="24506"/>
        <n v="32737"/>
        <n v="43112"/>
        <n v="53230"/>
        <n v="21443"/>
        <n v="27181"/>
        <n v="23777"/>
        <n v="33760"/>
        <n v="28509"/>
        <n v="31595"/>
        <n v="14910"/>
        <n v="31388"/>
        <n v="37284"/>
        <n v="53016"/>
        <n v="24739"/>
        <n v="32456"/>
        <n v="35000"/>
        <n v="37509"/>
        <n v="39825"/>
        <n v="36156"/>
        <n v="22845"/>
        <n v="24576"/>
        <n v="32354"/>
        <n v="35093"/>
        <n v="51983"/>
        <n v="36621"/>
        <n v="37168"/>
        <n v="18602"/>
        <n v="35348"/>
        <n v="25240"/>
        <n v="19411"/>
        <n v="38066"/>
        <n v="28606"/>
        <n v="26086"/>
        <n v="17647"/>
        <n v="43505"/>
        <n v="32289"/>
        <n v="53404"/>
        <n v="21262"/>
        <n v="40183"/>
        <n v="24380"/>
        <n v="51347"/>
        <n v="33856"/>
        <n v="31616"/>
        <n v="25355"/>
        <n v="30445"/>
        <n v="20850"/>
        <n v="46943"/>
        <n v="27312"/>
        <n v="33355"/>
        <n v="34966"/>
        <n v="36617"/>
        <n v="25060"/>
        <n v="15311"/>
        <n v="16827"/>
        <n v="11868"/>
        <n v="35458"/>
        <n v="35920"/>
        <n v="30313"/>
        <n v="43807"/>
        <n v="50229"/>
        <n v="33155"/>
        <n v="38866"/>
        <n v="20163"/>
        <n v="30901"/>
        <n v="42686"/>
        <n v="13424"/>
        <n v="52387"/>
        <n v="18057"/>
        <n v="35604"/>
        <n v="27272"/>
        <n v="30917"/>
        <n v="26704"/>
        <n v="41539"/>
        <n v="33680"/>
        <n v="37032"/>
        <n v="23936"/>
        <n v="15193"/>
        <n v="33965"/>
        <n v="30406"/>
        <n v="54898"/>
        <n v="62345"/>
        <n v="48143"/>
        <n v="35294"/>
        <n v="44520"/>
        <n v="59814"/>
        <n v="26807"/>
        <n v="13936"/>
        <n v="45540"/>
        <n v="28151"/>
        <n v="29297"/>
        <n v="61573"/>
        <n v="32341"/>
        <n v="17676"/>
        <n v="27906"/>
        <n v="10225"/>
        <n v="11740"/>
        <n v="44099"/>
        <n v="36013"/>
        <n v="23568"/>
        <n v="47581"/>
        <n v="46766"/>
        <n v="29564"/>
        <n v="50727"/>
        <n v="44002"/>
        <n v="54355"/>
        <n v="44067"/>
        <n v="32267"/>
        <n v="53746"/>
        <n v="26425"/>
        <n v="36533"/>
        <n v="27709"/>
        <n v="37120"/>
        <n v="23496"/>
        <n v="33771"/>
        <n v="43260"/>
        <n v="38006"/>
        <n v="21924"/>
        <n v="57117"/>
        <n v="30156"/>
        <n v="49972"/>
        <n v="17453"/>
        <n v="26391"/>
        <n v="30653"/>
        <n v="42148"/>
        <n v="44274"/>
        <n v="57367"/>
        <n v="22938"/>
        <n v="38750"/>
        <n v="15452"/>
        <n v="43022"/>
        <n v="37587"/>
        <n v="47390"/>
        <n v="43662"/>
        <n v="47513"/>
        <n v="43648"/>
        <n v="29460"/>
        <n v="37915"/>
        <n v="91532"/>
        <n v="38166"/>
        <n v="30875"/>
        <n v="26285"/>
        <n v="36051"/>
        <n v="48115"/>
        <n v="48158"/>
        <n v="37688"/>
        <n v="35006"/>
        <n v="35638"/>
        <n v="26936"/>
        <n v="50362"/>
        <n v="46501"/>
        <n v="34643"/>
        <n v="36773"/>
        <n v="25070"/>
        <n v="65600"/>
        <n v="42804"/>
        <n v="45035"/>
        <n v="38669"/>
        <n v="20035"/>
        <n v="39302"/>
        <n v="64568"/>
        <n v="32104"/>
        <n v="41115"/>
        <n v="26747"/>
        <n v="53527"/>
        <n v="19767"/>
        <n v="38715"/>
        <n v="69407"/>
        <n v="41873"/>
        <n v="67196"/>
        <n v="29499"/>
        <n v="64750"/>
        <n v="38079"/>
        <n v="31076"/>
        <n v="21147"/>
        <n v="38159"/>
        <n v="60360"/>
        <n v="65503"/>
        <n v="37547"/>
        <n v="56780"/>
        <n v="55277"/>
        <n v="68306"/>
        <n v="36404"/>
        <n v="27952"/>
        <n v="31495"/>
        <n v="84062"/>
        <n v="46816"/>
        <n v="67529"/>
        <n v="89575"/>
        <n v="41179"/>
        <n v="27842"/>
        <n v="34682"/>
        <n v="44712"/>
        <n v="37269"/>
        <n v="84186"/>
        <n v="53563"/>
        <n v="24720"/>
        <n v="35815"/>
        <n v="80435"/>
        <n v="51189"/>
        <n v="44896"/>
        <n v="35488"/>
        <n v="33400"/>
        <n v="27596"/>
        <n v="50002"/>
        <n v="58781"/>
        <n v="34807"/>
        <n v="58112"/>
        <n v="56524"/>
        <n v="61464"/>
        <n v="35551"/>
        <n v="30843"/>
        <n v="97805"/>
        <n v="26691"/>
        <n v="54064"/>
        <n v="24065"/>
        <n v="30801"/>
        <n v="39766"/>
        <n v="63205"/>
        <n v="76900"/>
        <n v="21368"/>
        <n v="67321"/>
        <n v="149962"/>
        <n v="18736"/>
        <n v="9059"/>
        <n v="66654"/>
        <n v="34564"/>
        <n v="63184"/>
        <n v="28687"/>
        <n v="31566"/>
        <n v="43287"/>
        <n v="32802"/>
        <n v="71067"/>
        <n v="62053"/>
        <n v="57479"/>
        <n v="63821"/>
        <n v="53781"/>
        <n v="46441"/>
        <n v="42947"/>
        <n v="61852"/>
        <n v="17319"/>
        <n v="22548"/>
        <n v="44674"/>
        <n v="48952"/>
        <n v="36315"/>
        <n v="10482"/>
        <n v="63550"/>
        <n v="72362"/>
        <n v="46865"/>
        <n v="48374"/>
        <n v="49575"/>
        <n v="160525"/>
        <n v="64722"/>
        <n v="62380"/>
        <n v="102647"/>
        <n v="38370"/>
        <n v="36331"/>
        <n v="57595"/>
        <n v="82128"/>
        <n v="49312"/>
        <n v="62386"/>
        <n v="43706"/>
        <n v="64265"/>
        <n v="23029"/>
        <n v="27465"/>
        <n v="21072"/>
        <n v="93858"/>
        <n v="60662"/>
        <n v="75665"/>
        <n v="24208"/>
        <n v="123543"/>
        <n v="43860"/>
        <n v="36329"/>
        <n v="63220"/>
        <n v="7504"/>
        <n v="49866"/>
        <n v="61007"/>
        <n v="54322"/>
        <n v="45760"/>
        <n v="36575"/>
        <n v="62216"/>
        <n v="76000"/>
        <n v="70925"/>
        <n v="11112"/>
        <n v="37049"/>
        <n v="20187"/>
        <n v="46444"/>
        <n v="27370"/>
        <n v="97572"/>
        <n v="68150"/>
        <n v="34434"/>
        <n v="15828"/>
        <n v="58457"/>
        <n v="70402"/>
        <n v="59718"/>
        <n v="60399"/>
        <n v="47861"/>
        <n v="63985"/>
        <n v="28635"/>
        <n v="23903"/>
        <n v="110071"/>
        <n v="45664"/>
        <n v="58045"/>
        <n v="61869"/>
        <n v="24406"/>
        <n v="34294"/>
        <n v="59156"/>
        <n v="51851"/>
        <n v="57128"/>
        <n v="48130"/>
        <n v="15339"/>
        <n v="59802"/>
        <n v="38531"/>
        <n v="66901"/>
        <n v="10902"/>
        <n v="23529"/>
        <n v="53040"/>
        <n v="65548"/>
        <n v="53009"/>
        <n v="70977"/>
        <n v="31330"/>
        <n v="21278"/>
        <n v="2308"/>
        <n v="60405"/>
        <n v="54683"/>
        <n v="47548"/>
        <n v="35958"/>
        <n v="55855"/>
        <n v="50616"/>
        <n v="88694"/>
        <n v="41875"/>
        <n v="43405"/>
        <n v="50621"/>
        <n v="63739"/>
        <n v="37704"/>
        <n v="64637"/>
        <n v="81991"/>
        <n v="24390"/>
        <n v="32923"/>
        <n v="31776"/>
        <n v="48562"/>
        <n v="32212"/>
        <n v="28514"/>
        <n v="34063"/>
        <n v="21486"/>
        <n v="32535"/>
        <n v="33191"/>
        <n v="53340"/>
        <n v="80181"/>
        <n v="12218"/>
        <n v="65201"/>
        <n v="64035"/>
        <n v="24485"/>
        <n v="73995"/>
        <n v="27949"/>
        <n v="44190"/>
        <n v="80733"/>
        <n v="34363"/>
        <n v="20370"/>
        <n v="31884"/>
        <n v="32160"/>
        <n v="38076"/>
        <n v="47076"/>
        <n v="58023"/>
        <n v="28391"/>
        <n v="63540"/>
        <n v="48023"/>
        <n v="35782"/>
        <n v="70151"/>
        <n v="33305"/>
        <n v="65771"/>
        <n v="33096"/>
        <n v="42446"/>
        <n v="11427"/>
        <n v="28067"/>
        <n v="49800"/>
        <n v="39132"/>
        <n v="19438"/>
        <n v="75658"/>
        <n v="25054"/>
        <n v="35970"/>
        <n v="47843"/>
        <n v="34840"/>
        <n v="43155"/>
        <n v="36233"/>
        <n v="48942"/>
        <n v="34331"/>
        <n v="24169"/>
        <n v="32967"/>
        <n v="37801"/>
        <n v="43775"/>
        <n v="46700"/>
        <n v="20181"/>
        <n v="19340"/>
        <n v="33248"/>
        <n v="23288"/>
        <n v="28781"/>
        <n v="71774"/>
        <n v="29331"/>
        <n v="43096"/>
        <n v="53284"/>
        <n v="23468"/>
        <n v="44259"/>
        <n v="42418"/>
        <n v="56451"/>
        <n v="35287"/>
        <n v="63964"/>
        <n v="30475"/>
        <n v="51201"/>
        <n v="120695"/>
        <n v="29954"/>
        <n v="29149"/>
        <n v="30961"/>
        <n v="34411"/>
        <n v="40716"/>
        <n v="17857"/>
        <n v="21493"/>
        <n v="4220"/>
        <n v="27112"/>
        <n v="47851"/>
        <n v="39015"/>
        <n v="28633"/>
        <n v="40057"/>
        <n v="25162"/>
        <n v="35967"/>
        <n v="108714"/>
        <n v="46058"/>
        <n v="40568"/>
        <n v="72006"/>
        <n v="50382"/>
        <n v="35614"/>
        <n v="48016"/>
        <n v="12101"/>
        <n v="7521"/>
        <n v="30188"/>
        <n v="45307"/>
        <n v="43894"/>
        <n v="65969"/>
        <n v="35087"/>
        <n v="13827"/>
        <n v="42990"/>
        <n v="116173"/>
        <n v="45663"/>
        <n v="35404"/>
        <n v="34467"/>
        <n v="56172"/>
        <n v="49668"/>
        <n v="39542"/>
        <n v="62752"/>
        <n v="43939"/>
        <n v="41949"/>
        <n v="66109"/>
        <n v="27263"/>
        <n v="12083"/>
        <n v="62827"/>
        <n v="33958"/>
        <n v="35374"/>
        <n v="78603"/>
        <n v="19873"/>
        <n v="28883"/>
        <n v="85743"/>
        <n v="36369"/>
        <n v="45384"/>
        <n v="103097"/>
        <n v="29120"/>
        <n v="13076"/>
        <n v="53683"/>
        <n v="36218"/>
        <n v="17437"/>
        <n v="28016"/>
        <n v="44645"/>
        <n v="5710"/>
        <n v="37966"/>
        <n v="51424"/>
        <n v="45062"/>
        <n v="33415"/>
        <n v="36828"/>
        <n v="30866"/>
        <n v="35501"/>
        <n v="36706"/>
        <n v="42665"/>
        <n v="19831"/>
        <n v="39057"/>
        <n v="52012"/>
        <n v="14528"/>
        <n v="35584"/>
        <n v="69921"/>
        <n v="47558"/>
        <n v="74227"/>
        <n v="14334"/>
        <n v="57075"/>
        <n v="35729"/>
        <n v="64757"/>
        <n v="39312"/>
        <n v="33956"/>
        <n v="42403"/>
        <n v="40065"/>
        <n v="30908"/>
        <n v="31377"/>
        <n v="28181"/>
        <n v="43570"/>
        <n v="44061"/>
        <n v="24318"/>
        <n v="40341"/>
        <n v="83734"/>
        <n v="34230"/>
        <n v="56731"/>
        <n v="20345"/>
        <n v="32403"/>
        <n v="14958"/>
        <n v="37504"/>
        <n v="46218"/>
        <n v="25626"/>
        <n v="85069"/>
        <n v="37315"/>
        <n v="48502"/>
        <n v="44830"/>
        <n v="64948"/>
        <n v="36351"/>
        <n v="28992"/>
        <n v="61835"/>
        <n v="30100"/>
        <n v="35823"/>
        <n v="40558"/>
        <n v="55817"/>
        <n v="25954"/>
        <n v="70018"/>
        <n v="56916"/>
        <n v="60874"/>
        <n v="32023"/>
        <n v="21036"/>
        <n v="31204"/>
        <n v="27308"/>
        <n v="44225"/>
        <n v="44051"/>
        <n v="25421"/>
        <n v="27599"/>
        <n v="18752"/>
        <n v="64883"/>
        <n v="11090"/>
        <n v="29454"/>
        <n v="24444"/>
        <n v="37403"/>
        <n v="24651"/>
        <n v="42543"/>
        <n v="31239"/>
        <n v="25315"/>
        <n v="38065"/>
        <n v="24090"/>
        <n v="26216"/>
        <n v="41170"/>
        <n v="28549"/>
        <n v="36963"/>
        <n v="15090"/>
        <n v="40324"/>
        <n v="12912"/>
        <n v="23278"/>
        <n v="31557"/>
        <n v="34837"/>
        <n v="33667"/>
        <n v="45140"/>
        <n v="54588"/>
        <n v="27289"/>
        <n v="28289"/>
        <n v="37322"/>
        <n v="16234"/>
        <n v="97900"/>
        <n v="74806"/>
        <n v="21927"/>
        <n v="31584"/>
        <n v="32031"/>
        <n v="31349"/>
        <n v="39702"/>
        <n v="45476"/>
        <n v="47221"/>
        <n v="34103"/>
        <n v="83857"/>
        <n v="81598"/>
        <n v="17524"/>
        <n v="33220"/>
        <n v="39841"/>
        <n v="20861"/>
        <n v="33323"/>
        <n v="33382"/>
        <n v="87145"/>
        <n v="41879"/>
        <n v="33290"/>
        <n v="16106"/>
        <n v="12897"/>
        <n v="18978"/>
        <n v="71702"/>
        <n v="35965"/>
        <n v="32427"/>
        <n v="58226"/>
        <n v="49618"/>
        <n v="10743"/>
        <n v="26366"/>
        <n v="54252"/>
        <n v="33849"/>
        <n v="32407"/>
        <n v="48020"/>
        <n v="40700"/>
        <n v="45538"/>
        <n v="9708"/>
        <n v="43642"/>
        <n v="25896"/>
        <n v="34689"/>
        <n v="9628"/>
        <n v="39614"/>
        <n v="19479"/>
        <n v="26668"/>
        <n v="37908"/>
        <n v="42871"/>
        <n v="21215"/>
        <n v="28510"/>
        <n v="28993"/>
        <n v="30146"/>
        <n v="17030"/>
        <n v="18776"/>
        <n v="17925"/>
        <n v="53444"/>
        <n v="42571"/>
        <n v="19915"/>
        <n v="33699"/>
        <n v="18518"/>
        <n v="56169"/>
        <n v="26967"/>
        <n v="22462"/>
        <n v="30311"/>
        <n v="37490"/>
        <n v="32661"/>
        <n v="26093"/>
        <n v="31565"/>
        <n v="54430"/>
        <n v="29624"/>
        <n v="31067"/>
        <n v="92610"/>
        <n v="25071"/>
        <n v="22339"/>
        <n v="37022"/>
        <n v="19491"/>
        <n v="42890"/>
        <n v="47220"/>
        <n v="20149"/>
        <n v="26224"/>
        <n v="36090"/>
        <n v="34046"/>
        <n v="49626"/>
        <n v="41755"/>
        <n v="20015"/>
        <n v="52859"/>
        <n v="41232"/>
        <n v="51141"/>
        <n v="27533"/>
        <n v="48544"/>
        <n v="41302"/>
        <n v="49338"/>
        <n v="36053"/>
        <n v="32178"/>
        <n v="19781"/>
        <n v="33113"/>
        <n v="49037"/>
        <n v="31659"/>
        <n v="63818"/>
        <n v="33845"/>
        <n v="43336"/>
        <n v="47527"/>
        <n v="17678"/>
        <n v="66523"/>
        <n v="43774"/>
        <n v="29315"/>
        <n v="25586"/>
        <n v="44470"/>
        <n v="79616"/>
        <n v="8536"/>
        <n v="33997"/>
        <n v="51215"/>
        <n v="42701"/>
        <n v="19547"/>
        <n v="22094"/>
        <n v="42315"/>
        <n v="18639"/>
        <n v="28155"/>
        <n v="26072"/>
        <n v="26375"/>
        <n v="34994"/>
        <n v="24873"/>
        <n v="39404"/>
        <n v="33942"/>
        <n v="29700"/>
        <n v="21609"/>
        <n v="44583"/>
        <n v="64624"/>
        <n v="27834"/>
        <n v="25245"/>
        <n v="14416"/>
        <n v="39257"/>
        <n v="22095"/>
        <n v="8055"/>
        <n v="48806"/>
        <n v="28481"/>
        <n v="22047"/>
        <n v="20462"/>
        <n v="36557"/>
        <n v="35825"/>
        <n v="52545"/>
        <n v="12267"/>
        <n v="49523"/>
        <n v="19744"/>
        <n v="32284"/>
        <n v="15738"/>
        <n v="31215"/>
        <n v="21235"/>
        <n v="28778"/>
        <n v="52392"/>
        <n v="9633"/>
        <n v="60828"/>
        <n v="71064"/>
        <n v="27086"/>
        <n v="31675"/>
        <n v="23023"/>
        <n v="31852"/>
        <n v="36721"/>
        <n v="23842"/>
        <n v="57480"/>
        <n v="44905"/>
        <n v="17031"/>
        <n v="29871"/>
        <n v="35421"/>
        <n v="21054"/>
        <n v="31821"/>
        <n v="42321"/>
        <n v="30681"/>
        <n v="33491"/>
        <n v="90943"/>
        <n v="41550"/>
        <n v="29586"/>
        <n v="26865"/>
        <n v="32711"/>
        <n v="62786"/>
        <n v="48311"/>
        <n v="29321"/>
        <n v="29745"/>
        <n v="43544"/>
        <n v="18725"/>
        <n v="28823"/>
        <n v="27277"/>
        <n v="28489"/>
        <n v="142823"/>
        <n v="32906"/>
        <n v="77875"/>
        <n v="34087"/>
        <n v="42171"/>
        <n v="69295"/>
        <n v="28376"/>
        <n v="31389"/>
        <n v="41598"/>
        <n v="30055"/>
        <n v="4975"/>
        <n v="64821"/>
        <n v="35691"/>
        <n v="40158"/>
        <n v="66882"/>
        <n v="33730"/>
        <n v="26776"/>
        <n v="42619"/>
        <n v="39384"/>
        <n v="37161"/>
        <n v="21916"/>
        <n v="61267"/>
        <n v="81338"/>
        <n v="36353"/>
        <n v="43546"/>
        <n v="77489"/>
        <n v="55034"/>
        <n v="48994"/>
        <n v="57933"/>
        <n v="66077"/>
        <n v="77118"/>
        <n v="53958"/>
        <n v="16850"/>
        <n v="41233"/>
        <n v="48019"/>
        <n v="39056"/>
        <n v="35285"/>
        <n v="32712"/>
        <n v="40330"/>
        <n v="137729"/>
        <n v="30786"/>
        <n v="27182"/>
        <n v="59349"/>
        <n v="41516"/>
        <n v="39109"/>
        <n v="76716"/>
        <n v="70973"/>
        <n v="20307"/>
        <n v="21393"/>
        <n v="18266"/>
        <n v="29338"/>
        <n v="68499"/>
        <n v="58768"/>
        <n v="50151"/>
        <n v="54184"/>
        <n v="37937"/>
        <n v="57821"/>
        <n v="49086"/>
        <n v="33561"/>
        <n v="26506"/>
        <n v="49288"/>
        <n v="52277"/>
        <n v="12490"/>
        <n v="32594"/>
        <n v="52039"/>
        <n v="31174"/>
        <n v="29549"/>
        <n v="19565"/>
        <n v="59940"/>
        <n v="45196"/>
        <n v="26390"/>
        <n v="42303"/>
        <n v="46008"/>
        <n v="61044"/>
        <n v="63968"/>
        <n v="23657"/>
        <n v="60716"/>
        <n v="37887"/>
        <n v="25209"/>
        <n v="34751"/>
        <n v="60646"/>
        <n v="40578"/>
        <n v="46416"/>
        <n v="25317"/>
        <n v="61663"/>
        <n v="31537"/>
        <n v="13853"/>
        <n v="54911"/>
        <n v="32247"/>
        <n v="16480"/>
        <n v="60795"/>
        <n v="52004"/>
        <n v="18201"/>
        <n v="34336"/>
        <n v="61281"/>
        <n v="20829"/>
        <n v="33732"/>
        <n v="58460"/>
        <n v="41746"/>
        <n v="26320"/>
        <n v="26203"/>
        <n v="31843"/>
        <n v="44525"/>
        <n v="11015"/>
        <n v="34554"/>
        <n v="22467"/>
        <n v="38926"/>
        <n v="18257"/>
        <n v="27043"/>
        <n v="98380"/>
        <n v="48910"/>
        <n v="21689"/>
        <n v="45473"/>
        <n v="82708"/>
        <n v="45288"/>
        <n v="227606"/>
        <n v="44039"/>
        <n v="65320"/>
        <n v="46114"/>
        <n v="36395"/>
        <n v="21756"/>
        <n v="41266"/>
        <n v="40281"/>
        <n v="53595"/>
        <n v="50358"/>
        <n v="33829"/>
        <n v="74249"/>
        <n v="16312"/>
        <n v="28647"/>
        <n v="20526"/>
        <n v="59472"/>
        <n v="25195"/>
        <n v="44491"/>
        <n v="26220"/>
        <n v="11951"/>
        <n v="36323"/>
        <n v="26920"/>
        <n v="66364"/>
        <n v="36688"/>
        <n v="34155"/>
        <n v="19395"/>
        <n v="33641"/>
        <n v="41350"/>
        <n v="18891"/>
        <n v="40401"/>
        <n v="69460"/>
        <n v="68895"/>
        <n v="37816"/>
        <n v="56424"/>
        <n v="60981"/>
        <n v="81015"/>
        <n v="42503"/>
        <n v="55050"/>
        <n v="26958"/>
        <n v="53345"/>
        <n v="18330"/>
        <n v="27499"/>
        <n v="44066"/>
        <n v="59724"/>
        <n v="33533"/>
        <n v="13406"/>
        <n v="33846"/>
        <n v="71281"/>
        <n v="52631"/>
        <n v="43615"/>
        <n v="64548"/>
        <n v="60867"/>
        <n v="55684"/>
        <n v="59052"/>
        <n v="28605"/>
        <n v="27826"/>
        <n v="31702"/>
        <n v="23402"/>
        <n v="35541"/>
        <n v="29636"/>
        <n v="62646"/>
        <n v="36396"/>
        <n v="53923"/>
        <n v="39963"/>
        <n v="6265"/>
        <n v="65632"/>
        <n v="23090"/>
        <n v="31272"/>
        <n v="31946"/>
        <n v="52875"/>
        <n v="31315"/>
        <n v="11802"/>
        <n v="40276"/>
        <n v="34058"/>
        <n v="60316"/>
        <n v="31165"/>
        <n v="42012"/>
        <n v="33322"/>
        <n v="13579"/>
        <n v="36550"/>
        <n v="23723"/>
        <n v="32782"/>
        <n v="22507"/>
        <n v="29856"/>
        <n v="24496"/>
        <n v="17914"/>
        <n v="32783"/>
        <n v="60189"/>
        <n v="38514"/>
        <n v="24949"/>
        <n v="60252"/>
        <n v="10492"/>
        <n v="43616"/>
        <n v="31180"/>
        <n v="27673"/>
        <n v="13179"/>
        <n v="28727"/>
        <n v="43583"/>
        <n v="36736"/>
        <n v="47803"/>
        <n v="31517"/>
        <n v="26258"/>
        <n v="22808"/>
        <n v="17332"/>
        <n v="25000"/>
        <n v="55951"/>
        <n v="61948"/>
        <n v="57023"/>
        <n v="30673"/>
        <n v="56559"/>
        <n v="29482"/>
        <n v="61702"/>
        <n v="27154"/>
        <n v="68316"/>
        <n v="65779"/>
        <n v="17962"/>
        <n v="31143"/>
        <n v="33529"/>
        <n v="27335"/>
        <n v="37846"/>
        <n v="40691"/>
        <n v="16965"/>
        <n v="54792"/>
        <n v="51490"/>
        <n v="25219"/>
        <n v="34952"/>
        <n v="20585"/>
        <n v="30014"/>
        <n v="31324"/>
        <n v="39447"/>
        <n v="28153"/>
        <n v="75058"/>
        <n v="21150"/>
        <n v="26878"/>
        <n v="28610"/>
        <n v="62079"/>
        <n v="37097"/>
        <n v="30389"/>
        <n v="30889"/>
        <n v="14893"/>
        <n v="45284"/>
        <n v="40027"/>
        <n v="72327"/>
        <n v="91015"/>
        <n v="44401"/>
        <n v="10609"/>
        <n v="30669"/>
        <n v="34599"/>
        <n v="41155"/>
        <n v="30759"/>
        <n v="25061"/>
        <n v="19170"/>
        <n v="26406"/>
        <n v="31602"/>
        <n v="24019"/>
        <n v="42726"/>
        <n v="49485"/>
        <n v="115139"/>
        <n v="91061"/>
        <n v="32741"/>
        <n v="14055"/>
        <n v="30107"/>
        <n v="55703"/>
        <n v="24240"/>
        <n v="48565"/>
        <n v="23281"/>
        <n v="31572"/>
        <n v="17258"/>
        <n v="17456"/>
        <n v="27588"/>
        <n v="39739"/>
        <n v="62300"/>
        <n v="55665"/>
        <n v="19529"/>
        <n v="38678"/>
        <n v="54649"/>
        <n v="26844"/>
        <n v="34391"/>
        <n v="42886"/>
        <n v="36438"/>
        <n v="28750"/>
        <n v="24382"/>
        <n v="79245"/>
        <n v="42173"/>
        <n v="35177"/>
        <n v="49765"/>
        <n v="83985"/>
        <n v="29802"/>
        <n v="18083"/>
        <n v="30517"/>
        <n v="39717"/>
        <n v="26245"/>
        <n v="58778"/>
        <n v="42405"/>
        <n v="39120"/>
        <n v="27262"/>
        <n v="22843"/>
        <n v="36808"/>
        <n v="20363"/>
        <n v="15820"/>
        <n v="34357"/>
        <n v="79848"/>
        <n v="29939"/>
        <n v="34693"/>
        <n v="24708"/>
        <n v="29792"/>
        <n v="39277"/>
        <n v="24856"/>
        <n v="20062"/>
        <n v="35166"/>
        <n v="31979"/>
        <n v="41971"/>
        <n v="29992"/>
        <n v="49117"/>
        <n v="39422"/>
        <n v="30431"/>
        <n v="36389"/>
        <n v="31785"/>
        <n v="45514"/>
        <n v="64675"/>
        <n v="25764"/>
        <n v="27985"/>
        <n v="22819"/>
        <n v="25339"/>
        <n v="27057"/>
        <n v="36073"/>
        <n v="20697"/>
        <n v="34092"/>
        <n v="31935"/>
        <n v="35158"/>
        <n v="91794"/>
        <n v="49662"/>
        <n v="51067"/>
        <n v="26145"/>
        <n v="46979"/>
        <n v="29798"/>
        <n v="26763"/>
        <n v="46565"/>
        <n v="43098"/>
        <n v="51203"/>
        <n v="52925"/>
        <n v="15750"/>
        <n v="46258"/>
        <n v="40681"/>
        <n v="27373"/>
        <n v="21645"/>
        <n v="33112"/>
        <n v="30816"/>
        <n v="29932"/>
        <n v="30185"/>
        <n v="43827"/>
        <n v="35905"/>
        <n v="50414"/>
        <n v="46288"/>
        <n v="46204"/>
        <n v="42301"/>
        <n v="49150"/>
        <n v="36996"/>
        <n v="24304"/>
        <n v="88759"/>
        <n v="42648"/>
        <n v="71171"/>
        <n v="39834"/>
        <n v="31234"/>
        <n v="31757"/>
        <n v="28066"/>
        <n v="78503"/>
        <n v="29994"/>
        <n v="95391"/>
        <n v="73147"/>
        <n v="27219"/>
        <n v="37428"/>
        <n v="106535"/>
        <n v="29864"/>
        <n v="32555"/>
        <n v="70945"/>
        <n v="53684"/>
        <n v="62174"/>
        <n v="33501"/>
        <n v="49429"/>
        <n v="22319"/>
        <n v="53919"/>
        <n v="41605"/>
        <n v="32832"/>
        <n v="96063"/>
        <n v="46390"/>
        <n v="29711"/>
        <n v="44993"/>
        <n v="38650"/>
        <n v="43357"/>
        <n v="110465"/>
        <n v="88004"/>
        <n v="25606"/>
        <n v="39989"/>
        <n v="37823"/>
        <n v="110618"/>
        <n v="38781"/>
        <n v="31185"/>
        <n v="34154"/>
        <n v="115751"/>
        <n v="32303"/>
        <n v="30463"/>
        <n v="67592"/>
        <n v="102539"/>
        <n v="27355"/>
        <n v="82905"/>
        <n v="67718"/>
        <n v="16545"/>
        <n v="66829"/>
        <n v="37826"/>
        <n v="113585"/>
        <n v="35358"/>
        <n v="57710"/>
        <n v="79131"/>
        <n v="34378"/>
        <n v="80828"/>
        <n v="67807"/>
        <n v="36047"/>
        <n v="24192"/>
        <n v="39274"/>
        <n v="38455"/>
        <n v="124177"/>
        <n v="31594"/>
        <n v="39743"/>
        <m/>
      </sharedItems>
    </cacheField>
    <cacheField name="color" numFmtId="0">
      <sharedItems containsBlank="1"/>
    </cacheField>
    <cacheField name="interior" numFmtId="0">
      <sharedItems containsBlank="1"/>
    </cacheField>
    <cacheField name="seller" numFmtId="0">
      <sharedItems containsBlank="1"/>
    </cacheField>
    <cacheField name="mmr" numFmtId="0">
      <sharedItems containsString="0" containsBlank="1" containsNumber="1" containsInteger="1" minValue="3650" maxValue="149000"/>
    </cacheField>
    <cacheField name="sellingprice" numFmtId="0">
      <sharedItems containsString="0" containsBlank="1" containsNumber="1" containsInteger="1" minValue="1000" maxValue="154000" count="388">
        <n v="21500"/>
        <n v="30000"/>
        <n v="27750"/>
        <n v="67000"/>
        <n v="10900"/>
        <n v="65000"/>
        <n v="9800"/>
        <n v="32250"/>
        <n v="17500"/>
        <n v="49750"/>
        <n v="17700"/>
        <n v="12000"/>
        <n v="10600"/>
        <n v="14100"/>
        <n v="4200"/>
        <n v="40000"/>
        <n v="17000"/>
        <n v="67200"/>
        <n v="7200"/>
        <n v="14700"/>
        <n v="23750"/>
        <n v="8500"/>
        <n v="32500"/>
        <n v="34000"/>
        <n v="19500"/>
        <n v="11500"/>
        <n v="47500"/>
        <n v="20750"/>
        <n v="44500"/>
        <n v="21000"/>
        <n v="9200"/>
        <n v="59900"/>
        <n v="30500"/>
        <n v="64250"/>
        <n v="27500"/>
        <n v="44000"/>
        <n v="10000"/>
        <n v="2000"/>
        <n v="51700"/>
        <n v="13000"/>
        <n v="21250"/>
        <n v="11600"/>
        <n v="66100"/>
        <n v="20500"/>
        <n v="38400"/>
        <n v="19300"/>
        <n v="77250"/>
        <n v="41000"/>
        <n v="17300"/>
        <n v="11000"/>
        <n v="20600"/>
        <n v="10500"/>
        <n v="19600"/>
        <n v="25750"/>
        <n v="9000"/>
        <n v="50000"/>
        <n v="26500"/>
        <n v="66000"/>
        <n v="13600"/>
        <n v="28000"/>
        <n v="61500"/>
        <n v="58000"/>
        <n v="22250"/>
        <n v="22500"/>
        <n v="24100"/>
        <n v="65801"/>
        <n v="34250"/>
        <n v="39750"/>
        <n v="13700"/>
        <n v="13200"/>
        <n v="41500"/>
        <n v="30250"/>
        <n v="3300"/>
        <n v="18500"/>
        <n v="9500"/>
        <n v="62000"/>
        <n v="5800"/>
        <n v="46500"/>
        <n v="21750"/>
        <n v="57250"/>
        <n v="11700"/>
        <n v="20400"/>
        <n v="10250"/>
        <n v="12800"/>
        <n v="6600"/>
        <n v="25000"/>
        <n v="27250"/>
        <n v="26750"/>
        <n v="24500"/>
        <n v="32000"/>
        <n v="27000"/>
        <n v="27400"/>
        <n v="24250"/>
        <n v="10700"/>
        <n v="30800"/>
        <n v="26250"/>
        <n v="8800"/>
        <n v="23250"/>
        <n v="12300"/>
        <n v="11400"/>
        <n v="11750"/>
        <n v="16500"/>
        <n v="23500"/>
        <n v="18800"/>
        <n v="19200"/>
        <n v="22750"/>
        <n v="23000"/>
        <n v="24750"/>
        <n v="13400"/>
        <n v="26000"/>
        <n v="11900"/>
        <n v="16200"/>
        <n v="6700"/>
        <n v="25250"/>
        <n v="22000"/>
        <n v="18100"/>
        <n v="8100"/>
        <n v="16100"/>
        <n v="25500"/>
        <n v="3500"/>
        <n v="20250"/>
        <n v="6500"/>
        <n v="18750"/>
        <n v="11300"/>
        <n v="11800"/>
        <n v="9400"/>
        <n v="20300"/>
        <n v="25800"/>
        <n v="7600"/>
        <n v="14800"/>
        <n v="18250"/>
        <n v="8700"/>
        <n v="12700"/>
        <n v="21400"/>
        <n v="18200"/>
        <n v="18000"/>
        <n v="22200"/>
        <n v="12200"/>
        <n v="10800"/>
        <n v="4500"/>
        <n v="16300"/>
        <n v="14900"/>
        <n v="8400"/>
        <n v="17100"/>
        <n v="7800"/>
        <n v="9750"/>
        <n v="24000"/>
        <n v="17200"/>
        <n v="12100"/>
        <n v="12600"/>
        <n v="2500"/>
        <n v="36000"/>
        <n v="15800"/>
        <n v="7500"/>
        <n v="13800"/>
        <n v="18400"/>
        <n v="17400"/>
        <n v="27200"/>
        <n v="19900"/>
        <n v="18600"/>
        <n v="15900"/>
        <n v="12500"/>
        <n v="12400"/>
        <n v="10100"/>
        <n v="20800"/>
        <n v="5200"/>
        <n v="16900"/>
        <n v="7700"/>
        <n v="12900"/>
        <n v="35250"/>
        <n v="16800"/>
        <n v="45500"/>
        <n v="32100"/>
        <n v="15000"/>
        <n v="9100"/>
        <n v="8900"/>
        <n v="33500"/>
        <n v="28750"/>
        <n v="12750"/>
        <n v="6900"/>
        <n v="14000"/>
        <n v="37000"/>
        <n v="31750"/>
        <n v="54250"/>
        <n v="8000"/>
        <n v="20000"/>
        <n v="13500"/>
        <n v="13900"/>
        <n v="15500"/>
        <n v="9600"/>
        <n v="29600"/>
        <n v="14200"/>
        <n v="13100"/>
        <n v="7000"/>
        <n v="42000"/>
        <n v="6300"/>
        <n v="34500"/>
        <n v="13300"/>
        <n v="33000"/>
        <n v="3850"/>
        <n v="35500"/>
        <n v="5500"/>
        <n v="64000"/>
        <n v="51500"/>
        <n v="15700"/>
        <n v="15200"/>
        <n v="15300"/>
        <n v="16400"/>
        <n v="2700"/>
        <n v="36250"/>
        <n v="56250"/>
        <n v="17750"/>
        <n v="28250"/>
        <n v="31900"/>
        <n v="6000"/>
        <n v="14300"/>
        <n v="16600"/>
        <n v="48000"/>
        <n v="15250"/>
        <n v="46750"/>
        <n v="42750"/>
        <n v="20401"/>
        <n v="54000"/>
        <n v="39000"/>
        <n v="2600"/>
        <n v="17250"/>
        <n v="19000"/>
        <n v="37750"/>
        <n v="18900"/>
        <n v="13750"/>
        <n v="36500"/>
        <n v="10400"/>
        <n v="60000"/>
        <n v="29300"/>
        <n v="30750"/>
        <n v="31000"/>
        <n v="14600"/>
        <n v="18801"/>
        <n v="34750"/>
        <n v="14500"/>
        <n v="22900"/>
        <n v="14400"/>
        <n v="2800"/>
        <n v="24200"/>
        <n v="4000"/>
        <n v="16000"/>
        <n v="4900"/>
        <n v="14750"/>
        <n v="88500"/>
        <n v="18300"/>
        <n v="11250"/>
        <n v="10300"/>
        <n v="49500"/>
        <n v="11100"/>
        <n v="8600"/>
        <n v="16250"/>
        <n v="25900"/>
        <n v="22800"/>
        <n v="17600"/>
        <n v="12250"/>
        <n v="23700"/>
        <n v="55000"/>
        <n v="19700"/>
        <n v="9900"/>
        <n v="59750"/>
        <n v="27100"/>
        <n v="29000"/>
        <n v="1000"/>
        <n v="18700"/>
        <n v="20200"/>
        <n v="16700"/>
        <n v="39500"/>
        <n v="7300"/>
        <n v="10200"/>
        <n v="9300"/>
        <n v="8200"/>
        <n v="11200"/>
        <n v="46000"/>
        <n v="50500"/>
        <n v="17800"/>
        <n v="42500"/>
        <n v="49000"/>
        <n v="29250"/>
        <n v="40500"/>
        <n v="47000"/>
        <n v="43000"/>
        <n v="21600"/>
        <n v="45000"/>
        <n v="20900"/>
        <n v="33250"/>
        <n v="32750"/>
        <n v="31500"/>
        <n v="58500"/>
        <n v="52500"/>
        <n v="43500"/>
        <n v="52250"/>
        <n v="28500"/>
        <n v="44250"/>
        <n v="17900"/>
        <n v="41100"/>
        <n v="49250"/>
        <n v="36750"/>
        <n v="26600"/>
        <n v="19100"/>
        <n v="33100"/>
        <n v="40750"/>
        <n v="19400"/>
        <n v="91000"/>
        <n v="33750"/>
        <n v="42250"/>
        <n v="51250"/>
        <n v="37500"/>
        <n v="48500"/>
        <n v="31250"/>
        <n v="43750"/>
        <n v="42900"/>
        <n v="27300"/>
        <n v="8300"/>
        <n v="15750"/>
        <n v="22100"/>
        <n v="16750"/>
        <n v="44750"/>
        <n v="24800"/>
        <n v="19250"/>
        <n v="1300"/>
        <n v="5600"/>
        <n v="3200"/>
        <n v="7900"/>
        <n v="40250"/>
        <n v="19800"/>
        <n v="7100"/>
        <n v="28800"/>
        <n v="21900"/>
        <n v="25600"/>
        <n v="24300"/>
        <n v="6100"/>
        <n v="20100"/>
        <n v="21100"/>
        <n v="30700"/>
        <n v="154000"/>
        <n v="45750"/>
        <n v="35750"/>
        <n v="5700"/>
        <n v="4300"/>
        <n v="9700"/>
        <n v="14950"/>
        <n v="9250"/>
        <n v="13250"/>
        <n v="10750"/>
        <n v="14250"/>
        <n v="53000"/>
        <n v="21800"/>
        <n v="53500"/>
        <n v="43200"/>
        <n v="27900"/>
        <n v="58750"/>
        <n v="29750"/>
        <n v="15400"/>
        <n v="35000"/>
        <n v="3600"/>
        <n v="29500"/>
        <n v="5900"/>
        <n v="15600"/>
        <n v="7400"/>
        <n v="61000"/>
        <n v="38750"/>
        <n v="5000"/>
        <n v="41750"/>
        <n v="26801"/>
        <n v="72500"/>
        <n v="8250"/>
        <n v="5100"/>
        <n v="4750"/>
        <n v="28901"/>
        <n v="7250"/>
        <n v="28600"/>
        <n v="23300"/>
        <n v="20650"/>
        <n v="38500"/>
        <n v="19750"/>
        <n v="21700"/>
        <n v="25100"/>
        <n v="6800"/>
        <n v="5400"/>
        <n v="8750"/>
        <n v="6400"/>
        <n v="7750"/>
        <m/>
      </sharedItems>
    </cacheField>
    <cacheField name="saledate" numFmtId="0">
      <sharedItems containsBlank="1"/>
    </cacheField>
    <cacheField name="sale_year" numFmtId="0">
      <sharedItems containsString="0" containsBlank="1" containsNumber="1" containsInteger="1" minValue="2014" maxValue="2015"/>
    </cacheField>
    <cacheField name="car_full_name" numFmtId="0">
      <sharedItems containsBlank="1" count="482">
        <s v="Kia Sorento LX"/>
        <s v="BMW 3 Series 328i SULEV"/>
        <s v="Volvo S60 T5"/>
        <s v="BMW 6 Series Gran Coupe 650i"/>
        <s v="Nissan Altima 2.5 S"/>
        <s v="BMW M5 Base"/>
        <s v="Chevrolet Cruze 1LT"/>
        <s v="Audi A4 2.0T Premium Plus quattro"/>
        <s v="Chevrolet Camaro LT"/>
        <s v="Audi A6 3.0T Prestige quattro"/>
        <s v="Kia Optima LX"/>
        <s v="Ford Fusion SE"/>
        <s v="Chevrolet Cruze 2LT"/>
        <s v="Hyundai Sonata SE"/>
        <s v="Audi Q5 2.0T Premium Plus quattro"/>
        <s v="Chevrolet Camaro LS"/>
        <s v="BMW 6 Series 650i"/>
        <s v="Chevrolet Impala LTZ"/>
        <s v="BMW 5 Series 528i"/>
        <s v="Audi A3 1.8 TFSI Premium"/>
        <s v="Volvo XC70 T6"/>
        <s v="BMW X5 sDrive35i"/>
        <s v="Audi SQ5 3.0T Premium Plus quattro"/>
        <s v="Audi S5 Premium Plus quattro"/>
        <s v="Buick Verano Convenience Group"/>
        <s v="Chevrolet Suburban LTZ"/>
        <s v="Cadillac ELR Base"/>
        <s v="Volvo V60 T5"/>
        <s v="BMW X6 xDrive35i"/>
        <s v="Acura ILX Technology Package"/>
        <s v="Kia K900 Luxury"/>
        <s v="Chevrolet Malibu LT"/>
        <s v="Lexus RX 350 Base"/>
        <s v="Nissan Versa 1.6 SL"/>
        <s v="Hyundai Elantra SE"/>
        <s v="Nissan Versa Note 1.6 SV"/>
        <s v="Audi A8 L 3.0T quattro"/>
        <s v="BMW X1 sDrive28i"/>
        <s v="BMW 750Li"/>
        <s v="Buick Enclave Leather Group"/>
        <s v="Audi TTS quattro"/>
        <s v="BMW 4 Series 428i SULEV"/>
        <s v="Chevrolet Silverado 2500HD Work Truck"/>
        <s v="Acura MDX Advance and Entertainment Packages"/>
        <s v="Chevrolet Silverado 1500 LT"/>
        <s v="BMW 5 Series 535d"/>
        <s v="Cadillac SRX Luxury"/>
        <s v="BMW X5 xDrive35i"/>
        <s v="Acura ILX Base"/>
        <s v="Infiniti G Coupe G37 Sport"/>
        <s v="Infiniti G Sedan G37 Journey"/>
        <s v="Infiniti FX FX37"/>
        <s v="Hyundai Santa Fe Limited"/>
        <s v="Hyundai Genesis 5.0 R-Spec"/>
        <s v="Hyundai Equus Signature"/>
        <s v="Hyundai Elantra GLS"/>
        <s v="Hyundai Sonata GLS"/>
        <s v="Hyundai Sonata Hybrid Limited"/>
        <s v="Hyundai Santa Fe Sport"/>
        <s v="Hyundai Sonata Limited"/>
        <s v="Hyundai Elantra Limited"/>
        <s v="Hyundai Santa Fe Sport 2.0T"/>
        <s v="Hyundai Accent GLS"/>
        <s v="Hyundai Veloster Turbo"/>
        <s v="Hyundai Elantra Coupe SE"/>
        <s v="Hyundai Accent GS"/>
        <s v="Hyundai Azera Base"/>
        <s v="Hyundai Sonata Hybrid Base"/>
        <s v="Hyundai Tucson GLS"/>
        <s v="Hyundai Equus Ultimate"/>
        <s v="Hyundai Accent SE"/>
        <s v="Hyundai Genesis 3.8"/>
        <s v="Hyundai Elantra Coupe GS"/>
        <s v="Hyundai Veloster Base"/>
        <s v="Hyundai Genesis Coupe 3.8 Track"/>
        <s v="Hyundai Tucson Limited"/>
        <s v="Jeep Wrangler Unlimited Rubicon"/>
        <s v="Kia Optima EX Hybrid"/>
        <s v="Nissan Altima 2.5"/>
        <s v="Mercedes-Benz S-Class S550"/>
        <s v="Lexus GS 350 Base"/>
        <s v="Mitsubishi Outlander SE"/>
        <s v="Mercedes-Benz C-Class C250"/>
        <s v="Kia Optima SX"/>
        <s v="Jeep Wrangler Unlimited Sahara"/>
        <s v="Mazda Mazda2 Sport"/>
        <s v="Kia Rio LX"/>
        <s v="Mercedes-Benz C-Class C250 Sport"/>
        <s v="Mazda Mazda2 Touring"/>
        <s v="Infiniti M M37"/>
        <s v="Nissan 370Z Base"/>
        <s v="Kia Soul +"/>
        <s v="Kia Soul Base"/>
        <s v="Mitsubishi Outlander Sport LE"/>
        <s v="Mercedes-Benz SLK-Class SLK350"/>
        <s v="Lexus ES 350 Base"/>
        <s v="Mercedes-Benz E-Class E350 Sport"/>
        <s v="Mazda Mazda3 i SV"/>
        <s v="MINI Cooper Clubman Base"/>
        <s v="MINI Cooper Base"/>
        <s v="Mazda CX-9 Touring"/>
        <s v="Kia Forte LX"/>
        <s v="Kia Sorento SX"/>
        <s v="Jeep Compass Latitude"/>
        <s v="Mazda Mazda3 i Touring"/>
        <s v="Infiniti JX JX35"/>
        <s v="Infiniti G Sedan G37x"/>
        <s v="Kia Rio SX"/>
        <s v="Lexus RX 450h Base"/>
        <s v="Land Rover LR4 HSE LUX"/>
        <s v="Kia Optima EX"/>
        <s v="Mazda Mazda5 Touring"/>
        <s v="Mazda Mazda3 i Sport"/>
        <s v="Infiniti G Coupe G37x"/>
        <s v="Kia Forte EX"/>
        <s v="Mazda Mazda5 Sport"/>
        <s v="Land Rover Range Rover Evoque Pure Plus"/>
        <s v="Lexus LS 460 L"/>
        <s v="Mercedes-Benz GLK-Class GLK350"/>
        <s v="Jeep Wrangler Unlimited Sport"/>
        <s v="Kia Sportage LX"/>
        <s v="Jeep Grand Cherokee Limited"/>
        <s v="Mercedes-Benz E-Class E350 Sport BlueTEC"/>
        <s v="Lincoln MKX Base"/>
        <s v="Land Rover Range Rover Evoque Pure"/>
        <s v="lincoln mkt awd v6"/>
        <s v="Jaguar XF Base"/>
        <s v="Mercedes-Benz GL-Class GL450 4MATIC"/>
        <s v="Kia Rio EX"/>
        <s v="Mercedes-Benz M-Class ML350"/>
        <s v="MINI Cooper Countryman Base"/>
        <s v="Kia Sorento EX"/>
        <s v="Land Rover Range Rover Evoque Pure Premium"/>
        <s v="Mitsubishi Lancer Ralliart"/>
        <s v="Mercedes-Benz C-Class C63 AMG"/>
        <s v="Land Rover Range Rover Sport Supercharged Limited Edition"/>
        <s v="Mercedes-Benz E-Class E350"/>
        <s v="Mitsubishi Lancer ES"/>
        <s v="Volkswagen Passat SE PZEV"/>
        <s v="Toyota Corolla LE"/>
        <s v="Volvo XC60 3.2"/>
        <s v="Toyota Sienna LE 7-Passenger Mobility Auto Access"/>
        <s v="Nissan Juke S"/>
        <s v="Toyota Yaris L"/>
        <s v="Nissan Sentra SR"/>
        <s v="Nissan Rogue S"/>
        <s v="Nissan NV 1500 S"/>
        <s v="Toyota Corolla S"/>
        <s v="Volkswagen CC R-Line PZEV"/>
        <s v="Nissan Leaf SL"/>
        <s v="Toyota Camry LE"/>
        <s v="Toyota Camry XLE"/>
        <s v="Toyota Tacoma PreRunner"/>
        <s v="Volkswagen Jetta SE PZEV"/>
        <s v="Subaru Impreza WRX Base"/>
        <s v="Nissan Altima 3.5 SL"/>
        <s v="Toyota FJ Cruiser Base"/>
        <s v="Nissan Versa 1.6 S Plus"/>
        <s v="Volkswagen Beetle 2.5L PZEV"/>
        <s v="Toyota Avalon XLE"/>
        <s v="Scion FR-S Base"/>
        <s v="Nissan NV200 S"/>
        <s v="Toyota RAV4 LE"/>
        <s v="Volkswagen Passat Wolfsburg Edition PZEV"/>
        <s v="Nissan Quest SL"/>
        <s v="Volkswagen Jetta TDI"/>
        <s v="Toyota Tundra Tundra"/>
        <s v="Scion tC Base"/>
        <s v="Nissan Maxima 3.5 SV"/>
        <s v="Porsche Cayenne Base"/>
        <s v="Nissan Sentra S"/>
        <s v="Porsche 911 Carrera S"/>
        <s v="Nissan Xterra S"/>
        <s v="Toyota Prius Two"/>
        <s v="Volvo S80 3.2"/>
        <s v="Nissan Frontier SV"/>
        <s v="Porsche Boxster S"/>
        <s v="Toyota Camry Hybrid XLE"/>
        <s v="Nissan Sentra SV"/>
        <s v="Scion xB Base"/>
        <s v="Nissan Cube 1.8 SL"/>
        <s v="Toyota Tacoma Base"/>
        <s v="Volkswagen Jetta SportWagen S PZEV"/>
        <s v="Nissan Sentra FE+ S"/>
        <s v="Nissan Rogue SV"/>
        <s v="Toyota 4Runner Limited"/>
        <s v="Toyota Sequoia SR5"/>
        <s v="Nissan Maxima 3.5 S"/>
        <s v="Subaru Legacy 2.5i Premium PZEV"/>
        <s v="Nissan Leaf S"/>
        <s v="Nissan Armada SV"/>
        <s v="Toyota Venza LE"/>
        <s v="Toyota Tacoma PreRunner V6"/>
        <s v="Nissan Murano SV"/>
        <s v="Porsche Cayenne S Hybrid"/>
        <s v="Nissan Pathfinder SV"/>
        <s v="Porsche Panamera Base"/>
        <s v="Toyota Corolla S Special Edition"/>
        <s v="Nissan Frontier S"/>
        <s v="Subaru Forester 2.5X PZEV"/>
        <s v="Toyota Highlander Limited"/>
        <s v="Toyota Avalon Limited"/>
        <s v="Subaru Impreza 2.0i Sport Limited PZEV"/>
        <s v="Volkswagen Passat SE"/>
        <s v="Toyota Tacoma V6"/>
        <s v="Subaru Impreza WRX STI"/>
        <s v="Toyota Camry SE"/>
        <s v="Nissan Sentra FE+ SV"/>
        <s v="Volkswagen Passat TDI SE"/>
        <s v="Porsche Boxster Base"/>
        <s v="Toyota Camry Hybrid LE"/>
        <s v="Toyota Yaris LE"/>
        <s v="Toyota Corolla L"/>
        <s v="Nissan Murano S"/>
        <s v="Nissan Murano SL"/>
        <s v="Nissan Quest SV"/>
        <s v="Toyota Camry L"/>
        <s v=""/>
        <s v="bmw 750i xdr 750i xdriv"/>
        <s v="Acura TSX Base"/>
        <s v="Audi A6 3.0T Premium quattro"/>
        <s v="BMW 7 Series 740i"/>
        <s v="BMW 3 Series 335is"/>
        <s v="BMW 3 Series 328i"/>
        <s v="BMW 1 Series 135i"/>
        <s v="BMW 6 Series 640i"/>
        <s v="Acura TL Base"/>
        <s v="BMW 5 Series 535i"/>
        <s v="BMW 7 Series 740Li"/>
        <s v="bmw 750li 750li"/>
        <s v="BMW 5 Series 528i xDrive"/>
        <s v="Audi S4 Premium Plus quattro"/>
        <s v="Audi A7 Premium quattro"/>
        <s v="BMW 3 Series 335i"/>
        <s v="Audi A5 2.0T Premium quattro"/>
        <s v="BMW 1 Series 128i"/>
        <s v="Acura TSX Special Edition"/>
        <s v="bmw 750i 750i"/>
        <s v="Acura RDX Technology Package"/>
        <s v="BMW M3 Base"/>
        <s v="BMW 5 Series 550i"/>
        <s v="BMW 6 Series 650i xDrive"/>
        <s v="MINI Cooper Coupe S"/>
        <s v="Acura TL Technology Package"/>
        <s v="Acura ZDX Technology Package"/>
        <s v="Audi A4 2.0T Premium quattro"/>
        <s v="Audi R8 4.2 quattro"/>
        <s v="Acura MDX Technology Package"/>
        <s v="BMW X3 xDrive28i"/>
        <s v="Audi Q5 3.2 Premium Plus quattro"/>
        <s v="Acura MDX Technology and Entertainment Packages"/>
        <s v="BMW 5 Series 535i xDrive"/>
        <s v="Acura MDX Base"/>
        <s v="Dodge Avenger SE"/>
        <s v="Ford E-Series Wagon E-350 Super Duty XL"/>
        <s v="Ford Escape Limited"/>
        <s v="Ford Edge SEL"/>
        <s v="BMW X5 xDrive35i Premium"/>
        <s v="Cadillac SRX Base"/>
        <s v="Ford Focus Titanium"/>
        <s v="Ford Flex Limited"/>
        <s v="BMW Z4 sDrive28i"/>
        <s v="BMW X5 xDrive35d"/>
        <s v="Chevrolet Cruze LT Fleet"/>
        <s v="Chevrolet Traverse LS"/>
        <s v="Chevrolet Malibu LS Fleet"/>
        <s v="Ford Focus SE"/>
        <s v="Ford F-350 Super Duty Lariat"/>
        <s v="Ford Fiesta SES"/>
        <s v="FIAT 500 Sport"/>
        <s v="Chrysler 200 LX"/>
        <s v="Ford Focus SEL"/>
        <s v="Ford Fiesta SE"/>
        <s v="Ford Escape XLS"/>
        <s v="Dodge Journey SXT"/>
        <s v="Ford Edge SE"/>
        <s v="Dodge Charger SRT8"/>
        <s v="Ford Flex SE"/>
        <s v="BMW X5 xDrive50i"/>
        <s v="ford e350 wagon v8 xlt"/>
        <s v="Chevrolet Cruze LS"/>
        <s v="Chevrolet Equinox LT"/>
        <s v="Chrysler 300 S V6"/>
        <s v="Ford F-150 XLT"/>
        <s v="Ford Explorer Base"/>
        <s v="FIAT 500 C Pop"/>
        <s v="Chevrolet Captiva Sport LTZ Fleet"/>
        <s v="Chevrolet Impala LT Fleet"/>
        <s v="Cadillac Escalade Luxury"/>
        <s v="Dodge Grand Caravan American Value Package"/>
        <s v="Dodge Grand Caravan SXT"/>
        <s v="Ford Edge Limited"/>
        <s v="BMW X6 xDrive50i"/>
        <s v="Ford Fiesta S"/>
        <s v="Cadillac CTS Coupe Premium"/>
        <s v="Ford F-150 FX2"/>
        <s v="Chrysler Town and Country Touring"/>
        <s v="Cadillac Escalade Premium"/>
        <s v="Ford E-Series Van E-150"/>
        <s v="Chevrolet Volt Base"/>
        <s v="Ford Fusion Hybrid"/>
        <s v="Chevrolet Silverado 1500 Work Truck"/>
        <s v="BMW X3 xDrive35i"/>
        <s v="Ford Escape XLT"/>
        <s v="Chevrolet Express Cargo 1500"/>
        <s v="Chevrolet Cruze Eco"/>
        <s v="ford e150 wagon v8"/>
        <s v="BMW X5 M Base"/>
        <s v="Chevrolet Captiva Sport 2LS Fleet"/>
        <s v="Ford Fusion SEL"/>
        <s v="Ford Edge Sport"/>
        <s v="Dodge Charger SXT"/>
        <s v="Ford E-Series Van E-350 Super Duty"/>
        <s v="Chevrolet Captiva Sport 1LT Fleet"/>
        <s v="Ford F-150 Lariat"/>
        <s v="Ford Expedition Limited"/>
        <s v="Ford Explorer XLT"/>
        <s v="Ford Focus S"/>
        <s v="Chevrolet Colorado Work Truck"/>
        <s v="Chevrolet Express LS 3500"/>
        <s v="Chevrolet Equinox LS"/>
        <s v="Ford F-150 XL"/>
        <s v="Ford Explorer Limited"/>
        <s v="Dodge Grand Caravan Crew"/>
        <s v="Ferrari California Base"/>
        <s v="Cadillac Escalade ESV Platinum Edition"/>
        <s v="Chevrolet Sonic LT"/>
        <s v="Chevrolet Impala LS Fleet"/>
        <s v="Honda Accord SE"/>
        <s v="Honda CR-V EX"/>
        <s v="Honda Accord LX"/>
        <s v="Infiniti G Sedan G25"/>
        <s v="Ford Mustang V6"/>
        <s v="Honda Accord LX-P"/>
        <s v="Honda Civic LX"/>
        <s v="Honda Fit Sport"/>
        <s v="Honda Pilot LX"/>
        <s v="Honda Odyssey LX"/>
        <s v="Honda Civic EX"/>
        <s v="Honda Accord LX-S"/>
        <s v="Hyundai Genesis 4.6"/>
        <s v="Honda Accord EX V-6"/>
        <s v="Honda Pilot EX-L"/>
        <s v="Honda Accord EX-L V-6"/>
        <s v="Honda Odyssey EX"/>
        <s v="Honda Accord EX"/>
        <s v="Honda Pilot Touring"/>
        <s v="Ford Mustang GT"/>
        <s v="Honda CR-V EX-L"/>
        <s v="Honda Pilot EX"/>
        <s v="Honda Crosstour EX-L"/>
        <s v="Ford Transit Connect Cargo Van XLT"/>
        <s v="GMC Terrain SLE-2"/>
        <s v="Hyundai Santa Fe SE"/>
        <s v="Ford Fusion S"/>
        <s v="Honda Accord EX-L"/>
        <s v="Honda Odyssey EX-L"/>
        <s v="Ford Taurus SEL"/>
        <s v="Ford Taurus SE"/>
        <s v="Infiniti G Coupe G37"/>
        <s v="Infiniti G Convertible G37"/>
        <s v="Honda Civic EX-L"/>
        <s v="Infiniti FX FX35"/>
        <s v="GMC Yukon Denali"/>
        <s v="Hyundai Veracruz Limited"/>
        <s v="Honda Odyssey Touring"/>
        <s v="Honda Civic HF"/>
        <s v="Jaguar XJ Base"/>
        <s v="Mercedes-Benz E-Class E350 Luxury"/>
        <s v="Jeep Liberty Sport"/>
        <s v="Lexus IS 250 Base"/>
        <s v="Land Rover LR4 Base"/>
        <s v="Jaguar XK XKR"/>
        <s v="Infiniti QX QX56"/>
        <s v="Lexus CT 200h Premium"/>
        <s v="Mazda Mazda6 i Touring"/>
        <s v="Lincoln MKZ Base"/>
        <s v="MINI Cooper Clubman S"/>
        <s v="Lincoln Navigator Base"/>
        <s v="Jaguar XJ XJL Supercharged"/>
        <s v="Kia Forte SX"/>
        <s v="Kia Sportage EX"/>
        <s v="Mazda Mazda6 i Grand Touring"/>
        <s v="Jeep Grand Cherokee Laredo"/>
        <s v="Infiniti M M35h"/>
        <s v="Jaguar XK Base"/>
        <s v="MINI Cooper S"/>
        <s v="Jaguar XF Portfolio"/>
        <s v="Land Rover Range Rover HSE"/>
        <s v="MINI Cooper Countryman S ALL4"/>
        <s v="Kia Forte Koup EX"/>
        <s v="Mercedes-Benz SL-Class SL550"/>
        <s v="Mazda Mazda6 i Sport"/>
        <s v="Mazda Mazda3 s Touring"/>
        <s v="Jaguar XJ Supercharged"/>
        <s v="Kia Sedona LX"/>
        <s v="Land Rover Range Rover Sport HSE"/>
        <s v="Kia Optima Hybrid"/>
        <s v="MINI Cooper Coupe Base"/>
        <s v="Infiniti M M37x"/>
        <s v="Lexus IS 350 Base"/>
        <s v="Jeep Patriot Sport"/>
        <s v="Lincoln Navigator L"/>
        <s v="mitsubishi galant fe"/>
        <s v="Nissan Sentra 2"/>
        <s v="Nissan Versa 1.8 S"/>
        <s v="Ram 1500 R/T"/>
        <s v="Ram 1500 ST"/>
        <s v="Toyota Avalon Base"/>
        <s v="Nissan NV 3500 S"/>
        <s v="Subaru Impreza WRX"/>
        <s v="Nissan GT-R Black Edition"/>
        <s v="Mercedes-Benz M-Class ML350 4MATIC"/>
        <s v="Nissan Armada SL"/>
        <s v="Porsche Panamera S Hybrid"/>
        <s v="Subaru Forester 2.5X Touring PZEV"/>
        <s v="Ram 1500 SLT"/>
        <s v="Mercedes-Benz S-Class S350 BlueTEC 4MATIC"/>
        <s v="Ram 2500 ST"/>
        <s v="Porsche 911 Carrera S (Midyear Redesign)"/>
        <s v="Porsche Panamera 4"/>
        <s v="Mitsubishi Galant ES"/>
        <s v="Mercedes-Benz E-Class E350 Luxury 4MATIC"/>
        <s v="Mercedes-Benz M-Class ML350 BlueTEC"/>
        <s v="Mitsubishi Outlander Sport SE"/>
        <s v="Subaru Legacy 2.5i Premium"/>
        <s v="Mercedes-Benz M-Class ML63 AMG"/>
        <s v="Nissan Versa 1.6 S"/>
        <s v="smart fortwo passion coupe"/>
        <s v="mitsubishi galant"/>
        <s v="Audi A4 2.0T Premium"/>
        <s v="Volkswagen GLI Autobahn PZEV"/>
        <s v="Toyota Prius Three"/>
        <s v="BMW 5 Series Gran Turismo 535i xDrive"/>
        <s v="Volvo XC90 3.2"/>
        <s v="Acura RDX SH-AWD"/>
        <s v="Toyota Highlander Base"/>
        <s v="Volkswagen Tiguan S"/>
        <s v="BMW 3 Series 328i xDrive"/>
        <s v="Volkswagen GTI PZEV"/>
        <s v="Volvo S60 T6"/>
        <s v="Volkswagen CC Sport PZEV"/>
        <s v="Audi Q7 3.0T S line Prestige quattro"/>
        <s v="Volkswagen Beetle 2.0T White Turbo Launch Edition PZEV"/>
        <s v="Audi Q7 TDI Premium quattro"/>
        <s v="Audi S5 3.0T Premium Plus quattro"/>
        <s v="Toyota Highlander Hybrid Limited"/>
        <s v="Audi Q5 2.0T Premium quattro"/>
        <s v="Volkswagen CC Lux Limited PZEV"/>
        <s v="BMW 3 Series 335d"/>
        <s v="Toyota Sienna Base 7-Passenger"/>
        <s v="Volkswagen Jetta S"/>
        <s v="BMW 3 Series 335i xDrive"/>
        <s v="Toyota RAV4 Sport"/>
        <s v="Volvo XC70 3.2"/>
        <s v="Volkswagen Jetta Base"/>
        <s v="Audi A3 2.0T Premium"/>
        <s v="Volkswagen Tiguan SE"/>
        <s v="Volkswagen Passat S PZEV"/>
        <s v="Toyota Prius Plug-in Base"/>
        <s v="Dodge Charger Base"/>
        <s v="Chrysler 200 Limited"/>
        <s v="Chevrolet Equinox LT1"/>
        <s v="Chevrolet Silverado 1500 LS"/>
        <s v="ford e150 wagon v8 xlt"/>
        <s v="Honda CR-Z Base"/>
        <s v="Chrysler 300 C"/>
        <s v="Chevrolet Malibu LT1"/>
        <s v="Dodge Grand Caravan Express"/>
        <s v="Ford F-150 FX4"/>
        <s v="Infiniti EX EX35"/>
        <s v="Chevrolet Suburban LTZ 1500"/>
        <s v="Chevrolet Traverse LT1"/>
        <s v="GMC Sierra 1500 SLE"/>
        <s v="Buick LaCrosse CXL"/>
        <s v="Chevrolet HHR LS"/>
        <s v="Ford F-150 STX"/>
        <s v="Honda Accord Crosstour EX-L"/>
        <s v="Chevrolet Silverado 2500HD LTZ"/>
        <s v="Buick LaCrosse CXS"/>
        <s v="Honda CR-V LX"/>
        <m/>
      </sharedItems>
    </cacheField>
    <cacheField name="condition_flag" numFmtId="0">
      <sharedItems containsBlank="1" count="4">
        <s v="Low"/>
        <s v="High"/>
        <s v="Medium"/>
        <m/>
      </sharedItems>
    </cacheField>
    <cacheField name="price_flag"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2015"/>
    <x v="0"/>
    <x v="0"/>
    <x v="0"/>
    <x v="0"/>
    <s v="automatic"/>
    <s v="5xyktca69fg566472"/>
    <s v="ca"/>
    <n v="5"/>
    <x v="0"/>
    <s v="white"/>
    <s v="black"/>
    <s v="kia motors america  inc"/>
    <n v="20500"/>
    <x v="0"/>
    <s v="Tue Dec 16 2014 12:30:00 GMT-0800 (PST)"/>
    <n v="2014"/>
    <x v="0"/>
    <x v="0"/>
    <s v="Medium"/>
  </r>
  <r>
    <n v="2015"/>
    <x v="0"/>
    <x v="0"/>
    <x v="0"/>
    <x v="0"/>
    <s v="automatic"/>
    <s v="5xyktca69fg561319"/>
    <s v="ca"/>
    <n v="5"/>
    <x v="1"/>
    <s v="white"/>
    <s v="beige"/>
    <s v="kia motors america  inc"/>
    <n v="20800"/>
    <x v="0"/>
    <s v="Tue Dec 16 2014 12:30:00 GMT-0800 (PST)"/>
    <n v="2014"/>
    <x v="0"/>
    <x v="0"/>
    <s v="Medium"/>
  </r>
  <r>
    <n v="2014"/>
    <x v="1"/>
    <x v="1"/>
    <x v="1"/>
    <x v="1"/>
    <s v="automatic"/>
    <s v="wba3c1c51ek116351"/>
    <s v="ca"/>
    <n v="45"/>
    <x v="2"/>
    <s v="gray"/>
    <s v="black"/>
    <s v="financial services remarketing (lease)"/>
    <n v="31900"/>
    <x v="1"/>
    <s v="Thu Jan 15 2015 04:30:00 GMT-0800 (PST)"/>
    <n v="2015"/>
    <x v="1"/>
    <x v="1"/>
    <s v="Medium"/>
  </r>
  <r>
    <n v="2015"/>
    <x v="2"/>
    <x v="2"/>
    <x v="2"/>
    <x v="1"/>
    <s v="automatic"/>
    <s v="yv1612tb4f1310987"/>
    <s v="ca"/>
    <n v="41"/>
    <x v="3"/>
    <s v="white"/>
    <s v="black"/>
    <s v="volvo na rep/world omni"/>
    <n v="27500"/>
    <x v="2"/>
    <s v="Thu Jan 29 2015 04:30:00 GMT-0800 (PST)"/>
    <n v="2015"/>
    <x v="2"/>
    <x v="1"/>
    <s v="Medium"/>
  </r>
  <r>
    <n v="2014"/>
    <x v="1"/>
    <x v="3"/>
    <x v="3"/>
    <x v="1"/>
    <s v="automatic"/>
    <s v="wba6b2c57ed129731"/>
    <s v="ca"/>
    <n v="43"/>
    <x v="4"/>
    <s v="gray"/>
    <s v="black"/>
    <s v="financial services remarketing (lease)"/>
    <n v="66000"/>
    <x v="3"/>
    <s v="Thu Dec 18 2014 12:30:00 GMT-0800 (PST)"/>
    <n v="2014"/>
    <x v="3"/>
    <x v="1"/>
    <s v="High"/>
  </r>
  <r>
    <n v="2015"/>
    <x v="3"/>
    <x v="4"/>
    <x v="4"/>
    <x v="1"/>
    <s v="automatic"/>
    <s v="1n4al3ap1fn326013"/>
    <s v="ca"/>
    <n v="1"/>
    <x v="5"/>
    <s v="gray"/>
    <s v="black"/>
    <s v="enterprise vehicle exchange / tra / rental / tulsa"/>
    <n v="15350"/>
    <x v="4"/>
    <s v="Tue Dec 30 2014 12:00:00 GMT-0800 (PST)"/>
    <n v="2014"/>
    <x v="4"/>
    <x v="0"/>
    <s v="Low"/>
  </r>
  <r>
    <n v="2014"/>
    <x v="1"/>
    <x v="5"/>
    <x v="5"/>
    <x v="1"/>
    <s v="automatic"/>
    <s v="wbsfv9c51ed593089"/>
    <s v="ca"/>
    <n v="34"/>
    <x v="6"/>
    <s v="black"/>
    <s v="black"/>
    <s v="the hertz corporation"/>
    <n v="69000"/>
    <x v="5"/>
    <s v="Wed Dec 17 2014 12:30:00 GMT-0800 (PST)"/>
    <n v="2014"/>
    <x v="5"/>
    <x v="2"/>
    <s v="High"/>
  </r>
  <r>
    <n v="2014"/>
    <x v="4"/>
    <x v="6"/>
    <x v="6"/>
    <x v="1"/>
    <s v="automatic"/>
    <s v="1g1pc5sb2e7128460"/>
    <s v="ca"/>
    <n v="2"/>
    <x v="7"/>
    <s v="black"/>
    <s v="black"/>
    <s v="enterprise vehicle exchange / tra / rental / tulsa"/>
    <n v="11900"/>
    <x v="6"/>
    <s v="Tue Dec 16 2014 13:00:00 GMT-0800 (PST)"/>
    <n v="2014"/>
    <x v="6"/>
    <x v="0"/>
    <s v="Low"/>
  </r>
  <r>
    <n v="2014"/>
    <x v="5"/>
    <x v="7"/>
    <x v="7"/>
    <x v="1"/>
    <s v="automatic"/>
    <s v="wauffafl3en030343"/>
    <s v="ca"/>
    <n v="42"/>
    <x v="8"/>
    <s v="white"/>
    <s v="black"/>
    <s v="audi mission viejo"/>
    <n v="32100"/>
    <x v="7"/>
    <s v="Thu Dec 18 2014 12:00:00 GMT-0800 (PST)"/>
    <n v="2014"/>
    <x v="7"/>
    <x v="1"/>
    <s v="Medium"/>
  </r>
  <r>
    <n v="2014"/>
    <x v="4"/>
    <x v="8"/>
    <x v="8"/>
    <x v="2"/>
    <s v="automatic"/>
    <s v="2g1fb3d37e9218789"/>
    <s v="ca"/>
    <n v="3"/>
    <x v="9"/>
    <s v="red"/>
    <s v="black"/>
    <s v="d/m auto sales inc"/>
    <n v="26300"/>
    <x v="8"/>
    <s v="Tue Jan 20 2015 04:00:00 GMT-0800 (PST)"/>
    <n v="2015"/>
    <x v="8"/>
    <x v="0"/>
    <s v="Low"/>
  </r>
  <r>
    <n v="2014"/>
    <x v="5"/>
    <x v="9"/>
    <x v="9"/>
    <x v="1"/>
    <s v="automatic"/>
    <s v="wauhgafc0en062916"/>
    <s v="ca"/>
    <n v="48"/>
    <x v="10"/>
    <s v="black"/>
    <s v="black"/>
    <s v="desert auto trade"/>
    <n v="47300"/>
    <x v="9"/>
    <s v="Tue Dec 16 2014 12:30:00 GMT-0800 (PST)"/>
    <n v="2014"/>
    <x v="9"/>
    <x v="1"/>
    <s v="Medium"/>
  </r>
  <r>
    <n v="2015"/>
    <x v="0"/>
    <x v="10"/>
    <x v="0"/>
    <x v="1"/>
    <s v="automatic"/>
    <s v="5xxgm4a73fg353538"/>
    <s v="ca"/>
    <n v="48"/>
    <x v="11"/>
    <s v="red"/>
    <s v="tan"/>
    <s v="kia motors finance"/>
    <n v="15150"/>
    <x v="10"/>
    <s v="Tue Dec 16 2014 12:00:00 GMT-0800 (PST)"/>
    <n v="2014"/>
    <x v="10"/>
    <x v="1"/>
    <s v="Low"/>
  </r>
  <r>
    <n v="2015"/>
    <x v="6"/>
    <x v="11"/>
    <x v="10"/>
    <x v="1"/>
    <s v="automatic"/>
    <s v="3fa6p0hdxfr145753"/>
    <s v="ca"/>
    <n v="2"/>
    <x v="12"/>
    <s v="white"/>
    <s v="beige"/>
    <s v="enterprise vehicle exchange / tra / rental / tulsa"/>
    <n v="15350"/>
    <x v="11"/>
    <s v="Tue Jan 13 2015 12:00:00 GMT-0800 (PST)"/>
    <n v="2015"/>
    <x v="11"/>
    <x v="0"/>
    <s v="Low"/>
  </r>
  <r>
    <n v="2015"/>
    <x v="0"/>
    <x v="0"/>
    <x v="0"/>
    <x v="0"/>
    <s v="automatic"/>
    <s v="5xyktca66fg561407"/>
    <s v="ca"/>
    <n v="5"/>
    <x v="13"/>
    <s v="silver"/>
    <s v="black"/>
    <s v="kia motors america  inc"/>
    <n v="20600"/>
    <x v="0"/>
    <s v="Tue Dec 16 2014 12:30:00 GMT-0800 (PST)"/>
    <n v="2014"/>
    <x v="0"/>
    <x v="0"/>
    <s v="Medium"/>
  </r>
  <r>
    <n v="2014"/>
    <x v="4"/>
    <x v="6"/>
    <x v="11"/>
    <x v="1"/>
    <s v="automatic"/>
    <s v="1g1pe5sbxe7120097"/>
    <s v="ca"/>
    <m/>
    <x v="14"/>
    <s v="blue"/>
    <s v="black"/>
    <s v="avis rac/san leandro"/>
    <n v="13900"/>
    <x v="12"/>
    <s v="Tue Dec 16 2014 12:00:00 GMT-0800 (PST)"/>
    <n v="2014"/>
    <x v="12"/>
    <x v="0"/>
    <s v="Low"/>
  </r>
  <r>
    <n v="2015"/>
    <x v="3"/>
    <x v="4"/>
    <x v="4"/>
    <x v="1"/>
    <s v="automatic"/>
    <s v="1n4al3ap5fc124223"/>
    <s v="ca"/>
    <n v="2"/>
    <x v="15"/>
    <s v="black"/>
    <s v="black"/>
    <s v="enterprise vehicle exchange / tra / rental / tulsa"/>
    <n v="14750"/>
    <x v="13"/>
    <s v="Tue Dec 23 2014 12:00:00 GMT-0800 (PST)"/>
    <n v="2014"/>
    <x v="4"/>
    <x v="0"/>
    <s v="Low"/>
  </r>
  <r>
    <n v="2015"/>
    <x v="7"/>
    <x v="12"/>
    <x v="10"/>
    <x v="1"/>
    <s v="automatic"/>
    <s v="5npe24af4fh001562"/>
    <s v="ca"/>
    <m/>
    <x v="16"/>
    <s v="red"/>
    <s v="â€”"/>
    <s v="avis tra"/>
    <n v="15200"/>
    <x v="14"/>
    <s v="Tue Dec 16 2014 13:00:00 GMT-0800 (PST)"/>
    <n v="2014"/>
    <x v="13"/>
    <x v="0"/>
    <s v="Low"/>
  </r>
  <r>
    <n v="2014"/>
    <x v="5"/>
    <x v="13"/>
    <x v="7"/>
    <x v="0"/>
    <s v="automatic"/>
    <s v="wa1lfafpxea085074"/>
    <s v="ca"/>
    <n v="49"/>
    <x v="17"/>
    <s v="white"/>
    <s v="black"/>
    <s v="audi north scottsdale"/>
    <n v="37100"/>
    <x v="15"/>
    <s v="Thu Dec 18 2014 12:30:00 GMT-0800 (PST)"/>
    <n v="2014"/>
    <x v="14"/>
    <x v="1"/>
    <s v="Medium"/>
  </r>
  <r>
    <n v="2014"/>
    <x v="4"/>
    <x v="8"/>
    <x v="12"/>
    <x v="3"/>
    <s v="automatic"/>
    <s v="2g1fa1e39e9134494"/>
    <s v="ca"/>
    <n v="17"/>
    <x v="18"/>
    <s v="black"/>
    <s v="black"/>
    <s v="wells fargo dealer services"/>
    <n v="17750"/>
    <x v="16"/>
    <s v="Tue Dec 30 2014 15:00:00 GMT-0800 (PST)"/>
    <n v="2014"/>
    <x v="15"/>
    <x v="0"/>
    <s v="Low"/>
  </r>
  <r>
    <n v="2014"/>
    <x v="1"/>
    <x v="14"/>
    <x v="3"/>
    <x v="2"/>
    <s v="automatic"/>
    <s v="wbayp9c53ed169260"/>
    <s v="ca"/>
    <n v="34"/>
    <x v="19"/>
    <s v="black"/>
    <s v="black"/>
    <s v="the hertz corporation"/>
    <n v="68000"/>
    <x v="17"/>
    <s v="Wed Dec 17 2014 12:30:00 GMT-0800 (PST)"/>
    <n v="2014"/>
    <x v="16"/>
    <x v="2"/>
    <s v="High"/>
  </r>
  <r>
    <n v="2015"/>
    <x v="4"/>
    <x v="15"/>
    <x v="13"/>
    <x v="1"/>
    <s v="automatic"/>
    <s v="2g1165s30f9103921"/>
    <s v="ca"/>
    <n v="19"/>
    <x v="20"/>
    <s v="silver"/>
    <s v="black"/>
    <s v="enterprise vehicle exchange / tra / rental / tulsa"/>
    <n v="24300"/>
    <x v="18"/>
    <s v="Tue Jul 07 2015 09:30:00 GMT-0700 (PDT)"/>
    <n v="2015"/>
    <x v="17"/>
    <x v="0"/>
    <s v="Low"/>
  </r>
  <r>
    <n v="2014"/>
    <x v="1"/>
    <x v="16"/>
    <x v="14"/>
    <x v="1"/>
    <s v="automatic"/>
    <s v="wba5a5c51ed501631"/>
    <s v="ca"/>
    <n v="29"/>
    <x v="21"/>
    <s v="black"/>
    <s v="black"/>
    <s v="financial services remarketing (lease)"/>
    <n v="34200"/>
    <x v="1"/>
    <s v="Tue Feb 03 2015 04:30:00 GMT-0800 (PST)"/>
    <n v="2015"/>
    <x v="18"/>
    <x v="2"/>
    <s v="Medium"/>
  </r>
  <r>
    <n v="2014"/>
    <x v="4"/>
    <x v="8"/>
    <x v="8"/>
    <x v="2"/>
    <s v="automatic"/>
    <s v="2g1fb3d31e9134662"/>
    <s v="ca"/>
    <m/>
    <x v="22"/>
    <s v="black"/>
    <s v="black"/>
    <s v="avis rac/san leandro"/>
    <n v="20100"/>
    <x v="19"/>
    <s v="Tue Dec 16 2014 12:00:00 GMT-0800 (PST)"/>
    <n v="2014"/>
    <x v="8"/>
    <x v="0"/>
    <s v="Low"/>
  </r>
  <r>
    <n v="2015"/>
    <x v="5"/>
    <x v="17"/>
    <x v="15"/>
    <x v="1"/>
    <s v="automatic"/>
    <s v="wauacgff7f1002327"/>
    <s v="ca"/>
    <n v="49"/>
    <x v="23"/>
    <s v="gray"/>
    <s v="black"/>
    <s v="audi north scottsdale"/>
    <n v="24000"/>
    <x v="20"/>
    <s v="Thu Dec 18 2014 12:30:00 GMT-0800 (PST)"/>
    <n v="2014"/>
    <x v="19"/>
    <x v="1"/>
    <s v="Medium"/>
  </r>
  <r>
    <n v="2014"/>
    <x v="1"/>
    <x v="14"/>
    <x v="3"/>
    <x v="2"/>
    <s v="automatic"/>
    <s v="wbayp9c57ed169262"/>
    <s v="ca"/>
    <n v="38"/>
    <x v="24"/>
    <s v="black"/>
    <s v="black"/>
    <s v="the hertz corporation"/>
    <n v="67000"/>
    <x v="5"/>
    <s v="Tue Jan 06 2015 12:30:00 GMT-0800 (PST)"/>
    <n v="2015"/>
    <x v="16"/>
    <x v="2"/>
    <s v="High"/>
  </r>
  <r>
    <n v="2015"/>
    <x v="7"/>
    <x v="12"/>
    <x v="10"/>
    <x v="1"/>
    <s v="automatic"/>
    <s v="5npe24af4fh038482"/>
    <s v="ca"/>
    <m/>
    <x v="25"/>
    <s v="silver"/>
    <s v="gray"/>
    <s v="enterprise vehicle exchange / tra / rental / tulsa"/>
    <n v="15150"/>
    <x v="21"/>
    <s v="Tue Dec 16 2014 13:00:00 GMT-0800 (PST)"/>
    <n v="2014"/>
    <x v="13"/>
    <x v="0"/>
    <s v="Low"/>
  </r>
  <r>
    <n v="2015"/>
    <x v="2"/>
    <x v="18"/>
    <x v="16"/>
    <x v="4"/>
    <s v="automatic"/>
    <s v="yv4902nb3f1198103"/>
    <s v="ca"/>
    <n v="42"/>
    <x v="26"/>
    <s v="brown"/>
    <s v="brown"/>
    <s v="volvo na rep/world omni"/>
    <n v="32100"/>
    <x v="22"/>
    <s v="Thu Feb 26 2015 04:30:00 GMT-0800 (PST)"/>
    <n v="2015"/>
    <x v="20"/>
    <x v="1"/>
    <s v="Medium"/>
  </r>
  <r>
    <n v="2015"/>
    <x v="2"/>
    <x v="18"/>
    <x v="16"/>
    <x v="4"/>
    <s v="automatic"/>
    <s v="yv4902nb3f1196951"/>
    <s v="ca"/>
    <n v="48"/>
    <x v="27"/>
    <s v="beige"/>
    <s v="beige"/>
    <s v="volvo na rep/world omni"/>
    <n v="32300"/>
    <x v="22"/>
    <s v="Thu Feb 12 2015 04:30:00 GMT-0800 (PST)"/>
    <n v="2015"/>
    <x v="20"/>
    <x v="1"/>
    <s v="Medium"/>
  </r>
  <r>
    <n v="2014"/>
    <x v="1"/>
    <x v="19"/>
    <x v="17"/>
    <x v="0"/>
    <s v="automatic"/>
    <s v="5uxkr2c52e0h33130"/>
    <s v="ca"/>
    <m/>
    <x v="28"/>
    <s v="gray"/>
    <s v="black"/>
    <s v="avis rac/san leandro"/>
    <n v="50400"/>
    <x v="23"/>
    <s v="Tue Dec 16 2014 13:00:00 GMT-0800 (PST)"/>
    <n v="2014"/>
    <x v="21"/>
    <x v="0"/>
    <s v="Medium"/>
  </r>
  <r>
    <n v="2014"/>
    <x v="4"/>
    <x v="8"/>
    <x v="8"/>
    <x v="3"/>
    <s v="automatic"/>
    <s v="2g1fb1e35e9238302"/>
    <s v="ca"/>
    <n v="42"/>
    <x v="29"/>
    <s v="gray"/>
    <s v="black"/>
    <s v="midway hfc fleet/ars"/>
    <n v="22200"/>
    <x v="24"/>
    <s v="Thu Dec 18 2014 12:00:00 GMT-0800 (PST)"/>
    <n v="2014"/>
    <x v="8"/>
    <x v="1"/>
    <s v="Medium"/>
  </r>
  <r>
    <n v="2014"/>
    <x v="4"/>
    <x v="6"/>
    <x v="6"/>
    <x v="1"/>
    <s v="automatic"/>
    <s v="1g1pc5sb2e7105471"/>
    <s v="ca"/>
    <n v="42"/>
    <x v="30"/>
    <s v="gray"/>
    <s v="black"/>
    <s v="enterprise vehicle exchange/orange"/>
    <n v="11600"/>
    <x v="25"/>
    <s v="Tue Dec 30 2014 12:30:00 GMT-0800 (PST)"/>
    <n v="2014"/>
    <x v="6"/>
    <x v="1"/>
    <s v="Low"/>
  </r>
  <r>
    <n v="2014"/>
    <x v="5"/>
    <x v="20"/>
    <x v="18"/>
    <x v="0"/>
    <s v="automatic"/>
    <s v="wa1cgafp4ea030312"/>
    <s v="ca"/>
    <n v="42"/>
    <x v="31"/>
    <s v="white"/>
    <s v="black"/>
    <s v="audi of downtown l a"/>
    <n v="48600"/>
    <x v="26"/>
    <s v="Thu Jan 29 2015 04:00:00 GMT-0800 (PST)"/>
    <n v="2015"/>
    <x v="22"/>
    <x v="1"/>
    <s v="Medium"/>
  </r>
  <r>
    <n v="2015"/>
    <x v="0"/>
    <x v="0"/>
    <x v="0"/>
    <x v="0"/>
    <s v="automatic"/>
    <s v="5xyktca60fg565226"/>
    <s v="ca"/>
    <n v="5"/>
    <x v="32"/>
    <s v="red"/>
    <s v="black"/>
    <s v="kia motors america  inc"/>
    <n v="20600"/>
    <x v="27"/>
    <s v="Tue Dec 16 2014 12:30:00 GMT-0800 (PST)"/>
    <n v="2014"/>
    <x v="0"/>
    <x v="0"/>
    <s v="Medium"/>
  </r>
  <r>
    <n v="2014"/>
    <x v="5"/>
    <x v="21"/>
    <x v="19"/>
    <x v="3"/>
    <s v="automatic"/>
    <s v="waucgafrxea001689"/>
    <s v="ca"/>
    <n v="38"/>
    <x v="33"/>
    <s v="black"/>
    <s v="black"/>
    <s v="fratelli investment group"/>
    <n v="46500"/>
    <x v="28"/>
    <s v="Thu Dec 18 2014 12:00:00 GMT-0800 (PST)"/>
    <n v="2014"/>
    <x v="23"/>
    <x v="2"/>
    <s v="Medium"/>
  </r>
  <r>
    <n v="2015"/>
    <x v="0"/>
    <x v="0"/>
    <x v="0"/>
    <x v="0"/>
    <s v="automatic"/>
    <s v="5xyktca68fg559481"/>
    <s v="ca"/>
    <n v="44"/>
    <x v="34"/>
    <s v="gray"/>
    <s v="black"/>
    <s v="kia motors america  inc"/>
    <n v="20700"/>
    <x v="29"/>
    <s v="Tue Dec 16 2014 12:30:00 GMT-0800 (PST)"/>
    <n v="2014"/>
    <x v="0"/>
    <x v="1"/>
    <s v="Medium"/>
  </r>
  <r>
    <n v="2014"/>
    <x v="8"/>
    <x v="22"/>
    <x v="20"/>
    <x v="1"/>
    <m/>
    <s v="1g4pr5sk8e4175320"/>
    <s v="ca"/>
    <n v="2"/>
    <x v="35"/>
    <s v="gray"/>
    <s v="gray"/>
    <s v="enterprise vehicle exchange / tra / rental / tulsa"/>
    <n v="15000"/>
    <x v="30"/>
    <s v="Tue Jan 06 2015 04:00:00 GMT-0800 (PST)"/>
    <n v="2015"/>
    <x v="24"/>
    <x v="0"/>
    <s v="Low"/>
  </r>
  <r>
    <n v="2015"/>
    <x v="4"/>
    <x v="23"/>
    <x v="13"/>
    <x v="0"/>
    <s v="automatic"/>
    <s v="1gnskkkc3fr187901"/>
    <s v="ca"/>
    <n v="45"/>
    <x v="36"/>
    <s v="black"/>
    <s v="black"/>
    <s v="midway hfc fleet/ars"/>
    <n v="57300"/>
    <x v="31"/>
    <s v="Thu Dec 18 2014 12:00:00 GMT-0800 (PST)"/>
    <n v="2014"/>
    <x v="25"/>
    <x v="1"/>
    <s v="High"/>
  </r>
  <r>
    <n v="2014"/>
    <x v="1"/>
    <x v="1"/>
    <x v="1"/>
    <x v="1"/>
    <s v="automatic"/>
    <s v="wba3c1c50ek108497"/>
    <s v="ca"/>
    <n v="5"/>
    <x v="37"/>
    <s v="black"/>
    <s v="â€”"/>
    <s v="financial services remarketing (lease)"/>
    <n v="32200"/>
    <x v="32"/>
    <s v="Thu Jan 15 2015 04:30:00 GMT-0800 (PST)"/>
    <n v="2015"/>
    <x v="1"/>
    <x v="0"/>
    <s v="Medium"/>
  </r>
  <r>
    <n v="2014"/>
    <x v="1"/>
    <x v="5"/>
    <x v="5"/>
    <x v="1"/>
    <s v="automatic"/>
    <s v="wbsfv9c56ed593069"/>
    <s v="ca"/>
    <n v="38"/>
    <x v="38"/>
    <s v="black"/>
    <s v="black"/>
    <s v="the hertz corporation"/>
    <n v="65000"/>
    <x v="33"/>
    <s v="Tue Jan 13 2015 04:30:00 GMT-0800 (PST)"/>
    <n v="2015"/>
    <x v="5"/>
    <x v="2"/>
    <s v="High"/>
  </r>
  <r>
    <n v="2014"/>
    <x v="1"/>
    <x v="1"/>
    <x v="1"/>
    <x v="1"/>
    <s v="automatic"/>
    <s v="wba3c1c58ek106688"/>
    <s v="ca"/>
    <n v="45"/>
    <x v="39"/>
    <s v="white"/>
    <s v="black"/>
    <s v="financial services remarketing (lease)"/>
    <n v="30200"/>
    <x v="34"/>
    <s v="Thu Jan 15 2015 04:30:00 GMT-0800 (PST)"/>
    <n v="2015"/>
    <x v="1"/>
    <x v="1"/>
    <s v="Medium"/>
  </r>
  <r>
    <n v="2014"/>
    <x v="9"/>
    <x v="24"/>
    <x v="5"/>
    <x v="3"/>
    <s v="automatic"/>
    <s v="1g6rr1e48eu601450"/>
    <s v="ca"/>
    <n v="47"/>
    <x v="40"/>
    <s v="gray"/>
    <s v="black"/>
    <s v="rogue cu"/>
    <n v="49400"/>
    <x v="35"/>
    <s v="Wed Feb 04 2015 04:30:00 GMT-0800 (PST)"/>
    <n v="2015"/>
    <x v="26"/>
    <x v="1"/>
    <s v="Medium"/>
  </r>
  <r>
    <n v="2015"/>
    <x v="7"/>
    <x v="12"/>
    <x v="10"/>
    <x v="1"/>
    <s v="automatic"/>
    <s v="5npe24af2fh014813"/>
    <s v="ca"/>
    <m/>
    <x v="41"/>
    <s v="silver"/>
    <s v="gray"/>
    <s v="enterprise vehicle exchange / tra / rental / tulsa"/>
    <n v="15700"/>
    <x v="36"/>
    <s v="Thu Dec 18 2014 12:00:00 GMT-0800 (PST)"/>
    <n v="2014"/>
    <x v="13"/>
    <x v="0"/>
    <s v="Low"/>
  </r>
  <r>
    <n v="2014"/>
    <x v="1"/>
    <x v="14"/>
    <x v="3"/>
    <x v="2"/>
    <s v="automatic"/>
    <s v="wbayp9c50ed169281"/>
    <s v="ca"/>
    <n v="32"/>
    <x v="42"/>
    <s v="white"/>
    <s v="black"/>
    <s v="the hertz corporation"/>
    <n v="66000"/>
    <x v="5"/>
    <s v="Tue Jan 06 2015 04:30:00 GMT-0800 (PST)"/>
    <n v="2015"/>
    <x v="16"/>
    <x v="2"/>
    <s v="High"/>
  </r>
  <r>
    <n v="2015"/>
    <x v="2"/>
    <x v="25"/>
    <x v="2"/>
    <x v="4"/>
    <s v="automatic"/>
    <s v="yv1612sb9f1202043"/>
    <s v="ca"/>
    <n v="41"/>
    <x v="43"/>
    <s v="white"/>
    <s v="beige"/>
    <s v="volvo na rep/world omni"/>
    <n v="31300"/>
    <x v="1"/>
    <s v="Thu Dec 18 2014 12:30:00 GMT-0800 (PST)"/>
    <n v="2014"/>
    <x v="27"/>
    <x v="1"/>
    <s v="Medium"/>
  </r>
  <r>
    <n v="2014"/>
    <x v="4"/>
    <x v="6"/>
    <x v="6"/>
    <x v="1"/>
    <m/>
    <s v="1g1pc5sb6e7128803"/>
    <s v="ca"/>
    <m/>
    <x v="44"/>
    <s v="white"/>
    <s v="â€”"/>
    <s v="avis tra"/>
    <n v="11450"/>
    <x v="37"/>
    <s v="Tue Dec 16 2014 13:00:00 GMT-0800 (PST)"/>
    <n v="2014"/>
    <x v="6"/>
    <x v="0"/>
    <s v="Low"/>
  </r>
  <r>
    <n v="2014"/>
    <x v="1"/>
    <x v="26"/>
    <x v="21"/>
    <x v="0"/>
    <s v="automatic"/>
    <s v="5uxfg2c53e0h11080"/>
    <s v="ca"/>
    <n v="4"/>
    <x v="45"/>
    <s v="white"/>
    <s v="black"/>
    <s v="financial services remarketing (lease)"/>
    <n v="54800"/>
    <x v="38"/>
    <s v="Thu Dec 18 2014 12:30:00 GMT-0800 (PST)"/>
    <n v="2014"/>
    <x v="28"/>
    <x v="0"/>
    <s v="High"/>
  </r>
  <r>
    <n v="2015"/>
    <x v="2"/>
    <x v="25"/>
    <x v="2"/>
    <x v="4"/>
    <s v="automatic"/>
    <s v="yv1612sb1f1201503"/>
    <s v="ca"/>
    <n v="42"/>
    <x v="46"/>
    <s v="black"/>
    <s v="gray"/>
    <s v="volvo na rep/world omni"/>
    <n v="31200"/>
    <x v="1"/>
    <s v="Thu Dec 18 2014 12:30:00 GMT-0800 (PST)"/>
    <n v="2014"/>
    <x v="27"/>
    <x v="1"/>
    <s v="Medium"/>
  </r>
  <r>
    <n v="2014"/>
    <x v="4"/>
    <x v="6"/>
    <x v="11"/>
    <x v="1"/>
    <s v="automatic"/>
    <s v="1g1pe5sb6e7118217"/>
    <s v="ca"/>
    <n v="34"/>
    <x v="47"/>
    <s v="silver"/>
    <s v="black"/>
    <s v="avis corporation"/>
    <n v="13050"/>
    <x v="39"/>
    <s v="Thu Jan 22 2015 03:30:00 GMT-0800 (PST)"/>
    <n v="2015"/>
    <x v="12"/>
    <x v="2"/>
    <s v="Low"/>
  </r>
  <r>
    <n v="2014"/>
    <x v="10"/>
    <x v="27"/>
    <x v="22"/>
    <x v="1"/>
    <s v="automatic"/>
    <s v="19vde1f70ee008913"/>
    <s v="ca"/>
    <n v="25"/>
    <x v="48"/>
    <s v="gray"/>
    <s v="black"/>
    <s v="american honda motor company"/>
    <n v="22700"/>
    <x v="40"/>
    <s v="Thu Dec 18 2014 12:00:00 GMT-0800 (PST)"/>
    <n v="2014"/>
    <x v="29"/>
    <x v="2"/>
    <s v="Medium"/>
  </r>
  <r>
    <n v="2015"/>
    <x v="0"/>
    <x v="0"/>
    <x v="0"/>
    <x v="0"/>
    <s v="automatic"/>
    <s v="5xyktca67fg570973"/>
    <s v="ca"/>
    <n v="5"/>
    <x v="49"/>
    <s v="silver"/>
    <s v="black"/>
    <s v="kia motors america  inc"/>
    <n v="20600"/>
    <x v="27"/>
    <s v="Tue Dec 16 2014 12:30:00 GMT-0800 (PST)"/>
    <n v="2014"/>
    <x v="0"/>
    <x v="0"/>
    <s v="Medium"/>
  </r>
  <r>
    <n v="2015"/>
    <x v="2"/>
    <x v="25"/>
    <x v="2"/>
    <x v="4"/>
    <s v="automatic"/>
    <s v="yv1612sbxf1202276"/>
    <s v="ca"/>
    <n v="37"/>
    <x v="50"/>
    <s v="silver"/>
    <s v="black"/>
    <s v="volvo na rep/world omni"/>
    <n v="31500"/>
    <x v="1"/>
    <s v="Thu Dec 18 2014 12:30:00 GMT-0800 (PST)"/>
    <n v="2014"/>
    <x v="27"/>
    <x v="2"/>
    <s v="Medium"/>
  </r>
  <r>
    <n v="2015"/>
    <x v="3"/>
    <x v="4"/>
    <x v="4"/>
    <x v="1"/>
    <s v="automatic"/>
    <s v="1n4al3ap4fn313644"/>
    <s v="ca"/>
    <m/>
    <x v="51"/>
    <s v="gray"/>
    <s v="black"/>
    <s v="enterprise vehicle exchange / tra / rental / tulsa"/>
    <n v="15150"/>
    <x v="41"/>
    <s v="Thu Dec 18 2014 12:00:00 GMT-0800 (PST)"/>
    <n v="2014"/>
    <x v="4"/>
    <x v="0"/>
    <s v="Low"/>
  </r>
  <r>
    <n v="2014"/>
    <x v="1"/>
    <x v="3"/>
    <x v="3"/>
    <x v="1"/>
    <s v="automatic"/>
    <s v="wba6b2c51ed129563"/>
    <s v="ca"/>
    <n v="42"/>
    <x v="52"/>
    <s v="white"/>
    <s v="black"/>
    <s v="the hertz corporation"/>
    <n v="65000"/>
    <x v="42"/>
    <s v="Wed Dec 17 2014 12:30:00 GMT-0800 (PST)"/>
    <n v="2014"/>
    <x v="3"/>
    <x v="1"/>
    <s v="High"/>
  </r>
  <r>
    <n v="2015"/>
    <x v="3"/>
    <x v="4"/>
    <x v="4"/>
    <x v="1"/>
    <s v="automatic"/>
    <s v="1n4al3ap1fn331213"/>
    <s v="ca"/>
    <n v="1"/>
    <x v="53"/>
    <s v="black"/>
    <s v="black"/>
    <s v="enterprise vehicle exchange / tra / rental / tulsa"/>
    <n v="15500"/>
    <x v="25"/>
    <s v="Tue Dec 30 2014 12:00:00 GMT-0800 (PST)"/>
    <n v="2014"/>
    <x v="4"/>
    <x v="0"/>
    <s v="Low"/>
  </r>
  <r>
    <n v="2015"/>
    <x v="0"/>
    <x v="28"/>
    <x v="23"/>
    <x v="1"/>
    <s v="automatic"/>
    <s v="knalw4d42f6019667"/>
    <s v="ca"/>
    <n v="42"/>
    <x v="54"/>
    <s v="blue"/>
    <s v="black"/>
    <s v="kia motors america  inc"/>
    <n v="39500"/>
    <x v="15"/>
    <s v="Tue Feb 17 2015 04:30:00 GMT-0800 (PST)"/>
    <n v="2015"/>
    <x v="30"/>
    <x v="1"/>
    <s v="Medium"/>
  </r>
  <r>
    <n v="2015"/>
    <x v="0"/>
    <x v="0"/>
    <x v="0"/>
    <x v="0"/>
    <s v="automatic"/>
    <s v="5xyktca63fg570727"/>
    <s v="ca"/>
    <n v="48"/>
    <x v="55"/>
    <s v="silver"/>
    <s v="gray"/>
    <s v="kia motors america  inc"/>
    <n v="20700"/>
    <x v="43"/>
    <s v="Tue Dec 16 2014 12:30:00 GMT-0800 (PST)"/>
    <n v="2014"/>
    <x v="0"/>
    <x v="1"/>
    <s v="Medium"/>
  </r>
  <r>
    <n v="2015"/>
    <x v="4"/>
    <x v="29"/>
    <x v="8"/>
    <x v="1"/>
    <s v="automatic"/>
    <s v="1g11d5sl6fu106427"/>
    <s v="ca"/>
    <n v="1"/>
    <x v="56"/>
    <s v="silver"/>
    <s v="black"/>
    <s v="enterprise vehicle exchange / tra / rental / tulsa"/>
    <n v="16600"/>
    <x v="6"/>
    <s v="Wed Jan 14 2015 07:05:00 GMT-0800 (PST)"/>
    <n v="2015"/>
    <x v="31"/>
    <x v="0"/>
    <s v="Low"/>
  </r>
  <r>
    <n v="2015"/>
    <x v="11"/>
    <x v="30"/>
    <x v="5"/>
    <x v="0"/>
    <s v="automatic"/>
    <s v="2t2zk1ba7fc155782"/>
    <s v="ca"/>
    <n v="43"/>
    <x v="57"/>
    <s v="white"/>
    <s v="black"/>
    <s v="lexus financial services"/>
    <n v="41200"/>
    <x v="44"/>
    <s v="Tue Dec 30 2014 00:00:00 GMT-0800 (PST)"/>
    <n v="2014"/>
    <x v="32"/>
    <x v="1"/>
    <s v="Medium"/>
  </r>
  <r>
    <n v="2015"/>
    <x v="0"/>
    <x v="0"/>
    <x v="0"/>
    <x v="0"/>
    <s v="automatic"/>
    <s v="5xykt3a62fg579841"/>
    <s v="ca"/>
    <n v="5"/>
    <x v="58"/>
    <s v="white"/>
    <s v="black"/>
    <s v="kia motors finance"/>
    <n v="19400"/>
    <x v="45"/>
    <s v="Tue Dec 16 2014 12:00:00 GMT-0800 (PST)"/>
    <n v="2014"/>
    <x v="0"/>
    <x v="0"/>
    <s v="Medium"/>
  </r>
  <r>
    <n v="2014"/>
    <x v="1"/>
    <x v="5"/>
    <x v="5"/>
    <x v="1"/>
    <s v="automatic"/>
    <s v="wbsfv9c51ed097712"/>
    <s v="ca"/>
    <n v="47"/>
    <x v="59"/>
    <s v="gray"/>
    <s v="black"/>
    <s v="fratelli investment group"/>
    <n v="71000"/>
    <x v="46"/>
    <s v="Thu Dec 18 2014 12:00:00 GMT-0800 (PST)"/>
    <n v="2014"/>
    <x v="5"/>
    <x v="1"/>
    <s v="High"/>
  </r>
  <r>
    <n v="2015"/>
    <x v="0"/>
    <x v="28"/>
    <x v="23"/>
    <x v="1"/>
    <s v="automatic"/>
    <s v="knalw4d42f6018633"/>
    <s v="ca"/>
    <n v="44"/>
    <x v="60"/>
    <s v="white"/>
    <s v="gray"/>
    <s v="kia motors america  inc"/>
    <n v="41000"/>
    <x v="47"/>
    <s v="Tue Jan 20 2015 04:30:00 GMT-0800 (PST)"/>
    <n v="2015"/>
    <x v="30"/>
    <x v="1"/>
    <s v="Medium"/>
  </r>
  <r>
    <n v="2015"/>
    <x v="5"/>
    <x v="17"/>
    <x v="15"/>
    <x v="1"/>
    <s v="automatic"/>
    <s v="wauacgff6f1029938"/>
    <s v="ca"/>
    <n v="2"/>
    <x v="61"/>
    <s v="white"/>
    <s v="black"/>
    <s v="enterprise vehicle exchange / tra / rental / tulsa"/>
    <n v="24200"/>
    <x v="48"/>
    <s v="Tue Dec 23 2014 12:00:00 GMT-0800 (PST)"/>
    <n v="2014"/>
    <x v="19"/>
    <x v="0"/>
    <s v="Low"/>
  </r>
  <r>
    <n v="2015"/>
    <x v="3"/>
    <x v="31"/>
    <x v="24"/>
    <x v="1"/>
    <s v="manual"/>
    <s v="3n1cn7ap7fl842707"/>
    <s v="ca"/>
    <n v="39"/>
    <x v="62"/>
    <s v="purple"/>
    <s v="black"/>
    <s v="nissan-infiniti lt"/>
    <n v="10900"/>
    <x v="49"/>
    <s v="Wed Dec 17 2014 12:30:00 GMT-0800 (PST)"/>
    <n v="2014"/>
    <x v="33"/>
    <x v="2"/>
    <s v="Low"/>
  </r>
  <r>
    <n v="2014"/>
    <x v="4"/>
    <x v="8"/>
    <x v="8"/>
    <x v="3"/>
    <s v="automatic"/>
    <s v="2g1fb1e35e9238493"/>
    <s v="ca"/>
    <n v="31"/>
    <x v="63"/>
    <s v="black"/>
    <s v="black"/>
    <s v="midway hfc fleet/ars"/>
    <n v="22500"/>
    <x v="50"/>
    <s v="Thu Dec 18 2014 12:00:00 GMT-0800 (PST)"/>
    <n v="2014"/>
    <x v="8"/>
    <x v="2"/>
    <s v="Medium"/>
  </r>
  <r>
    <n v="2015"/>
    <x v="7"/>
    <x v="32"/>
    <x v="10"/>
    <x v="1"/>
    <s v="automatic"/>
    <s v="5npdh4ae2fh565969"/>
    <s v="ca"/>
    <n v="1"/>
    <x v="64"/>
    <s v="silver"/>
    <s v="gray"/>
    <s v="enterprise vehicle exchange / tra / rental / tulsa"/>
    <n v="13800"/>
    <x v="51"/>
    <s v="Tue Dec 16 2014 12:00:00 GMT-0800 (PST)"/>
    <n v="2014"/>
    <x v="34"/>
    <x v="0"/>
    <s v="Low"/>
  </r>
  <r>
    <n v="2015"/>
    <x v="0"/>
    <x v="0"/>
    <x v="0"/>
    <x v="0"/>
    <s v="automatic"/>
    <s v="5xyktca6xfg560888"/>
    <s v="ca"/>
    <n v="5"/>
    <x v="65"/>
    <s v="white"/>
    <s v="black"/>
    <s v="kia motors america  inc"/>
    <n v="20600"/>
    <x v="40"/>
    <s v="Tue Dec 16 2014 12:30:00 GMT-0800 (PST)"/>
    <n v="2014"/>
    <x v="0"/>
    <x v="0"/>
    <s v="Medium"/>
  </r>
  <r>
    <n v="2014"/>
    <x v="4"/>
    <x v="8"/>
    <x v="8"/>
    <x v="3"/>
    <s v="automatic"/>
    <s v="2g1fb1e33e9211499"/>
    <s v="ca"/>
    <n v="41"/>
    <x v="66"/>
    <s v="gray"/>
    <s v="black"/>
    <s v="midway hfc fleet/ars"/>
    <n v="21500"/>
    <x v="52"/>
    <s v="Thu Dec 18 2014 12:00:00 GMT-0800 (PST)"/>
    <n v="2014"/>
    <x v="8"/>
    <x v="1"/>
    <s v="Medium"/>
  </r>
  <r>
    <n v="2015"/>
    <x v="5"/>
    <x v="17"/>
    <x v="15"/>
    <x v="1"/>
    <s v="automatic"/>
    <s v="wauacgff1f1002467"/>
    <s v="ca"/>
    <n v="5"/>
    <x v="67"/>
    <s v="gray"/>
    <s v="black"/>
    <s v="audi north scottsdale"/>
    <n v="24100"/>
    <x v="53"/>
    <s v="Thu Dec 18 2014 12:30:00 GMT-0800 (PST)"/>
    <n v="2014"/>
    <x v="19"/>
    <x v="0"/>
    <s v="Medium"/>
  </r>
  <r>
    <n v="2014"/>
    <x v="1"/>
    <x v="14"/>
    <x v="3"/>
    <x v="2"/>
    <s v="automatic"/>
    <s v="wbayp9c55ed169261"/>
    <s v="ca"/>
    <n v="4"/>
    <x v="68"/>
    <s v="black"/>
    <s v="black"/>
    <s v="the hertz corporation"/>
    <n v="67000"/>
    <x v="5"/>
    <s v="Tue Jan 06 2015 12:30:00 GMT-0800 (PST)"/>
    <n v="2015"/>
    <x v="16"/>
    <x v="0"/>
    <s v="High"/>
  </r>
  <r>
    <n v="2015"/>
    <x v="3"/>
    <x v="33"/>
    <x v="25"/>
    <x v="5"/>
    <s v="automatic"/>
    <s v="3n1ce2cp8fl371361"/>
    <s v="ca"/>
    <n v="2"/>
    <x v="69"/>
    <s v="red"/>
    <s v="black"/>
    <s v="enterprise vehicle exchange / tra / rental / tulsa"/>
    <n v="12050"/>
    <x v="54"/>
    <s v="Tue Jan 13 2015 12:00:00 GMT-0800 (PST)"/>
    <n v="2015"/>
    <x v="35"/>
    <x v="0"/>
    <s v="Low"/>
  </r>
  <r>
    <n v="2014"/>
    <x v="5"/>
    <x v="34"/>
    <x v="26"/>
    <x v="1"/>
    <s v="automatic"/>
    <s v="waurgafd8en003111"/>
    <s v="ca"/>
    <n v="43"/>
    <x v="70"/>
    <s v="black"/>
    <s v="black"/>
    <s v="audi west covina"/>
    <n v="62000"/>
    <x v="55"/>
    <s v="Tue Dec 30 2014 12:30:00 GMT-0800 (PST)"/>
    <n v="2014"/>
    <x v="36"/>
    <x v="1"/>
    <s v="Medium"/>
  </r>
  <r>
    <n v="2014"/>
    <x v="1"/>
    <x v="35"/>
    <x v="27"/>
    <x v="0"/>
    <s v="automatic"/>
    <s v="wbavm1c53evw47779"/>
    <s v="ca"/>
    <n v="48"/>
    <x v="71"/>
    <s v="white"/>
    <s v="black"/>
    <s v="financial services remarketing (lease)"/>
    <n v="23700"/>
    <x v="56"/>
    <s v="Thu Dec 18 2014 12:30:00 GMT-0800 (PST)"/>
    <n v="2014"/>
    <x v="37"/>
    <x v="1"/>
    <s v="Medium"/>
  </r>
  <r>
    <n v="2014"/>
    <x v="1"/>
    <x v="36"/>
    <x v="28"/>
    <x v="1"/>
    <s v="automatic"/>
    <s v="wbaye8c59ed134514"/>
    <s v="ca"/>
    <n v="43"/>
    <x v="72"/>
    <s v="black"/>
    <s v="black"/>
    <s v="financial services remarketing (lease)"/>
    <n v="67000"/>
    <x v="57"/>
    <s v="Thu Dec 18 2014 12:30:00 GMT-0800 (PST)"/>
    <n v="2014"/>
    <x v="38"/>
    <x v="1"/>
    <s v="High"/>
  </r>
  <r>
    <n v="2014"/>
    <x v="4"/>
    <x v="8"/>
    <x v="8"/>
    <x v="3"/>
    <s v="automatic"/>
    <s v="2g1fb1e31e9248986"/>
    <s v="ca"/>
    <n v="1"/>
    <x v="73"/>
    <s v="red"/>
    <s v="gray"/>
    <s v="enterprise vehicle exchange / tra / rental / tulsa"/>
    <n v="20800"/>
    <x v="58"/>
    <s v="Tue Dec 16 2014 13:00:00 GMT-0800 (PST)"/>
    <n v="2014"/>
    <x v="8"/>
    <x v="0"/>
    <s v="Low"/>
  </r>
  <r>
    <n v="2015"/>
    <x v="2"/>
    <x v="25"/>
    <x v="2"/>
    <x v="4"/>
    <s v="automatic"/>
    <s v="yv1612sb8f1201529"/>
    <s v="ca"/>
    <n v="4"/>
    <x v="74"/>
    <s v="silver"/>
    <s v="black"/>
    <s v="volvo na rep/world omni"/>
    <n v="28400"/>
    <x v="59"/>
    <s v="Thu Feb 26 2015 04:30:00 GMT-0800 (PST)"/>
    <n v="2015"/>
    <x v="27"/>
    <x v="0"/>
    <s v="Medium"/>
  </r>
  <r>
    <n v="2014"/>
    <x v="1"/>
    <x v="14"/>
    <x v="3"/>
    <x v="3"/>
    <s v="automatic"/>
    <s v="wbaym9c53ed248064"/>
    <s v="ca"/>
    <n v="4"/>
    <x v="75"/>
    <s v="black"/>
    <s v="â€”"/>
    <s v="financial services remarketing (lease)"/>
    <n v="62000"/>
    <x v="60"/>
    <s v="Thu Dec 18 2014 12:30:00 GMT-0800 (PST)"/>
    <n v="2014"/>
    <x v="16"/>
    <x v="0"/>
    <s v="High"/>
  </r>
  <r>
    <n v="2014"/>
    <x v="4"/>
    <x v="8"/>
    <x v="8"/>
    <x v="3"/>
    <s v="automatic"/>
    <s v="2g1fb1e37e9270877"/>
    <s v="ca"/>
    <n v="3"/>
    <x v="76"/>
    <s v="black"/>
    <s v="black"/>
    <s v="enterprise vehicle exchange / tra / rental / tulsa"/>
    <n v="21400"/>
    <x v="39"/>
    <s v="Tue Jan 06 2015 13:00:00 GMT-0800 (PST)"/>
    <n v="2015"/>
    <x v="8"/>
    <x v="0"/>
    <s v="Low"/>
  </r>
  <r>
    <n v="2014"/>
    <x v="1"/>
    <x v="3"/>
    <x v="3"/>
    <x v="1"/>
    <s v="automatic"/>
    <s v="wba6b2c53ed128866"/>
    <s v="ca"/>
    <n v="29"/>
    <x v="77"/>
    <s v="white"/>
    <s v="black"/>
    <s v="financial services remarketing (lease)"/>
    <n v="62000"/>
    <x v="61"/>
    <s v="Tue Dec 16 2014 12:30:00 GMT-0800 (PST)"/>
    <n v="2014"/>
    <x v="3"/>
    <x v="2"/>
    <s v="High"/>
  </r>
  <r>
    <n v="2015"/>
    <x v="0"/>
    <x v="0"/>
    <x v="0"/>
    <x v="0"/>
    <s v="automatic"/>
    <s v="5xyktca68fg570979"/>
    <s v="ca"/>
    <n v="44"/>
    <x v="78"/>
    <s v="silver"/>
    <s v="black"/>
    <s v="kia motors america  inc"/>
    <n v="20800"/>
    <x v="62"/>
    <s v="Tue Dec 16 2014 12:30:00 GMT-0800 (PST)"/>
    <n v="2014"/>
    <x v="0"/>
    <x v="1"/>
    <s v="Medium"/>
  </r>
  <r>
    <n v="2015"/>
    <x v="0"/>
    <x v="0"/>
    <x v="0"/>
    <x v="0"/>
    <s v="automatic"/>
    <s v="5xyktca65fg571619"/>
    <s v="ca"/>
    <n v="5"/>
    <x v="79"/>
    <s v="white"/>
    <s v="black"/>
    <s v="kia motors america  inc"/>
    <n v="20700"/>
    <x v="63"/>
    <s v="Tue Dec 16 2014 12:30:00 GMT-0800 (PST)"/>
    <n v="2014"/>
    <x v="0"/>
    <x v="0"/>
    <s v="Medium"/>
  </r>
  <r>
    <n v="2014"/>
    <x v="8"/>
    <x v="37"/>
    <x v="29"/>
    <x v="0"/>
    <s v="automatic"/>
    <s v="5gakrbkd2ej294045"/>
    <s v="ca"/>
    <n v="1"/>
    <x v="80"/>
    <s v="gray"/>
    <s v="black"/>
    <s v="enterprise vehicle exchange / tra / rental / tulsa"/>
    <n v="31000"/>
    <x v="64"/>
    <s v="Tue Dec 30 2014 12:00:00 GMT-0800 (PST)"/>
    <n v="2014"/>
    <x v="39"/>
    <x v="0"/>
    <s v="Medium"/>
  </r>
  <r>
    <n v="2014"/>
    <x v="1"/>
    <x v="5"/>
    <x v="5"/>
    <x v="1"/>
    <s v="automatic"/>
    <s v="wbsfv9c54ed593085"/>
    <s v="ca"/>
    <n v="38"/>
    <x v="81"/>
    <s v="white"/>
    <s v="black"/>
    <s v="the hertz corporation"/>
    <n v="67000"/>
    <x v="5"/>
    <s v="Thu Dec 18 2014 12:30:00 GMT-0800 (PST)"/>
    <n v="2014"/>
    <x v="5"/>
    <x v="2"/>
    <s v="High"/>
  </r>
  <r>
    <n v="2014"/>
    <x v="1"/>
    <x v="5"/>
    <x v="5"/>
    <x v="1"/>
    <s v="automatic"/>
    <s v="wbsfv9c55ed593080"/>
    <s v="ca"/>
    <n v="41"/>
    <x v="82"/>
    <s v="white"/>
    <s v="black"/>
    <s v="the hertz corporation"/>
    <n v="66000"/>
    <x v="65"/>
    <s v="Tue Dec 23 2014 12:30:00 GMT-0800 (PST)"/>
    <n v="2014"/>
    <x v="5"/>
    <x v="1"/>
    <s v="High"/>
  </r>
  <r>
    <n v="2014"/>
    <x v="5"/>
    <x v="38"/>
    <x v="30"/>
    <x v="3"/>
    <s v="automatic"/>
    <s v="trub1afk9e1007640"/>
    <s v="ca"/>
    <n v="28"/>
    <x v="83"/>
    <s v="silver"/>
    <s v="black"/>
    <s v="fratelli investment group"/>
    <n v="41400"/>
    <x v="66"/>
    <s v="Thu Dec 18 2014 12:00:00 GMT-0800 (PST)"/>
    <n v="2014"/>
    <x v="40"/>
    <x v="2"/>
    <s v="Medium"/>
  </r>
  <r>
    <n v="2015"/>
    <x v="7"/>
    <x v="32"/>
    <x v="10"/>
    <x v="1"/>
    <s v="automatic"/>
    <s v="5npdh4ae2fh566023"/>
    <s v="ca"/>
    <n v="2"/>
    <x v="84"/>
    <s v="red"/>
    <s v="gray"/>
    <s v="enterprise vehicle exchange / tra / rental / tulsa"/>
    <n v="13850"/>
    <x v="12"/>
    <s v="Tue Jan 13 2015 13:00:00 GMT-0800 (PST)"/>
    <n v="2015"/>
    <x v="34"/>
    <x v="0"/>
    <s v="Low"/>
  </r>
  <r>
    <n v="2014"/>
    <x v="1"/>
    <x v="39"/>
    <x v="31"/>
    <x v="3"/>
    <s v="automatic"/>
    <s v="wba3n7c55ef719079"/>
    <s v="ca"/>
    <n v="37"/>
    <x v="85"/>
    <s v="white"/>
    <s v="black"/>
    <s v="street smartz auto sales corporation"/>
    <n v="31000"/>
    <x v="67"/>
    <s v="Tue Dec 16 2014 12:30:00 GMT-0800 (PST)"/>
    <n v="2014"/>
    <x v="41"/>
    <x v="2"/>
    <s v="Medium"/>
  </r>
  <r>
    <n v="2015"/>
    <x v="0"/>
    <x v="0"/>
    <x v="0"/>
    <x v="0"/>
    <s v="automatic"/>
    <s v="5xyktca64fg570963"/>
    <s v="ca"/>
    <n v="46"/>
    <x v="86"/>
    <s v="silver"/>
    <s v="black"/>
    <s v="kia motors america  inc"/>
    <n v="20600"/>
    <x v="0"/>
    <s v="Tue Dec 16 2014 12:30:00 GMT-0800 (PST)"/>
    <n v="2014"/>
    <x v="0"/>
    <x v="1"/>
    <s v="Medium"/>
  </r>
  <r>
    <n v="2014"/>
    <x v="4"/>
    <x v="6"/>
    <x v="11"/>
    <x v="1"/>
    <s v="automatic"/>
    <s v="1g1pe5sb5e7115504"/>
    <s v="ca"/>
    <n v="41"/>
    <x v="87"/>
    <s v="black"/>
    <s v="black"/>
    <s v="avis rac/san leandro"/>
    <n v="12950"/>
    <x v="68"/>
    <s v="Wed Dec 17 2014 12:30:00 GMT-0800 (PST)"/>
    <n v="2014"/>
    <x v="12"/>
    <x v="1"/>
    <s v="Low"/>
  </r>
  <r>
    <n v="2014"/>
    <x v="4"/>
    <x v="6"/>
    <x v="11"/>
    <x v="1"/>
    <s v="automatic"/>
    <s v="1g1pe5sb0e7134820"/>
    <s v="ca"/>
    <n v="42"/>
    <x v="88"/>
    <s v="blue"/>
    <s v="black"/>
    <s v="avis corporation"/>
    <n v="13350"/>
    <x v="69"/>
    <s v="Thu Jan 15 2015 03:30:00 GMT-0800 (PST)"/>
    <n v="2015"/>
    <x v="12"/>
    <x v="1"/>
    <s v="Low"/>
  </r>
  <r>
    <n v="2014"/>
    <x v="4"/>
    <x v="40"/>
    <x v="32"/>
    <x v="6"/>
    <m/>
    <s v="1gc1kvc84ef152736"/>
    <s v="ca"/>
    <n v="36"/>
    <x v="89"/>
    <s v="white"/>
    <s v="gray"/>
    <s v="enterprise fleet management exchange  inc."/>
    <n v="34000"/>
    <x v="23"/>
    <s v="Thu Dec 18 2014 11:30:00 GMT-0800 (PST)"/>
    <n v="2014"/>
    <x v="42"/>
    <x v="2"/>
    <s v="Medium"/>
  </r>
  <r>
    <n v="2015"/>
    <x v="0"/>
    <x v="0"/>
    <x v="0"/>
    <x v="0"/>
    <s v="automatic"/>
    <s v="5xyktca60fg563086"/>
    <s v="ca"/>
    <n v="5"/>
    <x v="90"/>
    <s v="gray"/>
    <s v="gray"/>
    <s v="kia motors america  inc"/>
    <n v="20500"/>
    <x v="43"/>
    <s v="Tue Dec 16 2014 12:30:00 GMT-0800 (PST)"/>
    <n v="2014"/>
    <x v="0"/>
    <x v="0"/>
    <s v="Medium"/>
  </r>
  <r>
    <n v="2015"/>
    <x v="7"/>
    <x v="32"/>
    <x v="10"/>
    <x v="1"/>
    <s v="automatic"/>
    <s v="5npdh4ae2fh553630"/>
    <s v="ca"/>
    <m/>
    <x v="91"/>
    <s v="blue"/>
    <s v="gray"/>
    <s v="avis rac/san leandro"/>
    <n v="13700"/>
    <x v="36"/>
    <s v="Tue Dec 16 2014 12:00:00 GMT-0800 (PST)"/>
    <n v="2014"/>
    <x v="34"/>
    <x v="0"/>
    <s v="Low"/>
  </r>
  <r>
    <n v="2015"/>
    <x v="7"/>
    <x v="32"/>
    <x v="10"/>
    <x v="1"/>
    <s v="automatic"/>
    <s v="5npdh4ae4fh552981"/>
    <s v="ca"/>
    <n v="35"/>
    <x v="92"/>
    <s v="silver"/>
    <s v="gray"/>
    <s v="ag leaseplan"/>
    <n v="13900"/>
    <x v="69"/>
    <s v="Wed Dec 17 2014 12:30:00 GMT-0800 (PST)"/>
    <n v="2014"/>
    <x v="34"/>
    <x v="2"/>
    <s v="Low"/>
  </r>
  <r>
    <n v="2014"/>
    <x v="10"/>
    <x v="41"/>
    <x v="33"/>
    <x v="0"/>
    <s v="automatic"/>
    <s v="5fryd3h83eb011004"/>
    <s v="ca"/>
    <n v="49"/>
    <x v="93"/>
    <s v="white"/>
    <s v="gray"/>
    <s v="onemain rem/m&amp;m auto traders"/>
    <n v="39500"/>
    <x v="70"/>
    <s v="Thu Dec 18 2014 12:00:00 GMT-0800 (PST)"/>
    <n v="2014"/>
    <x v="43"/>
    <x v="1"/>
    <s v="Medium"/>
  </r>
  <r>
    <n v="2015"/>
    <x v="6"/>
    <x v="11"/>
    <x v="10"/>
    <x v="1"/>
    <s v="automatic"/>
    <s v="3fa6p0h7xfr151689"/>
    <s v="ca"/>
    <n v="1"/>
    <x v="94"/>
    <s v="white"/>
    <s v="black"/>
    <s v="enterprise vehicle exchange / tra / rental / tulsa"/>
    <n v="14700"/>
    <x v="11"/>
    <s v="Wed Dec 17 2014 15:05:00 GMT-0800 (PST)"/>
    <n v="2014"/>
    <x v="11"/>
    <x v="0"/>
    <s v="Low"/>
  </r>
  <r>
    <n v="2014"/>
    <x v="1"/>
    <x v="14"/>
    <x v="3"/>
    <x v="2"/>
    <s v="automatic"/>
    <s v="wbayp9c53ed169288"/>
    <s v="ca"/>
    <n v="37"/>
    <x v="95"/>
    <s v="silver"/>
    <s v="black"/>
    <s v="the hertz corporation"/>
    <n v="68000"/>
    <x v="17"/>
    <s v="Wed Dec 17 2014 12:30:00 GMT-0800 (PST)"/>
    <n v="2014"/>
    <x v="16"/>
    <x v="2"/>
    <s v="High"/>
  </r>
  <r>
    <n v="2014"/>
    <x v="4"/>
    <x v="6"/>
    <x v="11"/>
    <x v="1"/>
    <s v="automatic"/>
    <s v="1g1pe5sb8e7420706"/>
    <s v="ca"/>
    <n v="2"/>
    <x v="96"/>
    <s v="silver"/>
    <s v="black"/>
    <s v="enterprise vehicle exchange / tra / rental / tulsa"/>
    <n v="14150"/>
    <x v="36"/>
    <s v="Thu Dec 18 2014 12:00:00 GMT-0800 (PST)"/>
    <n v="2014"/>
    <x v="12"/>
    <x v="0"/>
    <s v="Low"/>
  </r>
  <r>
    <n v="2014"/>
    <x v="4"/>
    <x v="42"/>
    <x v="8"/>
    <x v="6"/>
    <s v="automatic"/>
    <s v="3gcpcrecxeg363552"/>
    <s v="ca"/>
    <n v="37"/>
    <x v="97"/>
    <s v="black"/>
    <s v="black"/>
    <s v="repo remarketing/visterra credit union"/>
    <n v="26900"/>
    <x v="71"/>
    <s v="Wed Dec 17 2014 12:30:00 GMT-0800 (PST)"/>
    <n v="2014"/>
    <x v="44"/>
    <x v="2"/>
    <s v="Medium"/>
  </r>
  <r>
    <n v="2014"/>
    <x v="4"/>
    <x v="6"/>
    <x v="11"/>
    <x v="1"/>
    <s v="automatic"/>
    <s v="1g1pe5sb4e7109323"/>
    <s v="ca"/>
    <n v="37"/>
    <x v="98"/>
    <s v="silver"/>
    <s v="black"/>
    <s v="avis rac/san leandro"/>
    <n v="13000"/>
    <x v="58"/>
    <s v="Wed Dec 17 2014 12:30:00 GMT-0800 (PST)"/>
    <n v="2014"/>
    <x v="12"/>
    <x v="2"/>
    <s v="Low"/>
  </r>
  <r>
    <n v="2015"/>
    <x v="0"/>
    <x v="0"/>
    <x v="0"/>
    <x v="0"/>
    <s v="automatic"/>
    <s v="5xyktca67fg567068"/>
    <s v="ca"/>
    <n v="49"/>
    <x v="99"/>
    <s v="burgundy"/>
    <s v="beige"/>
    <s v="kia motors america  inc"/>
    <n v="20800"/>
    <x v="29"/>
    <s v="Tue Dec 16 2014 12:30:00 GMT-0800 (PST)"/>
    <n v="2014"/>
    <x v="0"/>
    <x v="1"/>
    <s v="Medium"/>
  </r>
  <r>
    <n v="2014"/>
    <x v="4"/>
    <x v="6"/>
    <x v="11"/>
    <x v="1"/>
    <s v="automatic"/>
    <s v="1g1pe5sb3e7406616"/>
    <s v="ca"/>
    <n v="1"/>
    <x v="100"/>
    <s v="red"/>
    <s v="black"/>
    <s v="enterprise vehicle exchange / tra / rental / tulsa"/>
    <n v="14150"/>
    <x v="72"/>
    <s v="Tue Dec 16 2014 13:00:00 GMT-0800 (PST)"/>
    <n v="2014"/>
    <x v="12"/>
    <x v="0"/>
    <s v="Low"/>
  </r>
  <r>
    <n v="2015"/>
    <x v="2"/>
    <x v="25"/>
    <x v="2"/>
    <x v="4"/>
    <s v="automatic"/>
    <s v="yv1612sb6f1202338"/>
    <s v="ca"/>
    <n v="37"/>
    <x v="101"/>
    <s v="white"/>
    <s v="beige"/>
    <s v="volvo na rep/world omni"/>
    <n v="30700"/>
    <x v="1"/>
    <s v="Thu Dec 18 2014 12:30:00 GMT-0800 (PST)"/>
    <n v="2014"/>
    <x v="27"/>
    <x v="2"/>
    <s v="Medium"/>
  </r>
  <r>
    <n v="2014"/>
    <x v="4"/>
    <x v="8"/>
    <x v="12"/>
    <x v="3"/>
    <s v="manual"/>
    <s v="2g1fe1e34e9190976"/>
    <s v="ca"/>
    <n v="44"/>
    <x v="102"/>
    <s v="white"/>
    <s v="black"/>
    <s v="tdaf remarketing"/>
    <n v="17850"/>
    <x v="73"/>
    <s v="Tue Dec 16 2014 12:30:00 GMT-0800 (PST)"/>
    <n v="2014"/>
    <x v="15"/>
    <x v="1"/>
    <s v="Medium"/>
  </r>
  <r>
    <n v="2015"/>
    <x v="3"/>
    <x v="4"/>
    <x v="4"/>
    <x v="1"/>
    <s v="automatic"/>
    <s v="1n4al3ap4fn310470"/>
    <s v="ca"/>
    <n v="1"/>
    <x v="103"/>
    <s v="gray"/>
    <s v="black"/>
    <s v="enterprise vehicle exchange / tra / rental / tulsa"/>
    <n v="14600"/>
    <x v="74"/>
    <s v="Tue Dec 30 2014 13:00:00 GMT-0800 (PST)"/>
    <n v="2014"/>
    <x v="4"/>
    <x v="0"/>
    <s v="Low"/>
  </r>
  <r>
    <n v="2014"/>
    <x v="1"/>
    <x v="14"/>
    <x v="3"/>
    <x v="2"/>
    <s v="automatic"/>
    <s v="wbayp9c5xed169286"/>
    <s v="ca"/>
    <n v="38"/>
    <x v="104"/>
    <s v="silver"/>
    <s v="â€”"/>
    <s v="the hertz corporation"/>
    <n v="63000"/>
    <x v="75"/>
    <s v="Thu Feb 12 2015 04:30:00 GMT-0800 (PST)"/>
    <n v="2015"/>
    <x v="16"/>
    <x v="2"/>
    <s v="High"/>
  </r>
  <r>
    <n v="2015"/>
    <x v="7"/>
    <x v="32"/>
    <x v="10"/>
    <x v="1"/>
    <s v="automatic"/>
    <s v="5npdh4ae0fh574105"/>
    <s v="ca"/>
    <n v="1"/>
    <x v="105"/>
    <s v="blue"/>
    <s v="gray"/>
    <s v="enterprise vehicle exchange / tra / rental / tulsa"/>
    <n v="13800"/>
    <x v="76"/>
    <s v="Wed Dec 17 2014 15:05:00 GMT-0800 (PST)"/>
    <n v="2014"/>
    <x v="34"/>
    <x v="0"/>
    <s v="Low"/>
  </r>
  <r>
    <n v="2014"/>
    <x v="1"/>
    <x v="16"/>
    <x v="34"/>
    <x v="1"/>
    <s v="automatic"/>
    <s v="wbaxa5c52ed689665"/>
    <s v="ca"/>
    <n v="48"/>
    <x v="106"/>
    <s v="white"/>
    <s v="black"/>
    <s v="financial services remarketing (lease)"/>
    <n v="46300"/>
    <x v="77"/>
    <s v="Thu Jan 15 2015 04:30:00 GMT-0800 (PST)"/>
    <n v="2015"/>
    <x v="45"/>
    <x v="1"/>
    <s v="Medium"/>
  </r>
  <r>
    <n v="2014"/>
    <x v="1"/>
    <x v="14"/>
    <x v="3"/>
    <x v="2"/>
    <s v="automatic"/>
    <s v="wbayp9c59ed169280"/>
    <s v="ca"/>
    <n v="37"/>
    <x v="107"/>
    <s v="white"/>
    <s v="black"/>
    <s v="the hertz corporation"/>
    <n v="66000"/>
    <x v="5"/>
    <s v="Thu Dec 18 2014 12:30:00 GMT-0800 (PST)"/>
    <n v="2014"/>
    <x v="16"/>
    <x v="2"/>
    <s v="High"/>
  </r>
  <r>
    <n v="2015"/>
    <x v="0"/>
    <x v="0"/>
    <x v="0"/>
    <x v="0"/>
    <s v="automatic"/>
    <s v="5xyktca64fg570672"/>
    <s v="ca"/>
    <n v="49"/>
    <x v="108"/>
    <s v="white"/>
    <s v="black"/>
    <s v="kia motors america  inc"/>
    <n v="20600"/>
    <x v="78"/>
    <s v="Tue Dec 16 2014 12:30:00 GMT-0800 (PST)"/>
    <n v="2014"/>
    <x v="0"/>
    <x v="1"/>
    <s v="Medium"/>
  </r>
  <r>
    <n v="2014"/>
    <x v="9"/>
    <x v="43"/>
    <x v="23"/>
    <x v="0"/>
    <s v="automatic"/>
    <s v="3gyfnbe32es536307"/>
    <s v="ca"/>
    <n v="44"/>
    <x v="109"/>
    <s v="white"/>
    <s v="black"/>
    <s v="lease plan usa"/>
    <n v="33500"/>
    <x v="1"/>
    <s v="Tue Dec 23 2014 12:00:00 GMT-0800 (PST)"/>
    <n v="2014"/>
    <x v="46"/>
    <x v="1"/>
    <s v="Medium"/>
  </r>
  <r>
    <n v="2014"/>
    <x v="1"/>
    <x v="19"/>
    <x v="21"/>
    <x v="0"/>
    <s v="automatic"/>
    <s v="5uxkr0c54e0k49204"/>
    <s v="ca"/>
    <n v="5"/>
    <x v="110"/>
    <s v="white"/>
    <s v="black"/>
    <s v="financial services remarketing (lease)"/>
    <n v="57500"/>
    <x v="79"/>
    <s v="Thu Dec 18 2014 12:30:00 GMT-0800 (PST)"/>
    <n v="2014"/>
    <x v="47"/>
    <x v="0"/>
    <s v="High"/>
  </r>
  <r>
    <n v="2015"/>
    <x v="7"/>
    <x v="32"/>
    <x v="10"/>
    <x v="1"/>
    <s v="automatic"/>
    <s v="5npdh4ae8fh565992"/>
    <s v="ca"/>
    <n v="2"/>
    <x v="111"/>
    <s v="silver"/>
    <s v="gray"/>
    <s v="enterprise vehicle exchange / tra / rental / tulsa"/>
    <n v="13800"/>
    <x v="54"/>
    <s v="Tue Dec 16 2014 12:00:00 GMT-0800 (PST)"/>
    <n v="2014"/>
    <x v="34"/>
    <x v="0"/>
    <s v="Low"/>
  </r>
  <r>
    <n v="2014"/>
    <x v="4"/>
    <x v="6"/>
    <x v="6"/>
    <x v="1"/>
    <m/>
    <s v="1g1pc5sbxe7113253"/>
    <s v="ca"/>
    <n v="28"/>
    <x v="112"/>
    <s v="gray"/>
    <s v="black"/>
    <s v="avis corporation"/>
    <n v="11450"/>
    <x v="80"/>
    <s v="Tue Dec 30 2014 15:00:00 GMT-0800 (PST)"/>
    <n v="2014"/>
    <x v="6"/>
    <x v="2"/>
    <s v="Low"/>
  </r>
  <r>
    <n v="2014"/>
    <x v="4"/>
    <x v="42"/>
    <x v="8"/>
    <x v="6"/>
    <s v="automatic"/>
    <s v="3gcukrec9eg452373"/>
    <s v="ca"/>
    <n v="4"/>
    <x v="113"/>
    <s v="white"/>
    <s v="black"/>
    <s v="ars/acme auto leasing"/>
    <n v="31700"/>
    <x v="1"/>
    <s v="Thu Dec 18 2014 12:00:00 GMT-0800 (PST)"/>
    <n v="2014"/>
    <x v="44"/>
    <x v="0"/>
    <s v="Medium"/>
  </r>
  <r>
    <n v="2015"/>
    <x v="0"/>
    <x v="0"/>
    <x v="0"/>
    <x v="0"/>
    <s v="automatic"/>
    <s v="5xyktca60fg570829"/>
    <s v="ca"/>
    <n v="5"/>
    <x v="114"/>
    <s v="burgundy"/>
    <s v="black"/>
    <s v="kia motors america  inc"/>
    <n v="20700"/>
    <x v="43"/>
    <s v="Tue Dec 16 2014 12:30:00 GMT-0800 (PST)"/>
    <n v="2014"/>
    <x v="0"/>
    <x v="0"/>
    <s v="Medium"/>
  </r>
  <r>
    <n v="2015"/>
    <x v="0"/>
    <x v="0"/>
    <x v="0"/>
    <x v="0"/>
    <s v="automatic"/>
    <s v="5xyktca61fg560973"/>
    <s v="ca"/>
    <n v="48"/>
    <x v="115"/>
    <s v="purple"/>
    <s v="black"/>
    <s v="kia motors america  inc"/>
    <n v="20600"/>
    <x v="27"/>
    <s v="Tue Dec 16 2014 12:30:00 GMT-0800 (PST)"/>
    <n v="2014"/>
    <x v="0"/>
    <x v="1"/>
    <s v="Medium"/>
  </r>
  <r>
    <n v="2014"/>
    <x v="10"/>
    <x v="27"/>
    <x v="5"/>
    <x v="1"/>
    <s v="automatic"/>
    <s v="19vde1f38ee011281"/>
    <s v="ca"/>
    <n v="41"/>
    <x v="116"/>
    <s v="silver"/>
    <s v="gray"/>
    <s v="american honda motor company"/>
    <n v="19950"/>
    <x v="81"/>
    <s v="Thu Dec 18 2014 12:00:00 GMT-0800 (PST)"/>
    <n v="2014"/>
    <x v="48"/>
    <x v="1"/>
    <s v="Medium"/>
  </r>
  <r>
    <n v="2015"/>
    <x v="0"/>
    <x v="0"/>
    <x v="0"/>
    <x v="0"/>
    <s v="automatic"/>
    <s v="5xyktca61fg566806"/>
    <s v="ca"/>
    <n v="48"/>
    <x v="117"/>
    <s v="gray"/>
    <s v="black"/>
    <s v="kia motors america  inc"/>
    <n v="20500"/>
    <x v="27"/>
    <s v="Tue Dec 16 2014 12:30:00 GMT-0800 (PST)"/>
    <n v="2014"/>
    <x v="0"/>
    <x v="1"/>
    <s v="Medium"/>
  </r>
  <r>
    <n v="2015"/>
    <x v="2"/>
    <x v="25"/>
    <x v="2"/>
    <x v="4"/>
    <s v="automatic"/>
    <s v="yv1612sb2f1201221"/>
    <s v="ca"/>
    <n v="41"/>
    <x v="118"/>
    <s v="white"/>
    <s v="beige"/>
    <s v="volvo na rep/world omni"/>
    <n v="31200"/>
    <x v="1"/>
    <s v="Thu Dec 18 2014 12:30:00 GMT-0800 (PST)"/>
    <n v="2014"/>
    <x v="27"/>
    <x v="1"/>
    <s v="Medium"/>
  </r>
  <r>
    <n v="2014"/>
    <x v="4"/>
    <x v="8"/>
    <x v="8"/>
    <x v="3"/>
    <s v="automatic"/>
    <s v="2g1fb1e34e9292660"/>
    <s v="ca"/>
    <m/>
    <x v="119"/>
    <s v="black"/>
    <s v="black"/>
    <s v="enterprise vehicle exchange / tra / rental / tulsa"/>
    <n v="21900"/>
    <x v="82"/>
    <s v="Tue Dec 16 2014 13:00:00 GMT-0800 (PST)"/>
    <n v="2014"/>
    <x v="8"/>
    <x v="0"/>
    <s v="Low"/>
  </r>
  <r>
    <n v="2014"/>
    <x v="4"/>
    <x v="6"/>
    <x v="11"/>
    <x v="1"/>
    <s v="automatic"/>
    <s v="1g1pe5sb4e7102937"/>
    <s v="ca"/>
    <n v="42"/>
    <x v="120"/>
    <s v="gray"/>
    <s v="brown"/>
    <s v="avis corporation"/>
    <n v="12800"/>
    <x v="83"/>
    <s v="Thu Feb 12 2015 03:30:00 GMT-0800 (PST)"/>
    <n v="2015"/>
    <x v="12"/>
    <x v="1"/>
    <s v="Low"/>
  </r>
  <r>
    <n v="2015"/>
    <x v="7"/>
    <x v="32"/>
    <x v="10"/>
    <x v="1"/>
    <s v="automatic"/>
    <s v="5npdh4ae5fh572401"/>
    <s v="ca"/>
    <m/>
    <x v="121"/>
    <s v="white"/>
    <s v="gray"/>
    <s v="enterprise vehicle exchange / tra / rental / tulsa"/>
    <n v="13850"/>
    <x v="84"/>
    <s v="Tue Dec 16 2014 13:00:00 GMT-0800 (PST)"/>
    <n v="2014"/>
    <x v="34"/>
    <x v="0"/>
    <s v="Low"/>
  </r>
  <r>
    <n v="2013"/>
    <x v="12"/>
    <x v="44"/>
    <x v="35"/>
    <x v="7"/>
    <s v="automatic"/>
    <s v="jn1cv6ek4dm921604"/>
    <s v="ca"/>
    <n v="45"/>
    <x v="122"/>
    <s v="white"/>
    <s v="black"/>
    <s v="nissan infiniti lt"/>
    <n v="25900"/>
    <x v="85"/>
    <s v="Thu Dec 18 2014 12:30:00 GMT-0800 (PST)"/>
    <n v="2014"/>
    <x v="49"/>
    <x v="1"/>
    <s v="Medium"/>
  </r>
  <r>
    <n v="2013"/>
    <x v="12"/>
    <x v="45"/>
    <x v="36"/>
    <x v="8"/>
    <s v="automatic"/>
    <s v="jn1cv6ap3dm726059"/>
    <s v="ca"/>
    <n v="46"/>
    <x v="123"/>
    <s v="black"/>
    <s v="black"/>
    <s v="nissan infiniti lt"/>
    <n v="25700"/>
    <x v="86"/>
    <s v="Thu Dec 18 2014 12:30:00 GMT-0800 (PST)"/>
    <n v="2014"/>
    <x v="50"/>
    <x v="1"/>
    <s v="Medium"/>
  </r>
  <r>
    <n v="2013"/>
    <x v="12"/>
    <x v="45"/>
    <x v="36"/>
    <x v="8"/>
    <s v="automatic"/>
    <s v="jn1cv6apxdm714541"/>
    <s v="ca"/>
    <n v="45"/>
    <x v="124"/>
    <s v="white"/>
    <s v="black"/>
    <s v="nissan infiniti lt"/>
    <n v="22800"/>
    <x v="63"/>
    <s v="Thu Dec 18 2014 12:30:00 GMT-0800 (PST)"/>
    <n v="2014"/>
    <x v="50"/>
    <x v="1"/>
    <s v="Medium"/>
  </r>
  <r>
    <n v="2013"/>
    <x v="12"/>
    <x v="44"/>
    <x v="35"/>
    <x v="7"/>
    <s v="automatic"/>
    <s v="jn1cv6ek8dm920763"/>
    <s v="ca"/>
    <n v="47"/>
    <x v="125"/>
    <s v="black"/>
    <s v="black"/>
    <s v="nissan infiniti lt"/>
    <n v="27200"/>
    <x v="87"/>
    <s v="Thu Dec 18 2014 12:30:00 GMT-0800 (PST)"/>
    <n v="2014"/>
    <x v="49"/>
    <x v="1"/>
    <s v="Medium"/>
  </r>
  <r>
    <n v="2013"/>
    <x v="12"/>
    <x v="44"/>
    <x v="35"/>
    <x v="7"/>
    <s v="automatic"/>
    <s v="jn1cv6ek8dm900321"/>
    <s v="ca"/>
    <n v="45"/>
    <x v="126"/>
    <s v="black"/>
    <s v="beige"/>
    <s v="nissan infiniti lt"/>
    <n v="25100"/>
    <x v="56"/>
    <s v="Thu Dec 18 2014 12:30:00 GMT-0800 (PST)"/>
    <n v="2014"/>
    <x v="49"/>
    <x v="1"/>
    <s v="Medium"/>
  </r>
  <r>
    <n v="2013"/>
    <x v="12"/>
    <x v="45"/>
    <x v="36"/>
    <x v="8"/>
    <s v="automatic"/>
    <s v="jn1cv6ap5dm714009"/>
    <s v="ca"/>
    <n v="42"/>
    <x v="127"/>
    <s v="blue"/>
    <s v="black"/>
    <s v="nissan infiniti lt"/>
    <n v="22500"/>
    <x v="20"/>
    <s v="Thu Dec 18 2014 12:30:00 GMT-0800 (PST)"/>
    <n v="2014"/>
    <x v="50"/>
    <x v="1"/>
    <s v="Medium"/>
  </r>
  <r>
    <n v="2013"/>
    <x v="12"/>
    <x v="45"/>
    <x v="36"/>
    <x v="8"/>
    <s v="automatic"/>
    <s v="jn1cv6ap5dm713958"/>
    <s v="ca"/>
    <n v="42"/>
    <x v="128"/>
    <s v="white"/>
    <s v="black"/>
    <s v="nissan infiniti lt"/>
    <n v="23300"/>
    <x v="88"/>
    <s v="Thu Dec 18 2014 12:30:00 GMT-0800 (PST)"/>
    <n v="2014"/>
    <x v="50"/>
    <x v="1"/>
    <s v="Medium"/>
  </r>
  <r>
    <n v="2013"/>
    <x v="12"/>
    <x v="46"/>
    <x v="37"/>
    <x v="0"/>
    <s v="automatic"/>
    <s v="jn8cs1mu2dm140046"/>
    <s v="ca"/>
    <n v="43"/>
    <x v="129"/>
    <s v="black"/>
    <s v="black"/>
    <s v="nissan infiniti lt"/>
    <n v="30800"/>
    <x v="89"/>
    <s v="Thu Dec 18 2014 12:30:00 GMT-0800 (PST)"/>
    <n v="2014"/>
    <x v="51"/>
    <x v="1"/>
    <s v="Medium"/>
  </r>
  <r>
    <n v="2013"/>
    <x v="12"/>
    <x v="45"/>
    <x v="36"/>
    <x v="8"/>
    <s v="automatic"/>
    <s v="jn1cv6ap4dm712848"/>
    <s v="ca"/>
    <n v="41"/>
    <x v="130"/>
    <s v="blue"/>
    <s v="black"/>
    <s v="infiniti financial services"/>
    <n v="22700"/>
    <x v="78"/>
    <s v="Wed Dec 17 2014 12:30:00 GMT-0800 (PST)"/>
    <n v="2014"/>
    <x v="50"/>
    <x v="1"/>
    <s v="Medium"/>
  </r>
  <r>
    <n v="2013"/>
    <x v="7"/>
    <x v="47"/>
    <x v="38"/>
    <x v="0"/>
    <s v="automatic"/>
    <s v="km8srdhf0du002596"/>
    <s v="ca"/>
    <n v="5"/>
    <x v="131"/>
    <s v="white"/>
    <s v="gray"/>
    <s v="hyundai buybacks"/>
    <n v="28300"/>
    <x v="90"/>
    <s v="Tue Dec 16 2014 12:00:00 GMT-0800 (PST)"/>
    <n v="2014"/>
    <x v="52"/>
    <x v="0"/>
    <s v="Medium"/>
  </r>
  <r>
    <n v="2013"/>
    <x v="7"/>
    <x v="48"/>
    <x v="39"/>
    <x v="1"/>
    <s v="automatic"/>
    <s v="kmhgc4dh7du220016"/>
    <s v="ca"/>
    <n v="47"/>
    <x v="132"/>
    <s v="gray"/>
    <s v="black"/>
    <s v="hyundai motor america/co car"/>
    <n v="27100"/>
    <x v="91"/>
    <s v="Tue Dec 16 2014 12:00:00 GMT-0800 (PST)"/>
    <n v="2014"/>
    <x v="53"/>
    <x v="1"/>
    <s v="Medium"/>
  </r>
  <r>
    <n v="2013"/>
    <x v="7"/>
    <x v="49"/>
    <x v="40"/>
    <x v="1"/>
    <s v="automatic"/>
    <s v="kmhgh4jh9du063479"/>
    <s v="ca"/>
    <n v="41"/>
    <x v="133"/>
    <s v="gray"/>
    <s v="black"/>
    <s v="hyundai buybacks"/>
    <n v="31500"/>
    <x v="85"/>
    <s v="Tue Jan 13 2015 12:00:00 GMT-0800 (PST)"/>
    <n v="2015"/>
    <x v="54"/>
    <x v="1"/>
    <s v="Medium"/>
  </r>
  <r>
    <n v="2013"/>
    <x v="12"/>
    <x v="45"/>
    <x v="36"/>
    <x v="8"/>
    <s v="automatic"/>
    <s v="jn1cv6ap1dm302069"/>
    <s v="ca"/>
    <n v="37"/>
    <x v="134"/>
    <s v="â€”"/>
    <s v="black"/>
    <s v="nissan infiniti lt"/>
    <n v="23100"/>
    <x v="92"/>
    <s v="Thu Dec 18 2014 12:30:00 GMT-0800 (PST)"/>
    <n v="2014"/>
    <x v="50"/>
    <x v="2"/>
    <s v="Medium"/>
  </r>
  <r>
    <n v="2013"/>
    <x v="7"/>
    <x v="32"/>
    <x v="41"/>
    <x v="1"/>
    <s v="automatic"/>
    <s v="kmhdh4ae9du490167"/>
    <s v="ca"/>
    <n v="26"/>
    <x v="135"/>
    <s v="red"/>
    <s v="beige"/>
    <s v="hyundai motor finance"/>
    <n v="10250"/>
    <x v="93"/>
    <s v="Tue Dec 16 2014 12:00:00 GMT-0800 (PST)"/>
    <n v="2014"/>
    <x v="55"/>
    <x v="2"/>
    <s v="Low"/>
  </r>
  <r>
    <n v="2013"/>
    <x v="7"/>
    <x v="47"/>
    <x v="38"/>
    <x v="0"/>
    <s v="automatic"/>
    <s v="km8srdhf8du000644"/>
    <s v="ca"/>
    <n v="5"/>
    <x v="136"/>
    <s v="white"/>
    <s v="brown"/>
    <s v="hyundai motor america/co car"/>
    <n v="28500"/>
    <x v="94"/>
    <s v="Tue Dec 16 2014 12:00:00 GMT-0800 (PST)"/>
    <n v="2014"/>
    <x v="52"/>
    <x v="0"/>
    <s v="Medium"/>
  </r>
  <r>
    <n v="2013"/>
    <x v="7"/>
    <x v="32"/>
    <x v="41"/>
    <x v="1"/>
    <s v="automatic"/>
    <s v="5npdh4ae8dh348469"/>
    <s v="ca"/>
    <n v="44"/>
    <x v="137"/>
    <s v="silver"/>
    <s v="gray"/>
    <s v="enterprise vehicle exchange/orange"/>
    <n v="11250"/>
    <x v="49"/>
    <s v="Wed Dec 17 2014 12:30:00 GMT-0800 (PST)"/>
    <n v="2014"/>
    <x v="55"/>
    <x v="1"/>
    <s v="Low"/>
  </r>
  <r>
    <n v="2013"/>
    <x v="12"/>
    <x v="44"/>
    <x v="35"/>
    <x v="7"/>
    <s v="automatic"/>
    <s v="jn1cv6ek0dm900927"/>
    <s v="ca"/>
    <n v="41"/>
    <x v="138"/>
    <s v="gray"/>
    <s v="black"/>
    <s v="nissan infiniti lt"/>
    <n v="25200"/>
    <x v="95"/>
    <s v="Thu Dec 18 2014 12:30:00 GMT-0800 (PST)"/>
    <n v="2014"/>
    <x v="49"/>
    <x v="1"/>
    <s v="Medium"/>
  </r>
  <r>
    <n v="2013"/>
    <x v="7"/>
    <x v="32"/>
    <x v="41"/>
    <x v="1"/>
    <s v="automatic"/>
    <s v="5npdh4ae5dh342001"/>
    <s v="ca"/>
    <n v="2"/>
    <x v="139"/>
    <s v="silver"/>
    <s v="gray"/>
    <s v="enterprise vehicle exchange / tra / rental / tulsa"/>
    <n v="11400"/>
    <x v="96"/>
    <s v="Tue Dec 16 2014 12:00:00 GMT-0800 (PST)"/>
    <n v="2014"/>
    <x v="55"/>
    <x v="0"/>
    <s v="Low"/>
  </r>
  <r>
    <n v="2013"/>
    <x v="12"/>
    <x v="45"/>
    <x v="36"/>
    <x v="8"/>
    <s v="automatic"/>
    <s v="jn1cv6ap9dm712232"/>
    <s v="ca"/>
    <n v="35"/>
    <x v="140"/>
    <s v="white"/>
    <s v="gray"/>
    <s v="nissan infiniti lt"/>
    <n v="22400"/>
    <x v="97"/>
    <s v="Thu Dec 18 2014 12:30:00 GMT-0800 (PST)"/>
    <n v="2014"/>
    <x v="50"/>
    <x v="2"/>
    <s v="Medium"/>
  </r>
  <r>
    <n v="2013"/>
    <x v="12"/>
    <x v="44"/>
    <x v="35"/>
    <x v="7"/>
    <s v="automatic"/>
    <s v="jn1cv6ek0dm920093"/>
    <s v="ca"/>
    <n v="48"/>
    <x v="141"/>
    <s v="white"/>
    <s v="black"/>
    <s v="nissan infiniti lt"/>
    <n v="26800"/>
    <x v="90"/>
    <s v="Thu Dec 18 2014 12:30:00 GMT-0800 (PST)"/>
    <n v="2014"/>
    <x v="49"/>
    <x v="1"/>
    <s v="Medium"/>
  </r>
  <r>
    <n v="2013"/>
    <x v="7"/>
    <x v="12"/>
    <x v="41"/>
    <x v="1"/>
    <s v="automatic"/>
    <s v="5npeb4ac9dh691294"/>
    <s v="ca"/>
    <n v="43"/>
    <x v="142"/>
    <s v="silver"/>
    <s v="gray"/>
    <s v="avis rac/san leandro"/>
    <n v="10950"/>
    <x v="25"/>
    <s v="Wed Dec 17 2014 12:30:00 GMT-0800 (PST)"/>
    <n v="2014"/>
    <x v="56"/>
    <x v="1"/>
    <s v="Low"/>
  </r>
  <r>
    <n v="2013"/>
    <x v="7"/>
    <x v="32"/>
    <x v="41"/>
    <x v="1"/>
    <s v="manual"/>
    <s v="5npdh4ae9dh235016"/>
    <s v="ca"/>
    <n v="49"/>
    <x v="143"/>
    <s v="white"/>
    <s v="beige"/>
    <s v="hyundai motor america/co car"/>
    <n v="13450"/>
    <x v="98"/>
    <s v="Tue Dec 16 2014 12:00:00 GMT-0800 (PST)"/>
    <n v="2014"/>
    <x v="55"/>
    <x v="1"/>
    <s v="Low"/>
  </r>
  <r>
    <n v="2013"/>
    <x v="7"/>
    <x v="12"/>
    <x v="41"/>
    <x v="1"/>
    <s v="automatic"/>
    <s v="5npeb4ac4dh712021"/>
    <s v="ca"/>
    <n v="39"/>
    <x v="144"/>
    <s v="blue"/>
    <s v="gray"/>
    <s v="enterprise vehicle exchange/orange"/>
    <n v="12150"/>
    <x v="99"/>
    <s v="Wed Dec 17 2014 12:30:00 GMT-0800 (PST)"/>
    <n v="2014"/>
    <x v="56"/>
    <x v="2"/>
    <s v="Low"/>
  </r>
  <r>
    <n v="2013"/>
    <x v="7"/>
    <x v="32"/>
    <x v="41"/>
    <x v="1"/>
    <s v="automatic"/>
    <s v="5npdh4ae0dh356789"/>
    <s v="ca"/>
    <n v="45"/>
    <x v="145"/>
    <s v="black"/>
    <s v="beige"/>
    <s v="aaero sweet company"/>
    <n v="12050"/>
    <x v="100"/>
    <s v="Wed Dec 17 2014 12:15:00 GMT-0800 (PST)"/>
    <n v="2014"/>
    <x v="55"/>
    <x v="1"/>
    <s v="Low"/>
  </r>
  <r>
    <n v="2013"/>
    <x v="7"/>
    <x v="50"/>
    <x v="38"/>
    <x v="1"/>
    <s v="automatic"/>
    <s v="kmhec4a40da089523"/>
    <s v="ca"/>
    <n v="21"/>
    <x v="146"/>
    <s v="silver"/>
    <s v="gray"/>
    <s v="hyundai motor america/co car"/>
    <n v="19650"/>
    <x v="101"/>
    <s v="Tue Jan 27 2015 04:30:00 GMT-0800 (PST)"/>
    <n v="2015"/>
    <x v="57"/>
    <x v="2"/>
    <s v="Low"/>
  </r>
  <r>
    <n v="2013"/>
    <x v="12"/>
    <x v="45"/>
    <x v="36"/>
    <x v="8"/>
    <s v="automatic"/>
    <s v="jn1cv6ap0dm725418"/>
    <s v="ca"/>
    <n v="45"/>
    <x v="147"/>
    <s v="black"/>
    <s v="black"/>
    <s v="nissan infiniti lt"/>
    <n v="24300"/>
    <x v="102"/>
    <s v="Thu Dec 18 2014 12:30:00 GMT-0800 (PST)"/>
    <n v="2014"/>
    <x v="50"/>
    <x v="1"/>
    <s v="Medium"/>
  </r>
  <r>
    <n v="2013"/>
    <x v="7"/>
    <x v="50"/>
    <x v="38"/>
    <x v="1"/>
    <s v="automatic"/>
    <s v="kmhec4a46da091860"/>
    <s v="ca"/>
    <n v="48"/>
    <x v="148"/>
    <s v="white"/>
    <s v="gray"/>
    <s v="hyundai motor america/co car"/>
    <n v="18000"/>
    <x v="103"/>
    <s v="Tue Dec 16 2014 12:00:00 GMT-0800 (PST)"/>
    <n v="2014"/>
    <x v="57"/>
    <x v="1"/>
    <s v="Medium"/>
  </r>
  <r>
    <n v="2013"/>
    <x v="7"/>
    <x v="47"/>
    <x v="42"/>
    <x v="0"/>
    <s v="automatic"/>
    <s v="5xyztdlb9dg057378"/>
    <s v="ca"/>
    <n v="48"/>
    <x v="149"/>
    <s v="gray"/>
    <s v="gray"/>
    <s v="hyundai motor america/co car"/>
    <n v="19500"/>
    <x v="104"/>
    <s v="Tue Dec 16 2014 12:00:00 GMT-0800 (PST)"/>
    <n v="2014"/>
    <x v="58"/>
    <x v="1"/>
    <s v="Medium"/>
  </r>
  <r>
    <n v="2013"/>
    <x v="12"/>
    <x v="45"/>
    <x v="36"/>
    <x v="8"/>
    <s v="automatic"/>
    <s v="jn1cv6ap2dm714887"/>
    <s v="ca"/>
    <n v="43"/>
    <x v="150"/>
    <s v="gray"/>
    <s v="black"/>
    <s v="nissan infiniti lt"/>
    <n v="23700"/>
    <x v="105"/>
    <s v="Thu Dec 18 2014 12:30:00 GMT-0800 (PST)"/>
    <n v="2014"/>
    <x v="50"/>
    <x v="1"/>
    <s v="Medium"/>
  </r>
  <r>
    <n v="2013"/>
    <x v="12"/>
    <x v="45"/>
    <x v="36"/>
    <x v="8"/>
    <s v="automatic"/>
    <s v="jn1cv6ap2dm712055"/>
    <s v="ca"/>
    <n v="42"/>
    <x v="151"/>
    <s v="gray"/>
    <s v="gray"/>
    <s v="nissan infiniti lt"/>
    <n v="23000"/>
    <x v="106"/>
    <s v="Thu Dec 18 2014 12:30:00 GMT-0800 (PST)"/>
    <n v="2014"/>
    <x v="50"/>
    <x v="1"/>
    <s v="Medium"/>
  </r>
  <r>
    <n v="2013"/>
    <x v="12"/>
    <x v="45"/>
    <x v="36"/>
    <x v="8"/>
    <s v="automatic"/>
    <s v="jn1cv6ap5dm713801"/>
    <s v="ca"/>
    <n v="38"/>
    <x v="152"/>
    <s v="silver"/>
    <s v="black"/>
    <s v="nissan infiniti lt"/>
    <n v="22300"/>
    <x v="29"/>
    <s v="Thu Dec 18 2014 12:30:00 GMT-0800 (PST)"/>
    <n v="2014"/>
    <x v="50"/>
    <x v="2"/>
    <s v="Medium"/>
  </r>
  <r>
    <n v="2013"/>
    <x v="12"/>
    <x v="45"/>
    <x v="36"/>
    <x v="8"/>
    <s v="automatic"/>
    <s v="jn1cv6ap2dm712170"/>
    <s v="ca"/>
    <n v="47"/>
    <x v="153"/>
    <s v="white"/>
    <s v="black"/>
    <s v="nissan infiniti lt"/>
    <n v="23400"/>
    <x v="107"/>
    <s v="Thu Dec 18 2014 12:30:00 GMT-0800 (PST)"/>
    <n v="2014"/>
    <x v="50"/>
    <x v="1"/>
    <s v="Medium"/>
  </r>
  <r>
    <n v="2013"/>
    <x v="12"/>
    <x v="44"/>
    <x v="35"/>
    <x v="7"/>
    <s v="automatic"/>
    <s v="jn1cv6ek5dm900518"/>
    <s v="ca"/>
    <n v="43"/>
    <x v="154"/>
    <s v="â€”"/>
    <s v="black"/>
    <s v="nissan infiniti lt"/>
    <n v="25600"/>
    <x v="56"/>
    <s v="Thu Dec 18 2014 12:30:00 GMT-0800 (PST)"/>
    <n v="2014"/>
    <x v="49"/>
    <x v="1"/>
    <s v="Medium"/>
  </r>
  <r>
    <n v="2013"/>
    <x v="12"/>
    <x v="45"/>
    <x v="36"/>
    <x v="8"/>
    <s v="automatic"/>
    <s v="jn1cv6apxdm712417"/>
    <s v="ca"/>
    <n v="4"/>
    <x v="155"/>
    <s v="black"/>
    <s v="black"/>
    <s v="nissan infiniti lt"/>
    <n v="24300"/>
    <x v="106"/>
    <s v="Thu Dec 18 2014 12:30:00 GMT-0800 (PST)"/>
    <n v="2014"/>
    <x v="50"/>
    <x v="0"/>
    <s v="Medium"/>
  </r>
  <r>
    <n v="2013"/>
    <x v="7"/>
    <x v="12"/>
    <x v="41"/>
    <x v="1"/>
    <s v="automatic"/>
    <s v="5npeb4ac5dh771160"/>
    <s v="ca"/>
    <n v="36"/>
    <x v="156"/>
    <s v="gray"/>
    <s v="gray"/>
    <s v="gm financial"/>
    <n v="12650"/>
    <x v="108"/>
    <s v="Wed Dec 17 2014 12:30:00 GMT-0800 (PST)"/>
    <n v="2014"/>
    <x v="56"/>
    <x v="2"/>
    <s v="Low"/>
  </r>
  <r>
    <n v="2013"/>
    <x v="7"/>
    <x v="47"/>
    <x v="38"/>
    <x v="0"/>
    <s v="automatic"/>
    <s v="km8sr4hf7du008024"/>
    <s v="ca"/>
    <n v="42"/>
    <x v="157"/>
    <s v="black"/>
    <s v="brown"/>
    <s v="hyundai motor america/co car"/>
    <n v="23400"/>
    <x v="109"/>
    <s v="Tue Dec 16 2014 12:00:00 GMT-0800 (PST)"/>
    <n v="2014"/>
    <x v="52"/>
    <x v="1"/>
    <s v="Medium"/>
  </r>
  <r>
    <n v="2013"/>
    <x v="7"/>
    <x v="12"/>
    <x v="41"/>
    <x v="1"/>
    <s v="automatic"/>
    <s v="5npeb4acxdh744455"/>
    <s v="ca"/>
    <n v="35"/>
    <x v="158"/>
    <s v="gray"/>
    <s v="gray"/>
    <s v="avis corporation"/>
    <n v="11800"/>
    <x v="110"/>
    <s v="Thu Dec 18 2014 11:30:00 GMT-0800 (PST)"/>
    <n v="2014"/>
    <x v="56"/>
    <x v="2"/>
    <s v="Low"/>
  </r>
  <r>
    <n v="2013"/>
    <x v="7"/>
    <x v="12"/>
    <x v="38"/>
    <x v="1"/>
    <s v="automatic"/>
    <s v="5npec4ac6dh513954"/>
    <s v="ca"/>
    <n v="37"/>
    <x v="159"/>
    <s v="black"/>
    <s v="beige"/>
    <s v="hyundai motor finance"/>
    <n v="16000"/>
    <x v="111"/>
    <s v="Tue Jan 13 2015 04:30:00 GMT-0800 (PST)"/>
    <n v="2015"/>
    <x v="59"/>
    <x v="2"/>
    <s v="Low"/>
  </r>
  <r>
    <n v="2013"/>
    <x v="7"/>
    <x v="32"/>
    <x v="41"/>
    <x v="1"/>
    <s v="automatic"/>
    <s v="5npdh4ae4dh327134"/>
    <s v="ca"/>
    <n v="35"/>
    <x v="160"/>
    <s v="gray"/>
    <s v="gray"/>
    <s v="enterprise vehicle exchange/orange"/>
    <n v="11500"/>
    <x v="80"/>
    <s v="Tue Dec 16 2014 12:30:00 GMT-0800 (PST)"/>
    <n v="2014"/>
    <x v="55"/>
    <x v="2"/>
    <s v="Low"/>
  </r>
  <r>
    <n v="2013"/>
    <x v="7"/>
    <x v="50"/>
    <x v="38"/>
    <x v="1"/>
    <s v="automatic"/>
    <s v="kmhec4a48da092248"/>
    <s v="ca"/>
    <n v="46"/>
    <x v="161"/>
    <s v="black"/>
    <s v="beige"/>
    <s v="hyundai motor america/co car"/>
    <n v="18350"/>
    <x v="10"/>
    <s v="Tue Dec 16 2014 12:00:00 GMT-0800 (PST)"/>
    <n v="2014"/>
    <x v="57"/>
    <x v="1"/>
    <s v="Low"/>
  </r>
  <r>
    <n v="2013"/>
    <x v="7"/>
    <x v="32"/>
    <x v="41"/>
    <x v="1"/>
    <s v="automatic"/>
    <s v="5npdh4ae8dh345667"/>
    <s v="ca"/>
    <n v="2"/>
    <x v="162"/>
    <s v="gold"/>
    <s v="beige"/>
    <s v="enterprise vehicle exchange / tra / rental / tulsa"/>
    <n v="12150"/>
    <x v="112"/>
    <s v="Tue Dec 16 2014 12:00:00 GMT-0800 (PST)"/>
    <n v="2014"/>
    <x v="55"/>
    <x v="0"/>
    <s v="Low"/>
  </r>
  <r>
    <n v="2013"/>
    <x v="12"/>
    <x v="45"/>
    <x v="36"/>
    <x v="8"/>
    <s v="automatic"/>
    <s v="jn1cv6ap4dm303216"/>
    <s v="ca"/>
    <n v="44"/>
    <x v="163"/>
    <s v="white"/>
    <s v="black"/>
    <s v="nissan infiniti lt"/>
    <n v="23800"/>
    <x v="113"/>
    <s v="Thu Dec 18 2014 12:30:00 GMT-0800 (PST)"/>
    <n v="2014"/>
    <x v="50"/>
    <x v="1"/>
    <s v="Medium"/>
  </r>
  <r>
    <n v="2013"/>
    <x v="12"/>
    <x v="45"/>
    <x v="36"/>
    <x v="8"/>
    <s v="automatic"/>
    <s v="jn1cv6apxdm713003"/>
    <s v="ca"/>
    <n v="25"/>
    <x v="164"/>
    <s v="white"/>
    <s v="gray"/>
    <s v="nissan infiniti lt"/>
    <n v="24700"/>
    <x v="29"/>
    <s v="Tue Dec 16 2014 12:30:00 GMT-0800 (PST)"/>
    <n v="2014"/>
    <x v="50"/>
    <x v="2"/>
    <s v="Medium"/>
  </r>
  <r>
    <n v="2013"/>
    <x v="12"/>
    <x v="45"/>
    <x v="36"/>
    <x v="8"/>
    <s v="automatic"/>
    <s v="jn1cv6ap9dm300442"/>
    <s v="ca"/>
    <n v="44"/>
    <x v="165"/>
    <s v="white"/>
    <s v="black"/>
    <s v="nissan infiniti lt"/>
    <n v="22100"/>
    <x v="106"/>
    <s v="Thu Dec 18 2014 12:30:00 GMT-0800 (PST)"/>
    <n v="2014"/>
    <x v="50"/>
    <x v="1"/>
    <s v="Medium"/>
  </r>
  <r>
    <n v="2013"/>
    <x v="12"/>
    <x v="45"/>
    <x v="36"/>
    <x v="8"/>
    <s v="automatic"/>
    <s v="jn1cv6apxdm712403"/>
    <s v="ca"/>
    <n v="37"/>
    <x v="166"/>
    <s v="black"/>
    <s v="beige"/>
    <s v="nissan infiniti lt"/>
    <n v="23000"/>
    <x v="105"/>
    <s v="Thu Dec 18 2014 12:30:00 GMT-0800 (PST)"/>
    <n v="2014"/>
    <x v="50"/>
    <x v="2"/>
    <s v="Medium"/>
  </r>
  <r>
    <n v="2013"/>
    <x v="12"/>
    <x v="45"/>
    <x v="36"/>
    <x v="8"/>
    <s v="automatic"/>
    <s v="jn1cv6ap8dm717292"/>
    <s v="ca"/>
    <n v="45"/>
    <x v="167"/>
    <s v="black"/>
    <s v="beige"/>
    <s v="nissan infiniti lt"/>
    <n v="23100"/>
    <x v="114"/>
    <s v="Thu Dec 18 2014 12:30:00 GMT-0800 (PST)"/>
    <n v="2014"/>
    <x v="50"/>
    <x v="1"/>
    <s v="Medium"/>
  </r>
  <r>
    <n v="2013"/>
    <x v="12"/>
    <x v="45"/>
    <x v="36"/>
    <x v="8"/>
    <s v="automatic"/>
    <s v="jn1cv6apxdm715446"/>
    <s v="ca"/>
    <n v="45"/>
    <x v="168"/>
    <s v="gray"/>
    <s v="black"/>
    <s v="nissan infiniti lt"/>
    <n v="22900"/>
    <x v="40"/>
    <s v="Wed Dec 17 2014 12:30:00 GMT-0800 (PST)"/>
    <n v="2014"/>
    <x v="50"/>
    <x v="1"/>
    <s v="Medium"/>
  </r>
  <r>
    <n v="2013"/>
    <x v="7"/>
    <x v="32"/>
    <x v="38"/>
    <x v="1"/>
    <s v="automatic"/>
    <s v="5npdh4ae0dh358462"/>
    <s v="ca"/>
    <n v="45"/>
    <x v="169"/>
    <s v="white"/>
    <s v="beige"/>
    <s v="enterprise vehicle exchange/orange"/>
    <n v="11400"/>
    <x v="49"/>
    <s v="Wed Dec 17 2014 12:30:00 GMT-0800 (PST)"/>
    <n v="2014"/>
    <x v="60"/>
    <x v="1"/>
    <s v="Low"/>
  </r>
  <r>
    <n v="2013"/>
    <x v="7"/>
    <x v="47"/>
    <x v="43"/>
    <x v="0"/>
    <s v="automatic"/>
    <s v="5xyzw3la5dg114166"/>
    <s v="ca"/>
    <n v="47"/>
    <x v="170"/>
    <s v="black"/>
    <s v="beige"/>
    <s v="hyundai motor america/co car"/>
    <n v="21400"/>
    <x v="64"/>
    <s v="Tue Dec 16 2014 12:00:00 GMT-0800 (PST)"/>
    <n v="2014"/>
    <x v="61"/>
    <x v="1"/>
    <s v="Medium"/>
  </r>
  <r>
    <n v="2013"/>
    <x v="12"/>
    <x v="45"/>
    <x v="36"/>
    <x v="8"/>
    <s v="automatic"/>
    <s v="jn1cv6ap6dm714973"/>
    <s v="ca"/>
    <n v="43"/>
    <x v="171"/>
    <s v="white"/>
    <s v="beige"/>
    <s v="nissan infiniti lt"/>
    <n v="24200"/>
    <x v="85"/>
    <s v="Thu Dec 18 2014 12:30:00 GMT-0800 (PST)"/>
    <n v="2014"/>
    <x v="50"/>
    <x v="1"/>
    <s v="Medium"/>
  </r>
  <r>
    <n v="2013"/>
    <x v="12"/>
    <x v="45"/>
    <x v="36"/>
    <x v="8"/>
    <s v="automatic"/>
    <s v="jn1cv6ap9dm719505"/>
    <s v="ca"/>
    <n v="41"/>
    <x v="172"/>
    <s v="gray"/>
    <s v="black"/>
    <s v="nissan infiniti lt"/>
    <n v="23800"/>
    <x v="88"/>
    <s v="Thu Dec 18 2014 12:30:00 GMT-0800 (PST)"/>
    <n v="2014"/>
    <x v="50"/>
    <x v="1"/>
    <s v="Medium"/>
  </r>
  <r>
    <n v="2013"/>
    <x v="7"/>
    <x v="12"/>
    <x v="38"/>
    <x v="1"/>
    <s v="automatic"/>
    <s v="5npec4ac2dh608074"/>
    <s v="ca"/>
    <n v="43"/>
    <x v="173"/>
    <s v="white"/>
    <s v="burgundy"/>
    <s v="hyundai motor america/co car"/>
    <n v="16900"/>
    <x v="115"/>
    <s v="Tue Dec 16 2014 12:00:00 GMT-0800 (PST)"/>
    <n v="2014"/>
    <x v="59"/>
    <x v="1"/>
    <s v="Low"/>
  </r>
  <r>
    <n v="2013"/>
    <x v="12"/>
    <x v="45"/>
    <x v="36"/>
    <x v="8"/>
    <s v="automatic"/>
    <s v="jn1cv6ap8dm711170"/>
    <s v="ca"/>
    <n v="44"/>
    <x v="174"/>
    <s v="black"/>
    <s v="black"/>
    <s v="nissan infiniti lt"/>
    <n v="23000"/>
    <x v="114"/>
    <s v="Thu Dec 18 2014 12:30:00 GMT-0800 (PST)"/>
    <n v="2014"/>
    <x v="50"/>
    <x v="1"/>
    <s v="Medium"/>
  </r>
  <r>
    <n v="2013"/>
    <x v="7"/>
    <x v="51"/>
    <x v="41"/>
    <x v="1"/>
    <s v="automatic"/>
    <s v="kmhct4ae9du436426"/>
    <s v="ca"/>
    <n v="2"/>
    <x v="175"/>
    <s v="black"/>
    <s v="beige"/>
    <s v="enterprise vehicle exchange / tra / rental / tulsa"/>
    <n v="9700"/>
    <x v="116"/>
    <s v="Tue Dec 23 2014 12:00:00 GMT-0800 (PST)"/>
    <n v="2014"/>
    <x v="62"/>
    <x v="0"/>
    <s v="Low"/>
  </r>
  <r>
    <n v="2013"/>
    <x v="12"/>
    <x v="45"/>
    <x v="36"/>
    <x v="8"/>
    <s v="automatic"/>
    <s v="jn1cv6ap7dm710348"/>
    <s v="ca"/>
    <n v="4"/>
    <x v="176"/>
    <s v="gray"/>
    <s v="â€”"/>
    <s v="nissan infiniti lt"/>
    <n v="22400"/>
    <x v="106"/>
    <s v="Tue Dec 23 2014 12:30:00 GMT-0800 (PST)"/>
    <n v="2014"/>
    <x v="50"/>
    <x v="0"/>
    <s v="Medium"/>
  </r>
  <r>
    <n v="2013"/>
    <x v="7"/>
    <x v="52"/>
    <x v="44"/>
    <x v="5"/>
    <s v="automatic"/>
    <s v="kmhtc6ae4du168333"/>
    <s v="ca"/>
    <n v="36"/>
    <x v="177"/>
    <s v="white"/>
    <s v="black"/>
    <s v="hyundai motor america/co car"/>
    <n v="15000"/>
    <x v="117"/>
    <s v="Tue Dec 16 2014 12:00:00 GMT-0800 (PST)"/>
    <n v="2014"/>
    <x v="63"/>
    <x v="2"/>
    <s v="Low"/>
  </r>
  <r>
    <n v="2013"/>
    <x v="12"/>
    <x v="44"/>
    <x v="35"/>
    <x v="7"/>
    <s v="automatic"/>
    <s v="jn1cv6ek3dm921383"/>
    <s v="ca"/>
    <n v="42"/>
    <x v="178"/>
    <s v="gray"/>
    <s v="black"/>
    <s v="nissan infiniti lt"/>
    <n v="25700"/>
    <x v="118"/>
    <s v="Thu Dec 18 2014 12:30:00 GMT-0800 (PST)"/>
    <n v="2014"/>
    <x v="49"/>
    <x v="1"/>
    <s v="Medium"/>
  </r>
  <r>
    <n v="2013"/>
    <x v="7"/>
    <x v="51"/>
    <x v="41"/>
    <x v="1"/>
    <s v="automatic"/>
    <s v="kmhct4ae6du446069"/>
    <s v="ca"/>
    <m/>
    <x v="179"/>
    <s v="silver"/>
    <s v="gray"/>
    <s v="hertz/tra"/>
    <n v="9275"/>
    <x v="119"/>
    <s v="Tue Dec 16 2014 13:00:00 GMT-0800 (PST)"/>
    <n v="2014"/>
    <x v="62"/>
    <x v="0"/>
    <s v="Low"/>
  </r>
  <r>
    <n v="2013"/>
    <x v="7"/>
    <x v="53"/>
    <x v="10"/>
    <x v="9"/>
    <s v="automatic"/>
    <s v="kmhdh6ae8du000216"/>
    <s v="ca"/>
    <n v="43"/>
    <x v="180"/>
    <s v="black"/>
    <s v="black"/>
    <s v="hyundai motor america/co car"/>
    <n v="14600"/>
    <x v="117"/>
    <s v="Tue Dec 16 2014 12:00:00 GMT-0800 (PST)"/>
    <n v="2014"/>
    <x v="64"/>
    <x v="1"/>
    <s v="Low"/>
  </r>
  <r>
    <n v="2013"/>
    <x v="12"/>
    <x v="44"/>
    <x v="35"/>
    <x v="7"/>
    <s v="automatic"/>
    <s v="jn1cv6ekxdm920134"/>
    <s v="ca"/>
    <n v="42"/>
    <x v="181"/>
    <s v="white"/>
    <s v="black"/>
    <s v="nissan infiniti lt"/>
    <n v="25900"/>
    <x v="109"/>
    <s v="Thu Dec 18 2014 12:30:00 GMT-0800 (PST)"/>
    <n v="2014"/>
    <x v="49"/>
    <x v="1"/>
    <s v="Medium"/>
  </r>
  <r>
    <n v="2013"/>
    <x v="12"/>
    <x v="45"/>
    <x v="36"/>
    <x v="8"/>
    <s v="automatic"/>
    <s v="jn1cv6ap4dm301420"/>
    <s v="ca"/>
    <n v="45"/>
    <x v="182"/>
    <s v="black"/>
    <s v="black"/>
    <s v="nissan infiniti lt"/>
    <n v="22300"/>
    <x v="85"/>
    <s v="Thu Dec 18 2014 12:30:00 GMT-0800 (PST)"/>
    <n v="2014"/>
    <x v="50"/>
    <x v="1"/>
    <s v="Medium"/>
  </r>
  <r>
    <n v="2013"/>
    <x v="12"/>
    <x v="45"/>
    <x v="36"/>
    <x v="8"/>
    <s v="automatic"/>
    <s v="jn1cv6ap0dm711499"/>
    <s v="ca"/>
    <n v="41"/>
    <x v="183"/>
    <s v="blue"/>
    <s v="gray"/>
    <s v="nissan infiniti lt"/>
    <n v="23300"/>
    <x v="102"/>
    <s v="Thu Dec 18 2014 12:30:00 GMT-0800 (PST)"/>
    <n v="2014"/>
    <x v="50"/>
    <x v="1"/>
    <s v="Medium"/>
  </r>
  <r>
    <n v="2013"/>
    <x v="12"/>
    <x v="45"/>
    <x v="36"/>
    <x v="8"/>
    <s v="automatic"/>
    <s v="jn1cv6ap1dm712628"/>
    <s v="ca"/>
    <n v="46"/>
    <x v="184"/>
    <s v="gray"/>
    <s v="black"/>
    <s v="nissan infiniti lt"/>
    <n v="23200"/>
    <x v="107"/>
    <s v="Thu Dec 18 2014 12:30:00 GMT-0800 (PST)"/>
    <n v="2014"/>
    <x v="50"/>
    <x v="1"/>
    <s v="Medium"/>
  </r>
  <r>
    <n v="2013"/>
    <x v="12"/>
    <x v="45"/>
    <x v="36"/>
    <x v="8"/>
    <s v="automatic"/>
    <s v="jn1cv6ap7dm300469"/>
    <s v="ca"/>
    <n v="41"/>
    <x v="185"/>
    <s v="â€”"/>
    <s v="beige"/>
    <s v="nissan infiniti lt"/>
    <n v="23300"/>
    <x v="78"/>
    <s v="Thu Dec 18 2014 12:30:00 GMT-0800 (PST)"/>
    <n v="2014"/>
    <x v="50"/>
    <x v="1"/>
    <s v="Medium"/>
  </r>
  <r>
    <n v="2013"/>
    <x v="12"/>
    <x v="45"/>
    <x v="36"/>
    <x v="8"/>
    <s v="automatic"/>
    <s v="jn1cv6apxdm712658"/>
    <s v="ca"/>
    <n v="37"/>
    <x v="186"/>
    <s v="white"/>
    <s v="black"/>
    <s v="nissan infiniti lt"/>
    <n v="23600"/>
    <x v="120"/>
    <s v="Tue Dec 23 2014 12:30:00 GMT-0800 (PST)"/>
    <n v="2014"/>
    <x v="50"/>
    <x v="2"/>
    <s v="Medium"/>
  </r>
  <r>
    <n v="2013"/>
    <x v="7"/>
    <x v="12"/>
    <x v="41"/>
    <x v="1"/>
    <s v="automatic"/>
    <s v="5npeb4ac5dh682009"/>
    <s v="ca"/>
    <n v="1"/>
    <x v="187"/>
    <s v="white"/>
    <s v="tan"/>
    <s v="hertz/tra"/>
    <n v="11350"/>
    <x v="121"/>
    <s v="Tue Dec 16 2014 13:00:00 GMT-0800 (PST)"/>
    <n v="2014"/>
    <x v="56"/>
    <x v="0"/>
    <s v="Low"/>
  </r>
  <r>
    <n v="2013"/>
    <x v="12"/>
    <x v="45"/>
    <x v="36"/>
    <x v="8"/>
    <s v="automatic"/>
    <s v="jn1cv6ap8dm716627"/>
    <s v="ca"/>
    <n v="36"/>
    <x v="188"/>
    <s v="blue"/>
    <s v="black"/>
    <s v="nissan infiniti lt"/>
    <n v="22900"/>
    <x v="105"/>
    <s v="Thu Dec 18 2014 12:30:00 GMT-0800 (PST)"/>
    <n v="2014"/>
    <x v="50"/>
    <x v="2"/>
    <s v="Medium"/>
  </r>
  <r>
    <n v="2013"/>
    <x v="12"/>
    <x v="45"/>
    <x v="36"/>
    <x v="8"/>
    <s v="automatic"/>
    <s v="jn1cv6ap3dm713263"/>
    <s v="ca"/>
    <n v="46"/>
    <x v="189"/>
    <s v="white"/>
    <s v="beige"/>
    <s v="nissan infiniti lt"/>
    <n v="25100"/>
    <x v="102"/>
    <s v="Thu Dec 18 2014 12:30:00 GMT-0800 (PST)"/>
    <n v="2014"/>
    <x v="50"/>
    <x v="1"/>
    <s v="Medium"/>
  </r>
  <r>
    <n v="2013"/>
    <x v="12"/>
    <x v="45"/>
    <x v="36"/>
    <x v="8"/>
    <s v="automatic"/>
    <s v="jn1cv6ap5dm714785"/>
    <s v="ca"/>
    <n v="22"/>
    <x v="190"/>
    <s v="gray"/>
    <s v="black"/>
    <s v="nissan infiniti lt"/>
    <n v="22900"/>
    <x v="122"/>
    <s v="Tue Dec 23 2014 12:30:00 GMT-0800 (PST)"/>
    <n v="2014"/>
    <x v="50"/>
    <x v="2"/>
    <s v="Medium"/>
  </r>
  <r>
    <n v="2013"/>
    <x v="7"/>
    <x v="12"/>
    <x v="41"/>
    <x v="1"/>
    <s v="automatic"/>
    <s v="5npeb4ac5dh743407"/>
    <s v="ca"/>
    <n v="37"/>
    <x v="191"/>
    <s v="silver"/>
    <s v="gray"/>
    <s v="avis rac/san leandro"/>
    <n v="12150"/>
    <x v="69"/>
    <s v="Wed Dec 17 2014 12:30:00 GMT-0800 (PST)"/>
    <n v="2014"/>
    <x v="56"/>
    <x v="2"/>
    <s v="Low"/>
  </r>
  <r>
    <n v="2013"/>
    <x v="12"/>
    <x v="45"/>
    <x v="36"/>
    <x v="8"/>
    <s v="automatic"/>
    <s v="jn1cv6ap9dm715258"/>
    <s v="ca"/>
    <n v="26"/>
    <x v="192"/>
    <s v="white"/>
    <s v="tan"/>
    <s v="nissan infiniti lt"/>
    <n v="23900"/>
    <x v="27"/>
    <s v="Tue Dec 23 2014 12:30:00 GMT-0800 (PST)"/>
    <n v="2014"/>
    <x v="50"/>
    <x v="2"/>
    <s v="Medium"/>
  </r>
  <r>
    <n v="2013"/>
    <x v="7"/>
    <x v="50"/>
    <x v="38"/>
    <x v="1"/>
    <s v="automatic"/>
    <s v="kmhec4a41da089739"/>
    <s v="ca"/>
    <n v="47"/>
    <x v="193"/>
    <s v="silver"/>
    <s v="gray"/>
    <s v="hyundai motor america/co car"/>
    <n v="19100"/>
    <x v="73"/>
    <s v="Tue Dec 16 2014 12:00:00 GMT-0800 (PST)"/>
    <n v="2014"/>
    <x v="57"/>
    <x v="1"/>
    <s v="Medium"/>
  </r>
  <r>
    <n v="2013"/>
    <x v="7"/>
    <x v="51"/>
    <x v="45"/>
    <x v="5"/>
    <s v="automatic"/>
    <s v="kmhct5ae4du128991"/>
    <s v="ca"/>
    <n v="46"/>
    <x v="194"/>
    <s v="black"/>
    <s v="black"/>
    <s v="hyundai motor america/co car"/>
    <n v="10800"/>
    <x v="123"/>
    <s v="Tue Dec 16 2014 12:00:00 GMT-0800 (PST)"/>
    <n v="2014"/>
    <x v="65"/>
    <x v="1"/>
    <s v="Low"/>
  </r>
  <r>
    <n v="2013"/>
    <x v="7"/>
    <x v="32"/>
    <x v="41"/>
    <x v="1"/>
    <s v="automatic"/>
    <s v="5npdh4ae0dh335103"/>
    <s v="ca"/>
    <n v="35"/>
    <x v="195"/>
    <s v="beige"/>
    <s v="beige"/>
    <s v="avis corporation"/>
    <n v="11400"/>
    <x v="124"/>
    <s v="Tue Dec 16 2014 12:30:00 GMT-0800 (PST)"/>
    <n v="2014"/>
    <x v="55"/>
    <x v="2"/>
    <s v="Low"/>
  </r>
  <r>
    <n v="2013"/>
    <x v="12"/>
    <x v="45"/>
    <x v="36"/>
    <x v="8"/>
    <s v="automatic"/>
    <s v="jn1cv6ap1dm300757"/>
    <s v="ca"/>
    <n v="43"/>
    <x v="196"/>
    <s v="white"/>
    <s v="â€”"/>
    <s v="nissan infiniti lt"/>
    <n v="23600"/>
    <x v="88"/>
    <s v="Thu Dec 18 2014 12:30:00 GMT-0800 (PST)"/>
    <n v="2014"/>
    <x v="50"/>
    <x v="1"/>
    <s v="Medium"/>
  </r>
  <r>
    <n v="2013"/>
    <x v="12"/>
    <x v="46"/>
    <x v="37"/>
    <x v="0"/>
    <s v="automatic"/>
    <s v="jn8cs1mw7dm174050"/>
    <s v="ca"/>
    <n v="41"/>
    <x v="197"/>
    <s v="gray"/>
    <s v="black"/>
    <s v="infiniti financial services"/>
    <n v="27700"/>
    <x v="86"/>
    <s v="Tue Dec 23 2014 12:30:00 GMT-0800 (PST)"/>
    <n v="2014"/>
    <x v="51"/>
    <x v="1"/>
    <s v="Medium"/>
  </r>
  <r>
    <n v="2013"/>
    <x v="7"/>
    <x v="32"/>
    <x v="41"/>
    <x v="1"/>
    <s v="automatic"/>
    <s v="5npdh4ae4dh388614"/>
    <s v="ca"/>
    <n v="1"/>
    <x v="198"/>
    <s v="gray"/>
    <s v="gray"/>
    <s v="enterprise vehicle exchange / tra / rental / tulsa"/>
    <n v="12100"/>
    <x v="96"/>
    <s v="Tue Dec 16 2014 12:00:00 GMT-0800 (PST)"/>
    <n v="2014"/>
    <x v="55"/>
    <x v="0"/>
    <s v="Low"/>
  </r>
  <r>
    <n v="2013"/>
    <x v="12"/>
    <x v="45"/>
    <x v="36"/>
    <x v="8"/>
    <s v="automatic"/>
    <s v="jn1cv6ap6dm711376"/>
    <s v="ca"/>
    <n v="35"/>
    <x v="199"/>
    <s v="white"/>
    <s v="black"/>
    <s v="nissan infiniti lt"/>
    <n v="22600"/>
    <x v="102"/>
    <s v="Thu Dec 18 2014 12:30:00 GMT-0800 (PST)"/>
    <n v="2014"/>
    <x v="50"/>
    <x v="2"/>
    <s v="Medium"/>
  </r>
  <r>
    <n v="2013"/>
    <x v="12"/>
    <x v="45"/>
    <x v="36"/>
    <x v="8"/>
    <s v="automatic"/>
    <s v="jn1cv6ap7dm711712"/>
    <s v="ca"/>
    <n v="43"/>
    <x v="200"/>
    <s v="gray"/>
    <s v="black"/>
    <s v="nissan infiniti lt"/>
    <n v="23900"/>
    <x v="88"/>
    <s v="Thu Dec 18 2014 12:30:00 GMT-0800 (PST)"/>
    <n v="2014"/>
    <x v="50"/>
    <x v="1"/>
    <s v="Medium"/>
  </r>
  <r>
    <n v="2013"/>
    <x v="7"/>
    <x v="51"/>
    <x v="41"/>
    <x v="1"/>
    <s v="automatic"/>
    <s v="kmhct4ae3du421257"/>
    <s v="ca"/>
    <n v="36"/>
    <x v="201"/>
    <s v="gray"/>
    <s v="beige"/>
    <s v="dtg operations inc"/>
    <n v="9425"/>
    <x v="125"/>
    <s v="Tue Dec 16 2014 12:30:00 GMT-0800 (PST)"/>
    <n v="2014"/>
    <x v="62"/>
    <x v="2"/>
    <s v="Low"/>
  </r>
  <r>
    <n v="2013"/>
    <x v="7"/>
    <x v="54"/>
    <x v="5"/>
    <x v="1"/>
    <s v="automatic"/>
    <s v="kmhfg4jgxda201053"/>
    <s v="ca"/>
    <n v="45"/>
    <x v="202"/>
    <s v="silver"/>
    <s v="black"/>
    <s v="hyundai motor america/co car"/>
    <n v="20000"/>
    <x v="126"/>
    <s v="Tue Dec 16 2014 12:00:00 GMT-0800 (PST)"/>
    <n v="2014"/>
    <x v="66"/>
    <x v="1"/>
    <s v="Medium"/>
  </r>
  <r>
    <n v="2013"/>
    <x v="7"/>
    <x v="47"/>
    <x v="43"/>
    <x v="0"/>
    <s v="automatic"/>
    <s v="5xyzwdla8dg094937"/>
    <s v="ca"/>
    <n v="5"/>
    <x v="203"/>
    <s v="black"/>
    <s v="black"/>
    <s v="hyundai motor america/co car"/>
    <n v="19850"/>
    <x v="127"/>
    <s v="Tue Dec 16 2014 12:00:00 GMT-0800 (PST)"/>
    <n v="2014"/>
    <x v="61"/>
    <x v="0"/>
    <s v="Medium"/>
  </r>
  <r>
    <n v="2013"/>
    <x v="7"/>
    <x v="32"/>
    <x v="41"/>
    <x v="1"/>
    <s v="automatic"/>
    <s v="5npdh4ae0dh320214"/>
    <s v="ca"/>
    <n v="1"/>
    <x v="204"/>
    <s v="gray"/>
    <s v="gray"/>
    <s v="fox rent a car tra"/>
    <n v="11100"/>
    <x v="128"/>
    <s v="Tue Dec 16 2014 12:00:00 GMT-0800 (PST)"/>
    <n v="2014"/>
    <x v="55"/>
    <x v="0"/>
    <s v="Low"/>
  </r>
  <r>
    <n v="2013"/>
    <x v="7"/>
    <x v="50"/>
    <x v="5"/>
    <x v="1"/>
    <s v="automatic"/>
    <s v="kmhec4a46da091339"/>
    <s v="ca"/>
    <n v="44"/>
    <x v="205"/>
    <s v="white"/>
    <s v="tan"/>
    <s v="hyundai motor america/co car"/>
    <n v="14900"/>
    <x v="129"/>
    <s v="Tue Dec 16 2014 12:00:00 GMT-0800 (PST)"/>
    <n v="2014"/>
    <x v="67"/>
    <x v="1"/>
    <s v="Low"/>
  </r>
  <r>
    <n v="2013"/>
    <x v="12"/>
    <x v="45"/>
    <x v="36"/>
    <x v="8"/>
    <s v="automatic"/>
    <s v="jn1cv6ap3dm711108"/>
    <s v="ca"/>
    <n v="19"/>
    <x v="206"/>
    <s v="gray"/>
    <s v="beige"/>
    <s v="nissan infiniti lt"/>
    <n v="23700"/>
    <x v="130"/>
    <s v="Tue Dec 16 2014 12:30:00 GMT-0800 (PST)"/>
    <n v="2014"/>
    <x v="50"/>
    <x v="0"/>
    <s v="Medium"/>
  </r>
  <r>
    <n v="2013"/>
    <x v="7"/>
    <x v="32"/>
    <x v="41"/>
    <x v="1"/>
    <s v="automatic"/>
    <s v="5npdh4ae2dh375957"/>
    <s v="ca"/>
    <n v="2"/>
    <x v="207"/>
    <s v="gray"/>
    <s v="gray"/>
    <s v="enterprise vehicle exchange / tra / rental / tulsa"/>
    <n v="11500"/>
    <x v="131"/>
    <s v="Thu Dec 18 2014 12:00:00 GMT-0800 (PST)"/>
    <n v="2014"/>
    <x v="55"/>
    <x v="0"/>
    <s v="Low"/>
  </r>
  <r>
    <n v="2013"/>
    <x v="12"/>
    <x v="44"/>
    <x v="35"/>
    <x v="7"/>
    <s v="automatic"/>
    <s v="jn1cv6ek2dm920760"/>
    <s v="ca"/>
    <n v="41"/>
    <x v="208"/>
    <s v="black"/>
    <s v="black"/>
    <s v="nissan infiniti lt"/>
    <n v="25600"/>
    <x v="0"/>
    <s v="Thu Dec 18 2014 12:30:00 GMT-0800 (PST)"/>
    <n v="2014"/>
    <x v="49"/>
    <x v="1"/>
    <s v="Medium"/>
  </r>
  <r>
    <n v="2013"/>
    <x v="12"/>
    <x v="44"/>
    <x v="35"/>
    <x v="7"/>
    <s v="automatic"/>
    <s v="jn1cv6ek1dm921866"/>
    <s v="ca"/>
    <n v="26"/>
    <x v="209"/>
    <s v="black"/>
    <s v="black"/>
    <s v="nissan infiniti lt"/>
    <n v="26300"/>
    <x v="63"/>
    <s v="Tue Dec 16 2014 12:30:00 GMT-0800 (PST)"/>
    <n v="2014"/>
    <x v="49"/>
    <x v="2"/>
    <s v="Medium"/>
  </r>
  <r>
    <n v="2013"/>
    <x v="12"/>
    <x v="45"/>
    <x v="36"/>
    <x v="8"/>
    <s v="automatic"/>
    <s v="jn1cv6apxdm714507"/>
    <s v="ca"/>
    <n v="43"/>
    <x v="210"/>
    <s v="blue"/>
    <s v="black"/>
    <s v="nissan infiniti lt"/>
    <n v="22800"/>
    <x v="43"/>
    <s v="Thu Dec 18 2014 12:30:00 GMT-0800 (PST)"/>
    <n v="2014"/>
    <x v="50"/>
    <x v="1"/>
    <s v="Medium"/>
  </r>
  <r>
    <n v="2013"/>
    <x v="12"/>
    <x v="45"/>
    <x v="36"/>
    <x v="8"/>
    <s v="automatic"/>
    <s v="jn1cv6ap9dm711176"/>
    <s v="ca"/>
    <n v="37"/>
    <x v="211"/>
    <s v="gray"/>
    <s v="black"/>
    <s v="nissan infiniti lt"/>
    <n v="21400"/>
    <x v="29"/>
    <s v="Thu Jan 15 2015 04:30:00 GMT-0800 (PST)"/>
    <n v="2015"/>
    <x v="50"/>
    <x v="2"/>
    <s v="Medium"/>
  </r>
  <r>
    <n v="2013"/>
    <x v="7"/>
    <x v="55"/>
    <x v="41"/>
    <x v="0"/>
    <s v="automatic"/>
    <s v="km8ju3ac4du587297"/>
    <s v="ca"/>
    <n v="42"/>
    <x v="212"/>
    <s v="red"/>
    <s v="black"/>
    <s v="hyundai motor america/co car"/>
    <n v="16450"/>
    <x v="8"/>
    <s v="Tue Dec 16 2014 12:00:00 GMT-0800 (PST)"/>
    <n v="2014"/>
    <x v="68"/>
    <x v="1"/>
    <s v="Low"/>
  </r>
  <r>
    <n v="2013"/>
    <x v="12"/>
    <x v="45"/>
    <x v="36"/>
    <x v="8"/>
    <s v="automatic"/>
    <s v="jn1cv6ap0dm713933"/>
    <s v="ca"/>
    <n v="43"/>
    <x v="213"/>
    <s v="gray"/>
    <s v="black"/>
    <s v="nissan infiniti lt"/>
    <n v="22500"/>
    <x v="20"/>
    <s v="Thu Dec 18 2014 12:30:00 GMT-0800 (PST)"/>
    <n v="2014"/>
    <x v="50"/>
    <x v="1"/>
    <s v="Medium"/>
  </r>
  <r>
    <n v="2013"/>
    <x v="12"/>
    <x v="45"/>
    <x v="36"/>
    <x v="8"/>
    <s v="automatic"/>
    <s v="jn1cv6ap5dm715158"/>
    <s v="ca"/>
    <n v="21"/>
    <x v="214"/>
    <s v="gray"/>
    <s v="black"/>
    <s v="nissan infiniti lt"/>
    <n v="23000"/>
    <x v="29"/>
    <s v="Wed Dec 17 2014 12:30:00 GMT-0800 (PST)"/>
    <n v="2014"/>
    <x v="50"/>
    <x v="2"/>
    <s v="Medium"/>
  </r>
  <r>
    <n v="2013"/>
    <x v="7"/>
    <x v="12"/>
    <x v="41"/>
    <x v="1"/>
    <s v="automatic"/>
    <s v="5npeb4ac9dh760050"/>
    <s v="ca"/>
    <n v="38"/>
    <x v="215"/>
    <s v="white"/>
    <s v="tan"/>
    <s v="avis corporation"/>
    <n v="12250"/>
    <x v="132"/>
    <s v="Tue Dec 16 2014 12:30:00 GMT-0800 (PST)"/>
    <n v="2014"/>
    <x v="56"/>
    <x v="2"/>
    <s v="Low"/>
  </r>
  <r>
    <n v="2013"/>
    <x v="7"/>
    <x v="32"/>
    <x v="38"/>
    <x v="1"/>
    <s v="automatic"/>
    <s v="kmhdh4ae2du972303"/>
    <s v="ca"/>
    <n v="48"/>
    <x v="216"/>
    <s v="black"/>
    <s v="gray"/>
    <s v="hyundai motor america/co car"/>
    <n v="15350"/>
    <x v="101"/>
    <s v="Tue Dec 16 2014 12:00:00 GMT-0800 (PST)"/>
    <n v="2014"/>
    <x v="60"/>
    <x v="1"/>
    <s v="Low"/>
  </r>
  <r>
    <n v="2013"/>
    <x v="7"/>
    <x v="54"/>
    <x v="5"/>
    <x v="1"/>
    <s v="automatic"/>
    <s v="kmhfg4jg8da325905"/>
    <s v="ca"/>
    <n v="47"/>
    <x v="217"/>
    <s v="black"/>
    <s v="black"/>
    <s v="hyundai motor america/co car"/>
    <n v="21200"/>
    <x v="133"/>
    <s v="Tue Dec 16 2014 12:00:00 GMT-0800 (PST)"/>
    <n v="2014"/>
    <x v="66"/>
    <x v="1"/>
    <s v="Medium"/>
  </r>
  <r>
    <n v="2013"/>
    <x v="12"/>
    <x v="45"/>
    <x v="36"/>
    <x v="8"/>
    <s v="automatic"/>
    <s v="jn1cv6ap4dm302678"/>
    <s v="ca"/>
    <n v="47"/>
    <x v="218"/>
    <s v="gray"/>
    <s v="gray"/>
    <s v="nissan infiniti lt"/>
    <n v="23600"/>
    <x v="53"/>
    <s v="Thu Dec 18 2014 12:30:00 GMT-0800 (PST)"/>
    <n v="2014"/>
    <x v="50"/>
    <x v="1"/>
    <s v="Medium"/>
  </r>
  <r>
    <n v="2013"/>
    <x v="12"/>
    <x v="45"/>
    <x v="36"/>
    <x v="8"/>
    <s v="automatic"/>
    <s v="jn1cv6ap0dm712524"/>
    <s v="ca"/>
    <n v="44"/>
    <x v="219"/>
    <s v="white"/>
    <s v="black"/>
    <s v="nissan infiniti lt"/>
    <n v="23300"/>
    <x v="85"/>
    <s v="Wed Dec 17 2014 12:30:00 GMT-0800 (PST)"/>
    <n v="2014"/>
    <x v="50"/>
    <x v="1"/>
    <s v="Medium"/>
  </r>
  <r>
    <n v="2013"/>
    <x v="12"/>
    <x v="45"/>
    <x v="36"/>
    <x v="8"/>
    <s v="automatic"/>
    <s v="jn1cv6ap3dm301392"/>
    <s v="ca"/>
    <n v="44"/>
    <x v="220"/>
    <s v="brown"/>
    <s v="black"/>
    <s v="nissan infiniti lt"/>
    <n v="23900"/>
    <x v="114"/>
    <s v="Thu Dec 18 2014 12:30:00 GMT-0800 (PST)"/>
    <n v="2014"/>
    <x v="50"/>
    <x v="1"/>
    <s v="Medium"/>
  </r>
  <r>
    <n v="2013"/>
    <x v="7"/>
    <x v="50"/>
    <x v="38"/>
    <x v="1"/>
    <s v="automatic"/>
    <s v="kmhec4a49da092260"/>
    <s v="ca"/>
    <n v="42"/>
    <x v="221"/>
    <s v="white"/>
    <s v="beige"/>
    <s v="hyundai motor america/co car"/>
    <n v="17750"/>
    <x v="134"/>
    <s v="Tue Dec 16 2014 12:00:00 GMT-0800 (PST)"/>
    <n v="2014"/>
    <x v="57"/>
    <x v="1"/>
    <s v="Medium"/>
  </r>
  <r>
    <n v="2013"/>
    <x v="12"/>
    <x v="45"/>
    <x v="36"/>
    <x v="8"/>
    <s v="automatic"/>
    <s v="jn1cv6ap5dm713782"/>
    <s v="ca"/>
    <n v="27"/>
    <x v="222"/>
    <s v="gray"/>
    <s v="gray"/>
    <s v="nissan infiniti lt"/>
    <n v="22600"/>
    <x v="135"/>
    <s v="Tue Dec 16 2014 12:30:00 GMT-0800 (PST)"/>
    <n v="2014"/>
    <x v="50"/>
    <x v="2"/>
    <s v="Low"/>
  </r>
  <r>
    <n v="2013"/>
    <x v="7"/>
    <x v="54"/>
    <x v="5"/>
    <x v="1"/>
    <s v="automatic"/>
    <s v="kmhfh4jg7da330493"/>
    <s v="ca"/>
    <n v="43"/>
    <x v="223"/>
    <s v="silver"/>
    <s v="beige"/>
    <s v="hyundai motor america/co car"/>
    <n v="21000"/>
    <x v="136"/>
    <s v="Tue Dec 16 2014 12:00:00 GMT-0800 (PST)"/>
    <n v="2014"/>
    <x v="66"/>
    <x v="1"/>
    <s v="Medium"/>
  </r>
  <r>
    <n v="2013"/>
    <x v="12"/>
    <x v="44"/>
    <x v="35"/>
    <x v="7"/>
    <s v="automatic"/>
    <s v="jn1cv6ek5dm920106"/>
    <s v="ca"/>
    <n v="44"/>
    <x v="224"/>
    <s v="white"/>
    <s v="black"/>
    <s v="nissan infiniti lt"/>
    <n v="25300"/>
    <x v="95"/>
    <s v="Thu Dec 18 2014 12:30:00 GMT-0800 (PST)"/>
    <n v="2014"/>
    <x v="49"/>
    <x v="1"/>
    <s v="Medium"/>
  </r>
  <r>
    <n v="2013"/>
    <x v="7"/>
    <x v="12"/>
    <x v="41"/>
    <x v="1"/>
    <s v="automatic"/>
    <s v="5npeb4ac1dh680502"/>
    <s v="ca"/>
    <n v="34"/>
    <x v="225"/>
    <s v="blue"/>
    <s v="gray"/>
    <s v="avis rac/san leandro"/>
    <n v="11500"/>
    <x v="110"/>
    <s v="Wed Dec 31 2014 12:30:00 GMT-0800 (PST)"/>
    <n v="2014"/>
    <x v="56"/>
    <x v="2"/>
    <s v="Low"/>
  </r>
  <r>
    <n v="2013"/>
    <x v="12"/>
    <x v="45"/>
    <x v="36"/>
    <x v="8"/>
    <s v="automatic"/>
    <s v="jn1cv6apxdm714605"/>
    <s v="ca"/>
    <n v="45"/>
    <x v="226"/>
    <s v="white"/>
    <s v="black"/>
    <s v="nissan infiniti lt"/>
    <n v="23300"/>
    <x v="106"/>
    <s v="Thu Dec 18 2014 12:30:00 GMT-0800 (PST)"/>
    <n v="2014"/>
    <x v="50"/>
    <x v="1"/>
    <s v="Medium"/>
  </r>
  <r>
    <n v="2013"/>
    <x v="7"/>
    <x v="48"/>
    <x v="39"/>
    <x v="1"/>
    <s v="automatic"/>
    <s v="kmhgc4dh8du258211"/>
    <s v="ca"/>
    <n v="39"/>
    <x v="227"/>
    <s v="white"/>
    <s v="black"/>
    <s v="hyundai motor america/co car"/>
    <n v="27900"/>
    <x v="34"/>
    <s v="Tue Dec 16 2014 12:00:00 GMT-0800 (PST)"/>
    <n v="2014"/>
    <x v="53"/>
    <x v="2"/>
    <s v="Medium"/>
  </r>
  <r>
    <n v="2013"/>
    <x v="7"/>
    <x v="49"/>
    <x v="46"/>
    <x v="1"/>
    <s v="automatic"/>
    <s v="kmhgh4jh3du064689"/>
    <s v="ca"/>
    <n v="43"/>
    <x v="228"/>
    <s v="white"/>
    <s v="beige"/>
    <s v="hyundai buybacks"/>
    <n v="36800"/>
    <x v="85"/>
    <s v="Tue Dec 16 2014 12:00:00 GMT-0800 (PST)"/>
    <n v="2014"/>
    <x v="69"/>
    <x v="1"/>
    <s v="Medium"/>
  </r>
  <r>
    <n v="2013"/>
    <x v="12"/>
    <x v="45"/>
    <x v="36"/>
    <x v="8"/>
    <s v="automatic"/>
    <s v="jn1cv6ap7dm713816"/>
    <s v="ca"/>
    <n v="47"/>
    <x v="229"/>
    <s v="white"/>
    <s v="beige"/>
    <s v="nissan infiniti lt"/>
    <n v="22600"/>
    <x v="56"/>
    <s v="Thu Dec 18 2014 12:30:00 GMT-0800 (PST)"/>
    <n v="2014"/>
    <x v="50"/>
    <x v="1"/>
    <s v="Medium"/>
  </r>
  <r>
    <n v="2013"/>
    <x v="7"/>
    <x v="12"/>
    <x v="41"/>
    <x v="1"/>
    <s v="automatic"/>
    <s v="5npeb4acxdh752037"/>
    <s v="ca"/>
    <n v="37"/>
    <x v="230"/>
    <s v="blue"/>
    <s v="gray"/>
    <s v="avis corporation"/>
    <n v="12000"/>
    <x v="137"/>
    <s v="Thu Dec 18 2014 11:30:00 GMT-0800 (PST)"/>
    <n v="2014"/>
    <x v="56"/>
    <x v="2"/>
    <s v="Low"/>
  </r>
  <r>
    <n v="2013"/>
    <x v="7"/>
    <x v="32"/>
    <x v="41"/>
    <x v="1"/>
    <s v="automatic"/>
    <s v="5npdh4ae7dh327127"/>
    <s v="ca"/>
    <n v="2"/>
    <x v="231"/>
    <s v="gray"/>
    <s v="gray"/>
    <s v="enterprise vehicle exchange / tra / rental / tulsa"/>
    <n v="11900"/>
    <x v="131"/>
    <s v="Tue Dec 16 2014 12:00:00 GMT-0800 (PST)"/>
    <n v="2014"/>
    <x v="55"/>
    <x v="0"/>
    <s v="Low"/>
  </r>
  <r>
    <n v="2013"/>
    <x v="7"/>
    <x v="32"/>
    <x v="41"/>
    <x v="1"/>
    <s v="automatic"/>
    <s v="kmhdh4ae7du946909"/>
    <s v="ca"/>
    <n v="48"/>
    <x v="232"/>
    <s v="red"/>
    <s v="beige"/>
    <s v="hyundai buybacks"/>
    <n v="13150"/>
    <x v="138"/>
    <s v="Tue Dec 16 2014 12:00:00 GMT-0800 (PST)"/>
    <n v="2014"/>
    <x v="55"/>
    <x v="1"/>
    <s v="Low"/>
  </r>
  <r>
    <n v="2013"/>
    <x v="12"/>
    <x v="45"/>
    <x v="36"/>
    <x v="8"/>
    <s v="automatic"/>
    <s v="jn1cv6ap1dm712273"/>
    <s v="ca"/>
    <n v="39"/>
    <x v="233"/>
    <s v="gray"/>
    <s v="black"/>
    <s v="nissan infiniti lt"/>
    <n v="22400"/>
    <x v="78"/>
    <s v="Thu Dec 18 2014 12:30:00 GMT-0800 (PST)"/>
    <n v="2014"/>
    <x v="50"/>
    <x v="2"/>
    <s v="Medium"/>
  </r>
  <r>
    <n v="2013"/>
    <x v="12"/>
    <x v="45"/>
    <x v="36"/>
    <x v="8"/>
    <s v="automatic"/>
    <s v="jn1cv6ap5dm721977"/>
    <s v="ca"/>
    <n v="34"/>
    <x v="234"/>
    <s v="gray"/>
    <s v="black"/>
    <s v="nissan infiniti lt"/>
    <n v="23900"/>
    <x v="102"/>
    <s v="Thu Dec 18 2014 12:30:00 GMT-0800 (PST)"/>
    <n v="2014"/>
    <x v="50"/>
    <x v="2"/>
    <s v="Medium"/>
  </r>
  <r>
    <n v="2013"/>
    <x v="12"/>
    <x v="45"/>
    <x v="36"/>
    <x v="8"/>
    <s v="automatic"/>
    <s v="jn1cv6ap3dm710802"/>
    <s v="ca"/>
    <n v="43"/>
    <x v="235"/>
    <s v="gray"/>
    <s v="gray"/>
    <s v="nissan infiniti lt"/>
    <n v="23400"/>
    <x v="114"/>
    <s v="Thu Dec 18 2014 12:30:00 GMT-0800 (PST)"/>
    <n v="2014"/>
    <x v="50"/>
    <x v="1"/>
    <s v="Medium"/>
  </r>
  <r>
    <n v="2013"/>
    <x v="7"/>
    <x v="32"/>
    <x v="41"/>
    <x v="1"/>
    <s v="automatic"/>
    <s v="kmhdh4ae2du726688"/>
    <s v="ca"/>
    <m/>
    <x v="236"/>
    <s v="red"/>
    <s v="beige"/>
    <s v="enterprise vehicle exchange / tra / rental / tulsa"/>
    <n v="11400"/>
    <x v="139"/>
    <s v="Tue Dec 16 2014 13:00:00 GMT-0800 (PST)"/>
    <n v="2014"/>
    <x v="55"/>
    <x v="0"/>
    <s v="Low"/>
  </r>
  <r>
    <n v="2013"/>
    <x v="12"/>
    <x v="45"/>
    <x v="36"/>
    <x v="8"/>
    <s v="automatic"/>
    <s v="jn1cv6ap2dm712489"/>
    <s v="ca"/>
    <n v="37"/>
    <x v="237"/>
    <s v="white"/>
    <s v="black"/>
    <s v="nissan infiniti lt"/>
    <n v="23200"/>
    <x v="102"/>
    <s v="Tue Dec 23 2014 12:30:00 GMT-0800 (PST)"/>
    <n v="2014"/>
    <x v="50"/>
    <x v="2"/>
    <s v="Medium"/>
  </r>
  <r>
    <n v="2013"/>
    <x v="7"/>
    <x v="52"/>
    <x v="44"/>
    <x v="5"/>
    <s v="automatic"/>
    <s v="kmhtc6ae3du146243"/>
    <s v="ca"/>
    <n v="42"/>
    <x v="238"/>
    <s v="black"/>
    <s v="black"/>
    <s v="hyundai motor america/co car"/>
    <n v="15050"/>
    <x v="140"/>
    <s v="Tue Dec 16 2014 12:00:00 GMT-0800 (PST)"/>
    <n v="2014"/>
    <x v="63"/>
    <x v="1"/>
    <s v="Low"/>
  </r>
  <r>
    <n v="2013"/>
    <x v="12"/>
    <x v="45"/>
    <x v="36"/>
    <x v="8"/>
    <s v="automatic"/>
    <s v="jn1cv6ap4dm715250"/>
    <s v="ca"/>
    <n v="44"/>
    <x v="239"/>
    <s v="gray"/>
    <s v="black"/>
    <s v="nissan infiniti lt"/>
    <n v="23700"/>
    <x v="105"/>
    <s v="Thu Dec 18 2014 12:30:00 GMT-0800 (PST)"/>
    <n v="2014"/>
    <x v="50"/>
    <x v="1"/>
    <s v="Medium"/>
  </r>
  <r>
    <n v="2013"/>
    <x v="12"/>
    <x v="45"/>
    <x v="36"/>
    <x v="8"/>
    <s v="automatic"/>
    <s v="jn1cv6ap0dm714516"/>
    <s v="ca"/>
    <n v="4"/>
    <x v="240"/>
    <s v="silver"/>
    <s v="black"/>
    <s v="nissan infiniti lt"/>
    <n v="23800"/>
    <x v="88"/>
    <s v="Thu Dec 18 2014 12:30:00 GMT-0800 (PST)"/>
    <n v="2014"/>
    <x v="50"/>
    <x v="0"/>
    <s v="Medium"/>
  </r>
  <r>
    <n v="2013"/>
    <x v="7"/>
    <x v="50"/>
    <x v="5"/>
    <x v="1"/>
    <s v="automatic"/>
    <s v="kmhec4a4xda091084"/>
    <s v="ca"/>
    <n v="44"/>
    <x v="241"/>
    <s v="silver"/>
    <s v="gray"/>
    <s v="hyundai motor america/co car"/>
    <n v="15450"/>
    <x v="141"/>
    <s v="Tue Dec 16 2014 12:00:00 GMT-0800 (PST)"/>
    <n v="2014"/>
    <x v="67"/>
    <x v="1"/>
    <s v="Low"/>
  </r>
  <r>
    <n v="2013"/>
    <x v="12"/>
    <x v="45"/>
    <x v="36"/>
    <x v="8"/>
    <s v="automatic"/>
    <s v="jn1cv6apxdm300417"/>
    <s v="ca"/>
    <n v="36"/>
    <x v="242"/>
    <s v="black"/>
    <s v="black"/>
    <s v="nissan infiniti lt"/>
    <n v="23100"/>
    <x v="29"/>
    <s v="Thu Dec 18 2014 12:30:00 GMT-0800 (PST)"/>
    <n v="2014"/>
    <x v="50"/>
    <x v="2"/>
    <s v="Medium"/>
  </r>
  <r>
    <n v="2013"/>
    <x v="12"/>
    <x v="45"/>
    <x v="36"/>
    <x v="8"/>
    <s v="automatic"/>
    <s v="jn1cv6ap3dm714428"/>
    <s v="ca"/>
    <n v="46"/>
    <x v="243"/>
    <s v="black"/>
    <s v="black"/>
    <s v="nissan infiniti lt"/>
    <n v="23000"/>
    <x v="107"/>
    <s v="Thu Dec 18 2014 12:30:00 GMT-0800 (PST)"/>
    <n v="2014"/>
    <x v="50"/>
    <x v="1"/>
    <s v="Medium"/>
  </r>
  <r>
    <n v="2013"/>
    <x v="7"/>
    <x v="12"/>
    <x v="41"/>
    <x v="1"/>
    <s v="automatic"/>
    <s v="5npeb4ac3dh722331"/>
    <s v="ca"/>
    <n v="2"/>
    <x v="244"/>
    <s v="gray"/>
    <s v="gray"/>
    <s v="fox rent a car tra"/>
    <n v="11650"/>
    <x v="142"/>
    <s v="Tue Dec 16 2014 12:00:00 GMT-0800 (PST)"/>
    <n v="2014"/>
    <x v="56"/>
    <x v="0"/>
    <s v="Low"/>
  </r>
  <r>
    <n v="2013"/>
    <x v="12"/>
    <x v="44"/>
    <x v="35"/>
    <x v="7"/>
    <s v="automatic"/>
    <s v="jn1cv6ek7dm921385"/>
    <s v="ca"/>
    <n v="4"/>
    <x v="245"/>
    <s v="gray"/>
    <s v="black"/>
    <s v="nissan infiniti lt"/>
    <n v="23900"/>
    <x v="102"/>
    <s v="Thu Dec 18 2014 12:30:00 GMT-0800 (PST)"/>
    <n v="2014"/>
    <x v="49"/>
    <x v="0"/>
    <s v="Medium"/>
  </r>
  <r>
    <n v="2013"/>
    <x v="12"/>
    <x v="45"/>
    <x v="36"/>
    <x v="8"/>
    <s v="automatic"/>
    <s v="jn1cv6ap2dm714792"/>
    <s v="ca"/>
    <n v="41"/>
    <x v="246"/>
    <s v="white"/>
    <s v="beige"/>
    <s v="nissan infiniti lt"/>
    <n v="22100"/>
    <x v="29"/>
    <s v="Thu Dec 18 2014 12:30:00 GMT-0800 (PST)"/>
    <n v="2014"/>
    <x v="50"/>
    <x v="1"/>
    <s v="Medium"/>
  </r>
  <r>
    <n v="2013"/>
    <x v="7"/>
    <x v="32"/>
    <x v="41"/>
    <x v="1"/>
    <s v="automatic"/>
    <s v="5npdh4ae4dh385955"/>
    <s v="ca"/>
    <n v="1"/>
    <x v="247"/>
    <s v="red"/>
    <s v="beige"/>
    <s v="enterprise vehicle exchange / tra / rental / tulsa"/>
    <n v="11400"/>
    <x v="125"/>
    <s v="Wed Dec 17 2014 15:05:00 GMT-0800 (PST)"/>
    <n v="2014"/>
    <x v="55"/>
    <x v="0"/>
    <s v="Low"/>
  </r>
  <r>
    <n v="2013"/>
    <x v="12"/>
    <x v="44"/>
    <x v="35"/>
    <x v="7"/>
    <s v="automatic"/>
    <s v="jn1cv6ek3dm920766"/>
    <s v="ca"/>
    <n v="44"/>
    <x v="248"/>
    <s v="white"/>
    <s v="gray"/>
    <s v="nissan infiniti lt"/>
    <n v="26100"/>
    <x v="109"/>
    <s v="Thu Dec 18 2014 12:30:00 GMT-0800 (PST)"/>
    <n v="2014"/>
    <x v="49"/>
    <x v="1"/>
    <s v="Medium"/>
  </r>
  <r>
    <n v="2013"/>
    <x v="7"/>
    <x v="54"/>
    <x v="5"/>
    <x v="1"/>
    <s v="automatic"/>
    <s v="kmhfh4jg5da257916"/>
    <s v="ca"/>
    <n v="36"/>
    <x v="249"/>
    <s v="black"/>
    <s v="black"/>
    <s v="hyundai motor america/co car"/>
    <n v="21800"/>
    <x v="133"/>
    <s v="Tue Dec 16 2014 12:00:00 GMT-0800 (PST)"/>
    <n v="2014"/>
    <x v="66"/>
    <x v="2"/>
    <s v="Medium"/>
  </r>
  <r>
    <n v="2013"/>
    <x v="7"/>
    <x v="50"/>
    <x v="38"/>
    <x v="1"/>
    <s v="automatic"/>
    <s v="kmhec4a4xda091246"/>
    <s v="ca"/>
    <n v="43"/>
    <x v="250"/>
    <s v="red"/>
    <s v="beige"/>
    <s v="hyundai motor america/co car"/>
    <n v="17150"/>
    <x v="143"/>
    <s v="Tue Dec 16 2014 12:00:00 GMT-0800 (PST)"/>
    <n v="2014"/>
    <x v="57"/>
    <x v="1"/>
    <s v="Low"/>
  </r>
  <r>
    <n v="2013"/>
    <x v="12"/>
    <x v="45"/>
    <x v="36"/>
    <x v="8"/>
    <s v="automatic"/>
    <s v="jn1cv6ap1dm719644"/>
    <s v="ca"/>
    <n v="45"/>
    <x v="251"/>
    <s v="gray"/>
    <s v="black"/>
    <s v="nissan infiniti lt"/>
    <n v="22800"/>
    <x v="62"/>
    <s v="Thu Dec 18 2014 12:30:00 GMT-0800 (PST)"/>
    <n v="2014"/>
    <x v="50"/>
    <x v="1"/>
    <s v="Medium"/>
  </r>
  <r>
    <n v="2013"/>
    <x v="7"/>
    <x v="51"/>
    <x v="41"/>
    <x v="1"/>
    <s v="automatic"/>
    <s v="kmhct4ae6du523099"/>
    <s v="ca"/>
    <n v="2"/>
    <x v="252"/>
    <s v="white"/>
    <s v="beige"/>
    <s v="enterprise vehicle exchange / tra / rental / tulsa"/>
    <n v="9675"/>
    <x v="144"/>
    <s v="Tue Dec 16 2014 12:00:00 GMT-0800 (PST)"/>
    <n v="2014"/>
    <x v="62"/>
    <x v="0"/>
    <s v="Low"/>
  </r>
  <r>
    <n v="2013"/>
    <x v="12"/>
    <x v="45"/>
    <x v="36"/>
    <x v="8"/>
    <s v="automatic"/>
    <s v="jn1cv6apxdm710375"/>
    <s v="ca"/>
    <n v="32"/>
    <x v="253"/>
    <s v="gray"/>
    <s v="black"/>
    <s v="nissan infiniti lt"/>
    <n v="22200"/>
    <x v="29"/>
    <s v="Thu Dec 18 2014 12:30:00 GMT-0800 (PST)"/>
    <n v="2014"/>
    <x v="50"/>
    <x v="2"/>
    <s v="Medium"/>
  </r>
  <r>
    <n v="2013"/>
    <x v="7"/>
    <x v="51"/>
    <x v="10"/>
    <x v="5"/>
    <s v="automatic"/>
    <s v="kmhcu5ae2du138898"/>
    <s v="ca"/>
    <n v="49"/>
    <x v="254"/>
    <s v="gray"/>
    <s v="black"/>
    <s v="hyundai motor america/co car"/>
    <n v="11300"/>
    <x v="110"/>
    <s v="Tue Dec 16 2014 12:00:00 GMT-0800 (PST)"/>
    <n v="2014"/>
    <x v="70"/>
    <x v="1"/>
    <s v="Low"/>
  </r>
  <r>
    <n v="2013"/>
    <x v="7"/>
    <x v="32"/>
    <x v="41"/>
    <x v="1"/>
    <s v="automatic"/>
    <s v="5npdh4ae0dh344075"/>
    <s v="ca"/>
    <n v="44"/>
    <x v="255"/>
    <s v="gray"/>
    <s v="beige"/>
    <s v="enterprise vehicle exchange/orange"/>
    <n v="11350"/>
    <x v="41"/>
    <s v="Tue Dec 16 2014 12:30:00 GMT-0800 (PST)"/>
    <n v="2014"/>
    <x v="55"/>
    <x v="1"/>
    <s v="Low"/>
  </r>
  <r>
    <n v="2013"/>
    <x v="12"/>
    <x v="45"/>
    <x v="36"/>
    <x v="8"/>
    <s v="automatic"/>
    <s v="jn1cv6apxdm712482"/>
    <s v="ca"/>
    <n v="44"/>
    <x v="256"/>
    <s v="white"/>
    <s v="black"/>
    <s v="nissan infiniti lt"/>
    <n v="23100"/>
    <x v="106"/>
    <s v="Wed Dec 17 2014 12:30:00 GMT-0800 (PST)"/>
    <n v="2014"/>
    <x v="50"/>
    <x v="1"/>
    <s v="Medium"/>
  </r>
  <r>
    <n v="2013"/>
    <x v="7"/>
    <x v="12"/>
    <x v="41"/>
    <x v="1"/>
    <s v="automatic"/>
    <s v="5npeb4ac8dh687043"/>
    <s v="ca"/>
    <n v="28"/>
    <x v="257"/>
    <s v="silver"/>
    <s v="gray"/>
    <s v="skyhigh remarketing inc"/>
    <n v="12400"/>
    <x v="145"/>
    <s v="Wed Dec 17 2014 12:15:00 GMT-0800 (PST)"/>
    <n v="2014"/>
    <x v="56"/>
    <x v="2"/>
    <s v="Low"/>
  </r>
  <r>
    <n v="2013"/>
    <x v="7"/>
    <x v="12"/>
    <x v="41"/>
    <x v="1"/>
    <s v="automatic"/>
    <s v="5npeb4ac5dh745416"/>
    <s v="ca"/>
    <n v="42"/>
    <x v="258"/>
    <s v="white"/>
    <s v="beige"/>
    <s v="enterprise veh exchange/rental"/>
    <n v="11900"/>
    <x v="11"/>
    <s v="Thu Dec 18 2014 11:30:00 GMT-0800 (PST)"/>
    <n v="2014"/>
    <x v="56"/>
    <x v="1"/>
    <s v="Low"/>
  </r>
  <r>
    <n v="2013"/>
    <x v="12"/>
    <x v="44"/>
    <x v="35"/>
    <x v="7"/>
    <s v="automatic"/>
    <s v="jn1cv6ek9dm921386"/>
    <s v="ca"/>
    <n v="48"/>
    <x v="259"/>
    <s v="gray"/>
    <s v="black"/>
    <s v="nissan infiniti lt"/>
    <n v="26100"/>
    <x v="56"/>
    <s v="Wed Dec 17 2014 12:30:00 GMT-0800 (PST)"/>
    <n v="2014"/>
    <x v="49"/>
    <x v="1"/>
    <s v="Medium"/>
  </r>
  <r>
    <n v="2013"/>
    <x v="12"/>
    <x v="45"/>
    <x v="36"/>
    <x v="8"/>
    <s v="automatic"/>
    <s v="jn1cv6ap8dm301100"/>
    <s v="ca"/>
    <n v="45"/>
    <x v="260"/>
    <s v="white"/>
    <s v="black"/>
    <s v="nissan infiniti lt"/>
    <n v="23100"/>
    <x v="113"/>
    <s v="Thu Dec 18 2014 12:30:00 GMT-0800 (PST)"/>
    <n v="2014"/>
    <x v="50"/>
    <x v="1"/>
    <s v="Medium"/>
  </r>
  <r>
    <n v="2013"/>
    <x v="12"/>
    <x v="45"/>
    <x v="36"/>
    <x v="8"/>
    <s v="automatic"/>
    <s v="jn1cv6ap8dm712058"/>
    <s v="ca"/>
    <n v="38"/>
    <x v="261"/>
    <s v="gray"/>
    <s v="black"/>
    <s v="nissan infiniti lt"/>
    <n v="23300"/>
    <x v="146"/>
    <s v="Thu Dec 18 2014 12:30:00 GMT-0800 (PST)"/>
    <n v="2014"/>
    <x v="50"/>
    <x v="2"/>
    <s v="Medium"/>
  </r>
  <r>
    <n v="2013"/>
    <x v="7"/>
    <x v="12"/>
    <x v="38"/>
    <x v="1"/>
    <s v="automatic"/>
    <s v="5npec4ab6dh539798"/>
    <s v="ca"/>
    <n v="39"/>
    <x v="262"/>
    <s v="gray"/>
    <s v="gray"/>
    <s v="hyundai motor america/co car"/>
    <n v="15750"/>
    <x v="147"/>
    <s v="Tue Feb 17 2015 04:00:00 GMT-0800 (PST)"/>
    <n v="2015"/>
    <x v="59"/>
    <x v="2"/>
    <s v="Low"/>
  </r>
  <r>
    <n v="2013"/>
    <x v="12"/>
    <x v="44"/>
    <x v="35"/>
    <x v="7"/>
    <s v="automatic"/>
    <s v="jn1cv6ekxdm921560"/>
    <s v="ca"/>
    <n v="42"/>
    <x v="263"/>
    <s v="gray"/>
    <s v="black"/>
    <s v="nissan infiniti lt"/>
    <n v="24900"/>
    <x v="85"/>
    <s v="Thu Dec 18 2014 12:30:00 GMT-0800 (PST)"/>
    <n v="2014"/>
    <x v="49"/>
    <x v="1"/>
    <s v="Medium"/>
  </r>
  <r>
    <n v="2013"/>
    <x v="7"/>
    <x v="48"/>
    <x v="47"/>
    <x v="1"/>
    <s v="automatic"/>
    <s v="kmhgc4dd2du221961"/>
    <s v="ca"/>
    <n v="46"/>
    <x v="264"/>
    <s v="silver"/>
    <s v="black"/>
    <s v="hyundai motor america/co car"/>
    <n v="18650"/>
    <x v="136"/>
    <s v="Tue Dec 16 2014 12:00:00 GMT-0800 (PST)"/>
    <n v="2014"/>
    <x v="71"/>
    <x v="1"/>
    <s v="Medium"/>
  </r>
  <r>
    <n v="2013"/>
    <x v="7"/>
    <x v="47"/>
    <x v="43"/>
    <x v="0"/>
    <s v="automatic"/>
    <s v="5xyzu3laxdg105372"/>
    <s v="ca"/>
    <n v="46"/>
    <x v="265"/>
    <s v="gray"/>
    <s v="black"/>
    <s v="hyundai motor america/co car"/>
    <n v="21600"/>
    <x v="133"/>
    <s v="Tue Dec 16 2014 12:00:00 GMT-0800 (PST)"/>
    <n v="2014"/>
    <x v="61"/>
    <x v="1"/>
    <s v="Medium"/>
  </r>
  <r>
    <n v="2013"/>
    <x v="7"/>
    <x v="12"/>
    <x v="41"/>
    <x v="1"/>
    <s v="automatic"/>
    <s v="5npeb4ac0dh721038"/>
    <s v="ca"/>
    <n v="37"/>
    <x v="266"/>
    <s v="black"/>
    <s v="gray"/>
    <s v="hyundai motor finance"/>
    <n v="12400"/>
    <x v="148"/>
    <s v="Tue Jan 27 2015 04:30:00 GMT-0800 (PST)"/>
    <n v="2015"/>
    <x v="56"/>
    <x v="2"/>
    <s v="Low"/>
  </r>
  <r>
    <n v="2013"/>
    <x v="7"/>
    <x v="32"/>
    <x v="41"/>
    <x v="1"/>
    <s v="automatic"/>
    <s v="kmhdh4ae4du797598"/>
    <s v="ca"/>
    <n v="24"/>
    <x v="267"/>
    <s v="black"/>
    <s v="gray"/>
    <s v="hyundai motor finance"/>
    <n v="11500"/>
    <x v="25"/>
    <s v="Tue Dec 16 2014 12:00:00 GMT-0800 (PST)"/>
    <n v="2014"/>
    <x v="55"/>
    <x v="2"/>
    <s v="Low"/>
  </r>
  <r>
    <n v="2013"/>
    <x v="12"/>
    <x v="45"/>
    <x v="36"/>
    <x v="8"/>
    <s v="automatic"/>
    <s v="jn1cv6ap1dm714069"/>
    <s v="ca"/>
    <n v="44"/>
    <x v="268"/>
    <s v="blue"/>
    <s v="gray"/>
    <s v="nissan infiniti lt"/>
    <n v="22200"/>
    <x v="97"/>
    <s v="Thu Dec 18 2014 12:30:00 GMT-0800 (PST)"/>
    <n v="2014"/>
    <x v="50"/>
    <x v="1"/>
    <s v="Medium"/>
  </r>
  <r>
    <n v="2013"/>
    <x v="7"/>
    <x v="48"/>
    <x v="47"/>
    <x v="1"/>
    <s v="automatic"/>
    <s v="kmhgc4dd0du214801"/>
    <s v="ca"/>
    <n v="3"/>
    <x v="269"/>
    <s v="white"/>
    <s v="beige"/>
    <s v="remarketing by ge/film vehicle services"/>
    <n v="18800"/>
    <x v="63"/>
    <s v="Tue Dec 16 2014 12:00:00 GMT-0800 (PST)"/>
    <n v="2014"/>
    <x v="71"/>
    <x v="0"/>
    <s v="Medium"/>
  </r>
  <r>
    <n v="2013"/>
    <x v="7"/>
    <x v="32"/>
    <x v="41"/>
    <x v="1"/>
    <s v="automatic"/>
    <s v="5npdh4ae8dh375848"/>
    <s v="ca"/>
    <n v="38"/>
    <x v="270"/>
    <s v="gray"/>
    <s v="gray"/>
    <s v="avis corporation"/>
    <n v="11350"/>
    <x v="124"/>
    <s v="Tue Dec 16 2014 12:30:00 GMT-0800 (PST)"/>
    <n v="2014"/>
    <x v="55"/>
    <x v="2"/>
    <s v="Low"/>
  </r>
  <r>
    <n v="2013"/>
    <x v="7"/>
    <x v="32"/>
    <x v="41"/>
    <x v="1"/>
    <s v="automatic"/>
    <s v="5npdh4ae9dh243696"/>
    <s v="ca"/>
    <n v="44"/>
    <x v="271"/>
    <s v="gray"/>
    <s v="gray"/>
    <s v="hyundai motor america/co car"/>
    <n v="12500"/>
    <x v="149"/>
    <s v="Tue Dec 16 2014 12:00:00 GMT-0800 (PST)"/>
    <n v="2014"/>
    <x v="55"/>
    <x v="1"/>
    <s v="Low"/>
  </r>
  <r>
    <n v="2013"/>
    <x v="12"/>
    <x v="44"/>
    <x v="35"/>
    <x v="7"/>
    <s v="automatic"/>
    <s v="jn1cv6ek5dm900664"/>
    <s v="ca"/>
    <n v="44"/>
    <x v="272"/>
    <s v="black"/>
    <s v="black"/>
    <s v="nissan infiniti lt"/>
    <n v="25700"/>
    <x v="118"/>
    <s v="Thu Dec 18 2014 12:30:00 GMT-0800 (PST)"/>
    <n v="2014"/>
    <x v="49"/>
    <x v="1"/>
    <s v="Medium"/>
  </r>
  <r>
    <n v="2013"/>
    <x v="12"/>
    <x v="45"/>
    <x v="36"/>
    <x v="8"/>
    <s v="automatic"/>
    <s v="jn1cv6ap9dm713509"/>
    <s v="ca"/>
    <n v="38"/>
    <x v="273"/>
    <s v="silver"/>
    <s v="black"/>
    <s v="nissan infiniti lt"/>
    <n v="22300"/>
    <x v="0"/>
    <s v="Thu Dec 18 2014 12:30:00 GMT-0800 (PST)"/>
    <n v="2014"/>
    <x v="50"/>
    <x v="2"/>
    <s v="Medium"/>
  </r>
  <r>
    <n v="2013"/>
    <x v="7"/>
    <x v="47"/>
    <x v="43"/>
    <x v="0"/>
    <s v="automatic"/>
    <s v="5xyzwdla5dg083054"/>
    <s v="ca"/>
    <n v="45"/>
    <x v="274"/>
    <s v="gray"/>
    <s v="black"/>
    <s v="hyundai motor america/co car"/>
    <n v="19800"/>
    <x v="118"/>
    <s v="Tue Dec 16 2014 12:00:00 GMT-0800 (PST)"/>
    <n v="2014"/>
    <x v="61"/>
    <x v="1"/>
    <s v="Medium"/>
  </r>
  <r>
    <n v="2013"/>
    <x v="7"/>
    <x v="53"/>
    <x v="45"/>
    <x v="9"/>
    <s v="automatic"/>
    <s v="kmhdh6ae8du017422"/>
    <s v="ca"/>
    <n v="1"/>
    <x v="275"/>
    <s v="blue"/>
    <s v="gray"/>
    <s v="hyundai motor finance"/>
    <n v="8025"/>
    <x v="150"/>
    <s v="Tue Jan 27 2015 04:00:00 GMT-0800 (PST)"/>
    <n v="2015"/>
    <x v="72"/>
    <x v="0"/>
    <s v="Low"/>
  </r>
  <r>
    <n v="2013"/>
    <x v="12"/>
    <x v="45"/>
    <x v="36"/>
    <x v="8"/>
    <s v="automatic"/>
    <s v="jn1cv6apxdm717651"/>
    <s v="ca"/>
    <n v="44"/>
    <x v="276"/>
    <s v="blue"/>
    <s v="black"/>
    <s v="nissan infiniti lt"/>
    <n v="23800"/>
    <x v="107"/>
    <s v="Wed Dec 17 2014 12:30:00 GMT-0800 (PST)"/>
    <n v="2014"/>
    <x v="50"/>
    <x v="1"/>
    <s v="Medium"/>
  </r>
  <r>
    <n v="2013"/>
    <x v="7"/>
    <x v="32"/>
    <x v="41"/>
    <x v="1"/>
    <s v="automatic"/>
    <s v="5npdh4ae1dh345719"/>
    <s v="ca"/>
    <n v="46"/>
    <x v="277"/>
    <s v="gray"/>
    <s v="beige"/>
    <s v="enterprise veh exchange/rental"/>
    <n v="11150"/>
    <x v="123"/>
    <s v="Thu Dec 18 2014 11:30:00 GMT-0800 (PST)"/>
    <n v="2014"/>
    <x v="55"/>
    <x v="1"/>
    <s v="Low"/>
  </r>
  <r>
    <n v="2013"/>
    <x v="7"/>
    <x v="49"/>
    <x v="46"/>
    <x v="1"/>
    <s v="automatic"/>
    <s v="kmhgh4jh5du065956"/>
    <s v="ca"/>
    <n v="41"/>
    <x v="278"/>
    <s v="black"/>
    <s v="black"/>
    <s v="hyundai motor america/co car"/>
    <n v="35500"/>
    <x v="151"/>
    <s v="Tue Dec 30 2014 12:30:00 GMT-0800 (PST)"/>
    <n v="2014"/>
    <x v="69"/>
    <x v="1"/>
    <s v="Medium"/>
  </r>
  <r>
    <n v="2013"/>
    <x v="7"/>
    <x v="32"/>
    <x v="41"/>
    <x v="1"/>
    <s v="automatic"/>
    <s v="5npdh4ae7dh339679"/>
    <s v="ca"/>
    <n v="49"/>
    <x v="279"/>
    <s v="silver"/>
    <s v="gray"/>
    <s v="avis rac/san leandro"/>
    <n v="11150"/>
    <x v="25"/>
    <s v="Tue Dec 23 2014 12:30:00 GMT-0800 (PST)"/>
    <n v="2014"/>
    <x v="55"/>
    <x v="1"/>
    <s v="Low"/>
  </r>
  <r>
    <n v="2013"/>
    <x v="12"/>
    <x v="45"/>
    <x v="36"/>
    <x v="8"/>
    <s v="automatic"/>
    <s v="jn1cv6ap6dm715699"/>
    <s v="ca"/>
    <n v="39"/>
    <x v="280"/>
    <s v="black"/>
    <s v="black"/>
    <s v="nissan infiniti lt"/>
    <n v="22900"/>
    <x v="88"/>
    <s v="Thu Dec 18 2014 12:30:00 GMT-0800 (PST)"/>
    <n v="2014"/>
    <x v="50"/>
    <x v="2"/>
    <s v="Medium"/>
  </r>
  <r>
    <n v="2013"/>
    <x v="7"/>
    <x v="50"/>
    <x v="5"/>
    <x v="1"/>
    <m/>
    <s v="kmhec4a4xda096513"/>
    <s v="ca"/>
    <n v="48"/>
    <x v="281"/>
    <s v="silver"/>
    <s v="gray"/>
    <s v="hyundai motor america/co car"/>
    <n v="15550"/>
    <x v="152"/>
    <s v="Tue Dec 16 2014 12:00:00 GMT-0800 (PST)"/>
    <n v="2014"/>
    <x v="67"/>
    <x v="1"/>
    <s v="Low"/>
  </r>
  <r>
    <n v="2013"/>
    <x v="12"/>
    <x v="45"/>
    <x v="36"/>
    <x v="8"/>
    <s v="automatic"/>
    <s v="jn1cv6apxdm714281"/>
    <s v="ca"/>
    <n v="42"/>
    <x v="282"/>
    <s v="â€”"/>
    <s v="black"/>
    <s v="nissan infiniti lt"/>
    <n v="23300"/>
    <x v="88"/>
    <s v="Thu Dec 18 2014 12:30:00 GMT-0800 (PST)"/>
    <n v="2014"/>
    <x v="50"/>
    <x v="1"/>
    <s v="Medium"/>
  </r>
  <r>
    <n v="2013"/>
    <x v="7"/>
    <x v="51"/>
    <x v="10"/>
    <x v="5"/>
    <s v="automatic"/>
    <s v="kmhcu5ae3du079747"/>
    <s v="ca"/>
    <n v="46"/>
    <x v="283"/>
    <s v="silver"/>
    <s v="black"/>
    <s v="hyundai motor america/co car"/>
    <n v="9950"/>
    <x v="99"/>
    <s v="Tue Dec 16 2014 12:00:00 GMT-0800 (PST)"/>
    <n v="2014"/>
    <x v="70"/>
    <x v="1"/>
    <s v="Low"/>
  </r>
  <r>
    <n v="2013"/>
    <x v="12"/>
    <x v="45"/>
    <x v="36"/>
    <x v="8"/>
    <s v="automatic"/>
    <s v="jn1cv6ap9dm716121"/>
    <s v="ca"/>
    <n v="39"/>
    <x v="284"/>
    <s v="white"/>
    <s v="black"/>
    <s v="nissan infiniti lt"/>
    <n v="22900"/>
    <x v="40"/>
    <s v="Thu Dec 18 2014 12:30:00 GMT-0800 (PST)"/>
    <n v="2014"/>
    <x v="50"/>
    <x v="2"/>
    <s v="Medium"/>
  </r>
  <r>
    <n v="2013"/>
    <x v="12"/>
    <x v="45"/>
    <x v="36"/>
    <x v="8"/>
    <s v="automatic"/>
    <s v="jn1cv6ap0dm714760"/>
    <s v="ca"/>
    <n v="45"/>
    <x v="285"/>
    <s v="black"/>
    <s v="black"/>
    <s v="nissan infiniti lt"/>
    <n v="24900"/>
    <x v="95"/>
    <s v="Wed Dec 17 2014 12:30:00 GMT-0800 (PST)"/>
    <n v="2014"/>
    <x v="50"/>
    <x v="1"/>
    <s v="Medium"/>
  </r>
  <r>
    <n v="2013"/>
    <x v="12"/>
    <x v="45"/>
    <x v="36"/>
    <x v="8"/>
    <s v="automatic"/>
    <s v="jn1cv6ap5dm720571"/>
    <s v="ca"/>
    <n v="49"/>
    <x v="286"/>
    <s v="silver"/>
    <s v="black"/>
    <s v="nissan infiniti lt"/>
    <n v="23800"/>
    <x v="85"/>
    <s v="Thu Dec 18 2014 12:30:00 GMT-0800 (PST)"/>
    <n v="2014"/>
    <x v="50"/>
    <x v="1"/>
    <s v="Medium"/>
  </r>
  <r>
    <n v="2013"/>
    <x v="12"/>
    <x v="45"/>
    <x v="36"/>
    <x v="8"/>
    <s v="automatic"/>
    <s v="jn1cv6ap7dm301475"/>
    <s v="ca"/>
    <n v="45"/>
    <x v="287"/>
    <s v="black"/>
    <s v="black"/>
    <s v="nissan infiniti lt"/>
    <n v="22400"/>
    <x v="88"/>
    <s v="Thu Dec 18 2014 12:30:00 GMT-0800 (PST)"/>
    <n v="2014"/>
    <x v="50"/>
    <x v="1"/>
    <s v="Medium"/>
  </r>
  <r>
    <n v="2013"/>
    <x v="7"/>
    <x v="50"/>
    <x v="5"/>
    <x v="1"/>
    <s v="automatic"/>
    <s v="kmhec4a46da093060"/>
    <s v="ca"/>
    <n v="49"/>
    <x v="288"/>
    <s v="white"/>
    <s v="beige"/>
    <s v="hyundai motor america/co car"/>
    <n v="15500"/>
    <x v="117"/>
    <s v="Tue Dec 16 2014 12:00:00 GMT-0800 (PST)"/>
    <n v="2014"/>
    <x v="67"/>
    <x v="1"/>
    <s v="Low"/>
  </r>
  <r>
    <n v="2013"/>
    <x v="7"/>
    <x v="12"/>
    <x v="41"/>
    <x v="1"/>
    <s v="automatic"/>
    <s v="5npeb4acxdh740633"/>
    <s v="ca"/>
    <n v="43"/>
    <x v="289"/>
    <s v="silver"/>
    <s v="gray"/>
    <s v="hyundai motor finance"/>
    <n v="13050"/>
    <x v="68"/>
    <s v="Tue Dec 16 2014 12:00:00 GMT-0800 (PST)"/>
    <n v="2014"/>
    <x v="56"/>
    <x v="1"/>
    <s v="Low"/>
  </r>
  <r>
    <n v="2013"/>
    <x v="12"/>
    <x v="45"/>
    <x v="36"/>
    <x v="8"/>
    <s v="automatic"/>
    <s v="jn1cv6ap1dm711625"/>
    <s v="ca"/>
    <n v="44"/>
    <x v="290"/>
    <s v="black"/>
    <s v="black"/>
    <s v="nissan infiniti lt"/>
    <n v="23200"/>
    <x v="109"/>
    <s v="Thu Dec 18 2014 12:30:00 GMT-0800 (PST)"/>
    <n v="2014"/>
    <x v="50"/>
    <x v="1"/>
    <s v="Medium"/>
  </r>
  <r>
    <n v="2013"/>
    <x v="12"/>
    <x v="45"/>
    <x v="36"/>
    <x v="8"/>
    <s v="automatic"/>
    <s v="jn1cv6ap1dm716758"/>
    <s v="ca"/>
    <n v="42"/>
    <x v="291"/>
    <s v="black"/>
    <s v="black"/>
    <s v="nissan infiniti lt"/>
    <n v="22200"/>
    <x v="0"/>
    <s v="Thu Dec 18 2014 12:30:00 GMT-0800 (PST)"/>
    <n v="2014"/>
    <x v="50"/>
    <x v="1"/>
    <s v="Medium"/>
  </r>
  <r>
    <n v="2013"/>
    <x v="12"/>
    <x v="45"/>
    <x v="36"/>
    <x v="8"/>
    <s v="automatic"/>
    <s v="jn1cv6ap0dm300670"/>
    <s v="ca"/>
    <n v="44"/>
    <x v="292"/>
    <s v="gray"/>
    <s v="black"/>
    <s v="nissan infiniti lt"/>
    <n v="22000"/>
    <x v="146"/>
    <s v="Thu Dec 18 2014 12:30:00 GMT-0800 (PST)"/>
    <n v="2014"/>
    <x v="50"/>
    <x v="1"/>
    <s v="Medium"/>
  </r>
  <r>
    <n v="2013"/>
    <x v="12"/>
    <x v="45"/>
    <x v="36"/>
    <x v="8"/>
    <s v="automatic"/>
    <s v="jn1cv6apxdm714264"/>
    <s v="ca"/>
    <n v="46"/>
    <x v="293"/>
    <s v="white"/>
    <s v="gray"/>
    <s v="nissan infiniti lt"/>
    <n v="24400"/>
    <x v="102"/>
    <s v="Thu Dec 18 2014 12:30:00 GMT-0800 (PST)"/>
    <n v="2014"/>
    <x v="50"/>
    <x v="1"/>
    <s v="Medium"/>
  </r>
  <r>
    <n v="2013"/>
    <x v="7"/>
    <x v="32"/>
    <x v="41"/>
    <x v="1"/>
    <s v="automatic"/>
    <s v="5npdh4ae3dh364790"/>
    <s v="ca"/>
    <m/>
    <x v="294"/>
    <s v="silver"/>
    <s v="gray"/>
    <s v="enterprise vehicle exchange / tra / rental / tulsa"/>
    <n v="12150"/>
    <x v="153"/>
    <s v="Tue Dec 16 2014 13:00:00 GMT-0800 (PST)"/>
    <n v="2014"/>
    <x v="55"/>
    <x v="0"/>
    <s v="Low"/>
  </r>
  <r>
    <n v="2013"/>
    <x v="7"/>
    <x v="32"/>
    <x v="38"/>
    <x v="1"/>
    <s v="automatic"/>
    <s v="5npdh4ae2dh264292"/>
    <s v="ca"/>
    <n v="31"/>
    <x v="295"/>
    <s v="red"/>
    <s v="tan"/>
    <s v="hyundai motor america/co car"/>
    <n v="14550"/>
    <x v="154"/>
    <s v="Tue Jan 27 2015 04:30:00 GMT-0800 (PST)"/>
    <n v="2015"/>
    <x v="60"/>
    <x v="2"/>
    <s v="Low"/>
  </r>
  <r>
    <n v="2013"/>
    <x v="12"/>
    <x v="45"/>
    <x v="36"/>
    <x v="8"/>
    <s v="automatic"/>
    <s v="jn1cv6ap3dm719922"/>
    <s v="ca"/>
    <n v="44"/>
    <x v="296"/>
    <s v="white"/>
    <s v="gray"/>
    <s v="nissan infiniti lt"/>
    <n v="23300"/>
    <x v="114"/>
    <s v="Thu Dec 18 2014 12:30:00 GMT-0800 (PST)"/>
    <n v="2014"/>
    <x v="50"/>
    <x v="1"/>
    <s v="Medium"/>
  </r>
  <r>
    <n v="2013"/>
    <x v="7"/>
    <x v="52"/>
    <x v="5"/>
    <x v="5"/>
    <s v="automatic"/>
    <s v="kmhtc6ad7du089181"/>
    <s v="ca"/>
    <n v="48"/>
    <x v="297"/>
    <s v="yellow"/>
    <s v="black"/>
    <s v="hyundai buybacks"/>
    <n v="13100"/>
    <x v="123"/>
    <s v="Tue Dec 16 2014 12:00:00 GMT-0800 (PST)"/>
    <n v="2014"/>
    <x v="73"/>
    <x v="1"/>
    <s v="Low"/>
  </r>
  <r>
    <n v="2013"/>
    <x v="7"/>
    <x v="32"/>
    <x v="41"/>
    <x v="1"/>
    <s v="automatic"/>
    <s v="5npdh4ae7dh345708"/>
    <s v="ca"/>
    <n v="2"/>
    <x v="298"/>
    <s v="gray"/>
    <s v="beige"/>
    <s v="enterprise vehicle exchange / tra / rental / tulsa"/>
    <n v="11650"/>
    <x v="125"/>
    <s v="Tue Dec 16 2014 12:00:00 GMT-0800 (PST)"/>
    <n v="2014"/>
    <x v="55"/>
    <x v="0"/>
    <s v="Low"/>
  </r>
  <r>
    <n v="2013"/>
    <x v="7"/>
    <x v="12"/>
    <x v="41"/>
    <x v="1"/>
    <s v="automatic"/>
    <s v="5npeb4ac6dh743092"/>
    <s v="ca"/>
    <n v="44"/>
    <x v="299"/>
    <s v="white"/>
    <s v="beige"/>
    <s v="avis rac/san leandro"/>
    <n v="12100"/>
    <x v="108"/>
    <s v="Wed Dec 17 2014 12:30:00 GMT-0800 (PST)"/>
    <n v="2014"/>
    <x v="56"/>
    <x v="1"/>
    <s v="Low"/>
  </r>
  <r>
    <n v="2013"/>
    <x v="7"/>
    <x v="12"/>
    <x v="41"/>
    <x v="1"/>
    <s v="automatic"/>
    <s v="5npeb4ac2dh745910"/>
    <s v="ca"/>
    <n v="2"/>
    <x v="300"/>
    <s v="red"/>
    <s v="beige"/>
    <s v="enterprise vehicle exchange / tra / rental / tulsa"/>
    <n v="12200"/>
    <x v="93"/>
    <s v="Tue Dec 16 2014 12:00:00 GMT-0800 (PST)"/>
    <n v="2014"/>
    <x v="56"/>
    <x v="0"/>
    <s v="Low"/>
  </r>
  <r>
    <n v="2013"/>
    <x v="7"/>
    <x v="47"/>
    <x v="38"/>
    <x v="0"/>
    <s v="automatic"/>
    <s v="km8sr4hf1du031590"/>
    <s v="ca"/>
    <n v="5"/>
    <x v="301"/>
    <s v="blue"/>
    <s v="gray"/>
    <s v="hyundai buybacks"/>
    <n v="23100"/>
    <x v="136"/>
    <s v="Tue Dec 16 2014 12:00:00 GMT-0800 (PST)"/>
    <n v="2014"/>
    <x v="52"/>
    <x v="0"/>
    <s v="Medium"/>
  </r>
  <r>
    <n v="2013"/>
    <x v="12"/>
    <x v="45"/>
    <x v="36"/>
    <x v="8"/>
    <s v="automatic"/>
    <s v="jn1cv6ap6dm712365"/>
    <s v="ca"/>
    <n v="37"/>
    <x v="302"/>
    <s v="black"/>
    <s v="black"/>
    <s v="nissan infiniti lt"/>
    <n v="23200"/>
    <x v="78"/>
    <s v="Thu Dec 18 2014 12:30:00 GMT-0800 (PST)"/>
    <n v="2014"/>
    <x v="50"/>
    <x v="2"/>
    <s v="Medium"/>
  </r>
  <r>
    <n v="2013"/>
    <x v="7"/>
    <x v="56"/>
    <x v="48"/>
    <x v="10"/>
    <s v="automatic"/>
    <s v="kmhhu6kj0du110296"/>
    <s v="ca"/>
    <n v="48"/>
    <x v="303"/>
    <s v="red"/>
    <s v="black"/>
    <s v="hyundai motor america/co car"/>
    <n v="21400"/>
    <x v="106"/>
    <s v="Tue Dec 16 2014 12:00:00 GMT-0800 (PST)"/>
    <n v="2014"/>
    <x v="74"/>
    <x v="1"/>
    <s v="Medium"/>
  </r>
  <r>
    <n v="2013"/>
    <x v="7"/>
    <x v="50"/>
    <x v="38"/>
    <x v="1"/>
    <s v="automatic"/>
    <s v="kmhec4a48da091908"/>
    <s v="ca"/>
    <n v="47"/>
    <x v="304"/>
    <s v="black"/>
    <s v="gray"/>
    <s v="hyundai motor america/co car"/>
    <n v="18650"/>
    <x v="155"/>
    <s v="Tue Dec 16 2014 12:00:00 GMT-0800 (PST)"/>
    <n v="2014"/>
    <x v="57"/>
    <x v="1"/>
    <s v="Medium"/>
  </r>
  <r>
    <n v="2013"/>
    <x v="7"/>
    <x v="47"/>
    <x v="42"/>
    <x v="0"/>
    <s v="automatic"/>
    <s v="5xyztdlb2dg045704"/>
    <s v="ca"/>
    <n v="43"/>
    <x v="305"/>
    <s v="green"/>
    <s v="beige"/>
    <s v="avis rac/san leandro"/>
    <n v="17600"/>
    <x v="156"/>
    <s v="Wed Dec 31 2014 12:30:00 GMT-0800 (PST)"/>
    <n v="2014"/>
    <x v="58"/>
    <x v="1"/>
    <s v="Low"/>
  </r>
  <r>
    <n v="2013"/>
    <x v="7"/>
    <x v="48"/>
    <x v="39"/>
    <x v="1"/>
    <s v="automatic"/>
    <s v="kmhgc4dh6du220492"/>
    <s v="ca"/>
    <n v="44"/>
    <x v="306"/>
    <s v="silver"/>
    <s v="black"/>
    <s v="hyundai motor america/co car"/>
    <n v="25900"/>
    <x v="157"/>
    <s v="Tue Dec 16 2014 12:00:00 GMT-0800 (PST)"/>
    <n v="2014"/>
    <x v="53"/>
    <x v="1"/>
    <s v="Medium"/>
  </r>
  <r>
    <n v="2013"/>
    <x v="12"/>
    <x v="45"/>
    <x v="36"/>
    <x v="8"/>
    <s v="automatic"/>
    <s v="jn1cv6ap5dm711210"/>
    <s v="ca"/>
    <n v="46"/>
    <x v="307"/>
    <s v="white"/>
    <s v="gray"/>
    <s v="nissan infiniti lt"/>
    <n v="23600"/>
    <x v="107"/>
    <s v="Thu Dec 18 2014 12:30:00 GMT-0800 (PST)"/>
    <n v="2014"/>
    <x v="50"/>
    <x v="1"/>
    <s v="Medium"/>
  </r>
  <r>
    <n v="2013"/>
    <x v="7"/>
    <x v="12"/>
    <x v="41"/>
    <x v="1"/>
    <s v="automatic"/>
    <s v="5npeb4ac7dh680813"/>
    <s v="ca"/>
    <n v="38"/>
    <x v="308"/>
    <s v="silver"/>
    <s v="gray"/>
    <s v="avis corporation"/>
    <n v="11900"/>
    <x v="98"/>
    <s v="Tue Dec 16 2014 12:30:00 GMT-0800 (PST)"/>
    <n v="2014"/>
    <x v="56"/>
    <x v="2"/>
    <s v="Low"/>
  </r>
  <r>
    <n v="2013"/>
    <x v="7"/>
    <x v="12"/>
    <x v="41"/>
    <x v="1"/>
    <s v="automatic"/>
    <s v="5npeb4ac7dh636875"/>
    <s v="ca"/>
    <n v="38"/>
    <x v="309"/>
    <s v="black"/>
    <s v="beige"/>
    <s v="hyundai motor finance"/>
    <n v="11850"/>
    <x v="80"/>
    <s v="Tue Jan 27 2015 04:30:00 GMT-0800 (PST)"/>
    <n v="2015"/>
    <x v="56"/>
    <x v="2"/>
    <s v="Low"/>
  </r>
  <r>
    <n v="2013"/>
    <x v="7"/>
    <x v="51"/>
    <x v="45"/>
    <x v="5"/>
    <s v="manual"/>
    <s v="kmhct5ae8du091850"/>
    <s v="ca"/>
    <n v="47"/>
    <x v="310"/>
    <s v="green"/>
    <s v="black"/>
    <s v="jpmorgan chase bank n.a."/>
    <n v="10500"/>
    <x v="74"/>
    <s v="Thu Dec 18 2014 12:00:00 GMT-0800 (PST)"/>
    <n v="2014"/>
    <x v="65"/>
    <x v="1"/>
    <s v="Low"/>
  </r>
  <r>
    <n v="2013"/>
    <x v="12"/>
    <x v="45"/>
    <x v="36"/>
    <x v="8"/>
    <s v="automatic"/>
    <s v="jn1cv6ap0dm711549"/>
    <s v="ca"/>
    <n v="42"/>
    <x v="311"/>
    <s v="black"/>
    <s v="black"/>
    <s v="nissan infiniti lt"/>
    <n v="22800"/>
    <x v="88"/>
    <s v="Thu Dec 18 2014 12:30:00 GMT-0800 (PST)"/>
    <n v="2014"/>
    <x v="50"/>
    <x v="1"/>
    <s v="Medium"/>
  </r>
  <r>
    <n v="2013"/>
    <x v="12"/>
    <x v="45"/>
    <x v="36"/>
    <x v="8"/>
    <s v="automatic"/>
    <s v="jn1cv6ap3dm710234"/>
    <s v="ca"/>
    <n v="43"/>
    <x v="312"/>
    <s v="gray"/>
    <s v="black"/>
    <s v="nissan infiniti lt"/>
    <n v="22100"/>
    <x v="0"/>
    <s v="Thu Dec 18 2014 12:30:00 GMT-0800 (PST)"/>
    <n v="2014"/>
    <x v="50"/>
    <x v="1"/>
    <s v="Medium"/>
  </r>
  <r>
    <n v="2013"/>
    <x v="12"/>
    <x v="45"/>
    <x v="36"/>
    <x v="8"/>
    <s v="automatic"/>
    <s v="jn1cv6ap3dm710394"/>
    <s v="ca"/>
    <n v="39"/>
    <x v="313"/>
    <s v="blue"/>
    <s v="black"/>
    <s v="nissan infiniti lt"/>
    <n v="24400"/>
    <x v="92"/>
    <s v="Thu Dec 18 2014 12:30:00 GMT-0800 (PST)"/>
    <n v="2014"/>
    <x v="50"/>
    <x v="2"/>
    <s v="Medium"/>
  </r>
  <r>
    <n v="2013"/>
    <x v="12"/>
    <x v="45"/>
    <x v="36"/>
    <x v="8"/>
    <s v="automatic"/>
    <s v="jn1cv6ap7dm710365"/>
    <s v="ca"/>
    <n v="45"/>
    <x v="314"/>
    <s v="gray"/>
    <s v="black"/>
    <s v="nissan infiniti lt"/>
    <n v="23400"/>
    <x v="78"/>
    <s v="Thu Dec 18 2014 12:30:00 GMT-0800 (PST)"/>
    <n v="2014"/>
    <x v="50"/>
    <x v="1"/>
    <s v="Medium"/>
  </r>
  <r>
    <n v="2013"/>
    <x v="7"/>
    <x v="55"/>
    <x v="38"/>
    <x v="0"/>
    <s v="automatic"/>
    <s v="km8ju3ac6du590752"/>
    <s v="ca"/>
    <n v="44"/>
    <x v="315"/>
    <s v="white"/>
    <s v="beige"/>
    <s v="hyundai motor america/co car"/>
    <n v="16150"/>
    <x v="8"/>
    <s v="Tue Dec 16 2014 12:00:00 GMT-0800 (PST)"/>
    <n v="2014"/>
    <x v="75"/>
    <x v="1"/>
    <s v="Low"/>
  </r>
  <r>
    <n v="2013"/>
    <x v="7"/>
    <x v="50"/>
    <x v="38"/>
    <x v="1"/>
    <s v="automatic"/>
    <s v="kmhec4a46da099621"/>
    <s v="ca"/>
    <n v="5"/>
    <x v="316"/>
    <s v="silver"/>
    <s v="gray"/>
    <s v="hyundai motor america/co car"/>
    <n v="20300"/>
    <x v="158"/>
    <s v="Tue Dec 16 2014 12:00:00 GMT-0800 (PST)"/>
    <n v="2014"/>
    <x v="57"/>
    <x v="0"/>
    <s v="Medium"/>
  </r>
  <r>
    <n v="2013"/>
    <x v="12"/>
    <x v="45"/>
    <x v="36"/>
    <x v="8"/>
    <s v="automatic"/>
    <s v="jn1cv6ap0dm712653"/>
    <s v="ca"/>
    <n v="44"/>
    <x v="317"/>
    <s v="white"/>
    <s v="black"/>
    <s v="nissan infiniti lt"/>
    <n v="22000"/>
    <x v="43"/>
    <s v="Tue Dec 23 2014 12:30:00 GMT-0800 (PST)"/>
    <n v="2014"/>
    <x v="50"/>
    <x v="1"/>
    <s v="Medium"/>
  </r>
  <r>
    <n v="2013"/>
    <x v="7"/>
    <x v="32"/>
    <x v="41"/>
    <x v="1"/>
    <s v="automatic"/>
    <s v="5npdh4ae5dh363852"/>
    <s v="ca"/>
    <n v="35"/>
    <x v="318"/>
    <s v="gray"/>
    <s v="gray"/>
    <s v="enterprise vehicle exchange/orange"/>
    <n v="11350"/>
    <x v="80"/>
    <s v="Tue Dec 16 2014 12:30:00 GMT-0800 (PST)"/>
    <n v="2014"/>
    <x v="55"/>
    <x v="2"/>
    <s v="Low"/>
  </r>
  <r>
    <n v="2013"/>
    <x v="7"/>
    <x v="32"/>
    <x v="41"/>
    <x v="1"/>
    <s v="automatic"/>
    <s v="kmhdh4aexdu731797"/>
    <s v="ca"/>
    <n v="4"/>
    <x v="319"/>
    <s v="black"/>
    <s v="gray"/>
    <s v="hyundai motor finance"/>
    <n v="12350"/>
    <x v="149"/>
    <s v="Tue Dec 16 2014 12:00:00 GMT-0800 (PST)"/>
    <n v="2014"/>
    <x v="55"/>
    <x v="0"/>
    <s v="Low"/>
  </r>
  <r>
    <n v="2013"/>
    <x v="12"/>
    <x v="45"/>
    <x v="36"/>
    <x v="8"/>
    <s v="automatic"/>
    <s v="jn1cv6apxdm714880"/>
    <s v="ca"/>
    <n v="41"/>
    <x v="320"/>
    <s v="black"/>
    <s v="black"/>
    <s v="nissan infiniti lt"/>
    <n v="23500"/>
    <x v="0"/>
    <s v="Thu Dec 18 2014 12:30:00 GMT-0800 (PST)"/>
    <n v="2014"/>
    <x v="50"/>
    <x v="1"/>
    <s v="Medium"/>
  </r>
  <r>
    <n v="2013"/>
    <x v="7"/>
    <x v="50"/>
    <x v="38"/>
    <x v="1"/>
    <s v="automatic"/>
    <s v="kmhec4a40da092843"/>
    <s v="ca"/>
    <n v="45"/>
    <x v="321"/>
    <s v="black"/>
    <s v="gray"/>
    <s v="hyundai motor america/co car"/>
    <n v="18450"/>
    <x v="159"/>
    <s v="Tue Dec 16 2014 12:00:00 GMT-0800 (PST)"/>
    <n v="2014"/>
    <x v="57"/>
    <x v="1"/>
    <s v="Medium"/>
  </r>
  <r>
    <n v="2013"/>
    <x v="12"/>
    <x v="44"/>
    <x v="35"/>
    <x v="7"/>
    <s v="automatic"/>
    <s v="jn1cv6ek2dm922699"/>
    <s v="ca"/>
    <n v="41"/>
    <x v="322"/>
    <s v="â€”"/>
    <s v="black"/>
    <s v="nissan infiniti lt"/>
    <n v="26100"/>
    <x v="56"/>
    <s v="Thu Dec 18 2014 12:30:00 GMT-0800 (PST)"/>
    <n v="2014"/>
    <x v="49"/>
    <x v="1"/>
    <s v="Medium"/>
  </r>
  <r>
    <n v="2013"/>
    <x v="12"/>
    <x v="45"/>
    <x v="36"/>
    <x v="8"/>
    <s v="automatic"/>
    <s v="jn1cv6ap3dm713554"/>
    <s v="ca"/>
    <n v="37"/>
    <x v="323"/>
    <s v="black"/>
    <s v="black"/>
    <s v="nissan infiniti lt"/>
    <n v="23700"/>
    <x v="146"/>
    <s v="Thu Dec 18 2014 12:30:00 GMT-0800 (PST)"/>
    <n v="2014"/>
    <x v="50"/>
    <x v="2"/>
    <s v="Medium"/>
  </r>
  <r>
    <n v="2013"/>
    <x v="12"/>
    <x v="45"/>
    <x v="36"/>
    <x v="8"/>
    <s v="automatic"/>
    <s v="jn1cv6ap5dm713250"/>
    <s v="ca"/>
    <n v="43"/>
    <x v="324"/>
    <s v="white"/>
    <s v="black"/>
    <s v="nissan infiniti lt"/>
    <n v="24300"/>
    <x v="109"/>
    <s v="Thu Dec 18 2014 12:30:00 GMT-0800 (PST)"/>
    <n v="2014"/>
    <x v="50"/>
    <x v="1"/>
    <s v="Medium"/>
  </r>
  <r>
    <n v="2013"/>
    <x v="12"/>
    <x v="45"/>
    <x v="36"/>
    <x v="8"/>
    <s v="automatic"/>
    <s v="jn1cv6ap7dm716733"/>
    <s v="ca"/>
    <n v="42"/>
    <x v="325"/>
    <s v="blue"/>
    <s v="black"/>
    <s v="nissan infiniti lt"/>
    <n v="23700"/>
    <x v="146"/>
    <s v="Thu Dec 18 2014 12:30:00 GMT-0800 (PST)"/>
    <n v="2014"/>
    <x v="50"/>
    <x v="1"/>
    <s v="Medium"/>
  </r>
  <r>
    <n v="2013"/>
    <x v="12"/>
    <x v="45"/>
    <x v="36"/>
    <x v="8"/>
    <s v="automatic"/>
    <s v="jn1cv6ap4dm712607"/>
    <s v="ca"/>
    <n v="44"/>
    <x v="326"/>
    <s v="blue"/>
    <s v="black"/>
    <s v="nissan infiniti lt"/>
    <n v="24500"/>
    <x v="106"/>
    <s v="Thu Dec 18 2014 12:30:00 GMT-0800 (PST)"/>
    <n v="2014"/>
    <x v="50"/>
    <x v="1"/>
    <s v="Medium"/>
  </r>
  <r>
    <n v="2013"/>
    <x v="7"/>
    <x v="32"/>
    <x v="38"/>
    <x v="1"/>
    <s v="automatic"/>
    <s v="5npdh4ae7dh225536"/>
    <s v="ca"/>
    <n v="37"/>
    <x v="327"/>
    <s v="white"/>
    <s v="black"/>
    <s v="hyundai motor america/co car"/>
    <n v="15100"/>
    <x v="160"/>
    <s v="Tue Dec 16 2014 12:00:00 GMT-0800 (PST)"/>
    <n v="2014"/>
    <x v="60"/>
    <x v="2"/>
    <s v="Low"/>
  </r>
  <r>
    <n v="2013"/>
    <x v="12"/>
    <x v="44"/>
    <x v="35"/>
    <x v="7"/>
    <s v="automatic"/>
    <s v="jn1cv6ek5dm920784"/>
    <s v="ca"/>
    <n v="36"/>
    <x v="328"/>
    <s v="gray"/>
    <s v="black"/>
    <s v="nissan infiniti lt"/>
    <n v="24400"/>
    <x v="92"/>
    <s v="Thu Dec 18 2014 12:30:00 GMT-0800 (PST)"/>
    <n v="2014"/>
    <x v="49"/>
    <x v="2"/>
    <s v="Medium"/>
  </r>
  <r>
    <n v="2013"/>
    <x v="12"/>
    <x v="44"/>
    <x v="35"/>
    <x v="7"/>
    <s v="automatic"/>
    <s v="jn1cv6ek5dm920672"/>
    <s v="ca"/>
    <n v="37"/>
    <x v="329"/>
    <s v="gray"/>
    <s v="black"/>
    <s v="nissan infiniti lt"/>
    <n v="25400"/>
    <x v="85"/>
    <s v="Thu Dec 18 2014 12:30:00 GMT-0800 (PST)"/>
    <n v="2014"/>
    <x v="49"/>
    <x v="2"/>
    <s v="Medium"/>
  </r>
  <r>
    <n v="2013"/>
    <x v="12"/>
    <x v="45"/>
    <x v="36"/>
    <x v="8"/>
    <s v="automatic"/>
    <s v="jn1cv6ap1dm711334"/>
    <s v="ca"/>
    <n v="42"/>
    <x v="330"/>
    <s v="white"/>
    <s v="black"/>
    <s v="nissan infiniti lt"/>
    <n v="22700"/>
    <x v="107"/>
    <s v="Thu Dec 18 2014 12:30:00 GMT-0800 (PST)"/>
    <n v="2014"/>
    <x v="50"/>
    <x v="1"/>
    <s v="Medium"/>
  </r>
  <r>
    <n v="2013"/>
    <x v="7"/>
    <x v="48"/>
    <x v="47"/>
    <x v="1"/>
    <s v="automatic"/>
    <s v="kmhgc4dd7du226203"/>
    <s v="ca"/>
    <n v="43"/>
    <x v="331"/>
    <s v="black"/>
    <s v="beige"/>
    <s v="hyundai motor finance"/>
    <n v="19800"/>
    <x v="161"/>
    <s v="Tue Dec 16 2014 12:00:00 GMT-0800 (PST)"/>
    <n v="2014"/>
    <x v="71"/>
    <x v="1"/>
    <s v="Low"/>
  </r>
  <r>
    <n v="2013"/>
    <x v="12"/>
    <x v="45"/>
    <x v="36"/>
    <x v="8"/>
    <s v="automatic"/>
    <s v="jn1cv6ap4dm714969"/>
    <s v="ca"/>
    <n v="44"/>
    <x v="332"/>
    <s v="black"/>
    <s v="black"/>
    <s v="nissan infiniti lt"/>
    <n v="24500"/>
    <x v="85"/>
    <s v="Thu Dec 18 2014 12:30:00 GMT-0800 (PST)"/>
    <n v="2014"/>
    <x v="50"/>
    <x v="1"/>
    <s v="Medium"/>
  </r>
  <r>
    <n v="2013"/>
    <x v="7"/>
    <x v="12"/>
    <x v="41"/>
    <x v="1"/>
    <s v="automatic"/>
    <s v="5npeb4acxdh745962"/>
    <s v="ca"/>
    <n v="25"/>
    <x v="333"/>
    <s v="white"/>
    <s v="beige"/>
    <s v="avis corporation"/>
    <n v="11900"/>
    <x v="98"/>
    <s v="Tue Dec 16 2014 12:30:00 GMT-0800 (PST)"/>
    <n v="2014"/>
    <x v="56"/>
    <x v="2"/>
    <s v="Low"/>
  </r>
  <r>
    <n v="2013"/>
    <x v="12"/>
    <x v="45"/>
    <x v="36"/>
    <x v="8"/>
    <s v="automatic"/>
    <s v="jn1cv6ap9dm714417"/>
    <s v="ca"/>
    <n v="45"/>
    <x v="334"/>
    <s v="white"/>
    <s v="black"/>
    <s v="nissan infiniti lt"/>
    <n v="22800"/>
    <x v="53"/>
    <s v="Thu Dec 18 2014 12:30:00 GMT-0800 (PST)"/>
    <n v="2014"/>
    <x v="50"/>
    <x v="1"/>
    <s v="Medium"/>
  </r>
  <r>
    <n v="2013"/>
    <x v="7"/>
    <x v="12"/>
    <x v="41"/>
    <x v="1"/>
    <s v="automatic"/>
    <s v="5npeb4ac3dh734477"/>
    <s v="ca"/>
    <n v="33"/>
    <x v="335"/>
    <s v="blue"/>
    <s v="gray"/>
    <s v="avis corporation"/>
    <n v="12050"/>
    <x v="162"/>
    <s v="Tue Dec 16 2014 12:30:00 GMT-0800 (PST)"/>
    <n v="2014"/>
    <x v="56"/>
    <x v="2"/>
    <s v="Low"/>
  </r>
  <r>
    <n v="2013"/>
    <x v="12"/>
    <x v="45"/>
    <x v="36"/>
    <x v="8"/>
    <s v="automatic"/>
    <s v="jn1cv6ap8dm715803"/>
    <s v="ca"/>
    <n v="43"/>
    <x v="336"/>
    <s v="gray"/>
    <s v="gray"/>
    <s v="nissan infiniti lt"/>
    <n v="24100"/>
    <x v="53"/>
    <s v="Thu Dec 18 2014 12:30:00 GMT-0800 (PST)"/>
    <n v="2014"/>
    <x v="50"/>
    <x v="1"/>
    <s v="Medium"/>
  </r>
  <r>
    <n v="2013"/>
    <x v="7"/>
    <x v="12"/>
    <x v="41"/>
    <x v="1"/>
    <s v="automatic"/>
    <s v="5npeb4ac1dh733036"/>
    <s v="ca"/>
    <n v="3"/>
    <x v="337"/>
    <s v="blue"/>
    <s v="gray"/>
    <s v="enterprise vehicle exchange / tra / rental / tulsa"/>
    <n v="12350"/>
    <x v="163"/>
    <s v="Tue Dec 30 2014 13:00:00 GMT-0800 (PST)"/>
    <n v="2014"/>
    <x v="56"/>
    <x v="0"/>
    <s v="Low"/>
  </r>
  <r>
    <n v="2013"/>
    <x v="7"/>
    <x v="47"/>
    <x v="43"/>
    <x v="0"/>
    <s v="automatic"/>
    <s v="5xyzu3la5dg079070"/>
    <s v="ca"/>
    <n v="5"/>
    <x v="338"/>
    <s v="silver"/>
    <s v="black"/>
    <s v="hyundai motor america/co car"/>
    <n v="23100"/>
    <x v="164"/>
    <s v="Tue Dec 16 2014 12:00:00 GMT-0800 (PST)"/>
    <n v="2014"/>
    <x v="61"/>
    <x v="0"/>
    <s v="Medium"/>
  </r>
  <r>
    <n v="2013"/>
    <x v="7"/>
    <x v="51"/>
    <x v="41"/>
    <x v="1"/>
    <s v="automatic"/>
    <s v="kmhct4ae4du422188"/>
    <s v="ca"/>
    <n v="2"/>
    <x v="339"/>
    <s v="gold"/>
    <s v="beige"/>
    <s v="enterprise vehicle exchange / tra / rental / tulsa"/>
    <n v="9600"/>
    <x v="112"/>
    <s v="Tue Dec 16 2014 13:00:00 GMT-0800 (PST)"/>
    <n v="2014"/>
    <x v="62"/>
    <x v="0"/>
    <s v="Low"/>
  </r>
  <r>
    <n v="2013"/>
    <x v="12"/>
    <x v="45"/>
    <x v="36"/>
    <x v="8"/>
    <s v="automatic"/>
    <s v="jn1cv6ap2dm714338"/>
    <s v="ca"/>
    <n v="42"/>
    <x v="340"/>
    <s v="gray"/>
    <s v="black"/>
    <s v="nissan infiniti lt"/>
    <n v="23500"/>
    <x v="146"/>
    <s v="Wed Dec 17 2014 12:30:00 GMT-0800 (PST)"/>
    <n v="2014"/>
    <x v="50"/>
    <x v="1"/>
    <s v="Medium"/>
  </r>
  <r>
    <n v="2013"/>
    <x v="7"/>
    <x v="12"/>
    <x v="41"/>
    <x v="1"/>
    <s v="automatic"/>
    <s v="5npeb4ac7dh549834"/>
    <s v="ca"/>
    <n v="39"/>
    <x v="341"/>
    <s v="â€”"/>
    <s v="beige"/>
    <s v="hyundai motor finance"/>
    <n v="12450"/>
    <x v="162"/>
    <s v="Tue Jan 27 2015 04:30:00 GMT-0800 (PST)"/>
    <n v="2015"/>
    <x v="56"/>
    <x v="2"/>
    <s v="Low"/>
  </r>
  <r>
    <n v="2013"/>
    <x v="12"/>
    <x v="45"/>
    <x v="36"/>
    <x v="8"/>
    <s v="automatic"/>
    <s v="jn1cv6ap8dm712593"/>
    <s v="ca"/>
    <n v="44"/>
    <x v="342"/>
    <s v="gray"/>
    <s v="black"/>
    <s v="nissan infiniti lt"/>
    <n v="23600"/>
    <x v="107"/>
    <s v="Thu Dec 18 2014 12:30:00 GMT-0800 (PST)"/>
    <n v="2014"/>
    <x v="50"/>
    <x v="1"/>
    <s v="Medium"/>
  </r>
  <r>
    <n v="2013"/>
    <x v="7"/>
    <x v="32"/>
    <x v="41"/>
    <x v="1"/>
    <s v="automatic"/>
    <s v="5npdh4ae5dh323156"/>
    <s v="ca"/>
    <n v="36"/>
    <x v="343"/>
    <s v="silver"/>
    <s v="â€”"/>
    <s v="enterprise veh exchange/rental"/>
    <n v="11250"/>
    <x v="123"/>
    <s v="Thu Dec 18 2014 11:30:00 GMT-0800 (PST)"/>
    <n v="2014"/>
    <x v="55"/>
    <x v="2"/>
    <s v="Low"/>
  </r>
  <r>
    <n v="2013"/>
    <x v="12"/>
    <x v="44"/>
    <x v="35"/>
    <x v="7"/>
    <s v="automatic"/>
    <s v="jn1cv6ek0dm921180"/>
    <s v="ca"/>
    <n v="45"/>
    <x v="344"/>
    <s v="gray"/>
    <s v="black"/>
    <s v="nissan infiniti lt"/>
    <n v="25700"/>
    <x v="56"/>
    <s v="Tue Dec 16 2014 12:30:00 GMT-0800 (PST)"/>
    <n v="2014"/>
    <x v="49"/>
    <x v="1"/>
    <s v="Medium"/>
  </r>
  <r>
    <n v="2013"/>
    <x v="12"/>
    <x v="45"/>
    <x v="36"/>
    <x v="8"/>
    <s v="automatic"/>
    <s v="jn1cv6ap3dm713666"/>
    <s v="ca"/>
    <n v="42"/>
    <x v="345"/>
    <s v="gray"/>
    <s v="black"/>
    <s v="nissan infiniti lt"/>
    <n v="23300"/>
    <x v="114"/>
    <s v="Thu Dec 18 2014 12:30:00 GMT-0800 (PST)"/>
    <n v="2014"/>
    <x v="50"/>
    <x v="1"/>
    <s v="Medium"/>
  </r>
  <r>
    <n v="2013"/>
    <x v="12"/>
    <x v="45"/>
    <x v="36"/>
    <x v="8"/>
    <s v="automatic"/>
    <s v="jn1cv6ap3dm712825"/>
    <s v="ca"/>
    <n v="39"/>
    <x v="346"/>
    <s v="gray"/>
    <s v="gray"/>
    <s v="nissan infiniti lt"/>
    <n v="24000"/>
    <x v="114"/>
    <s v="Thu Dec 18 2014 12:30:00 GMT-0800 (PST)"/>
    <n v="2014"/>
    <x v="50"/>
    <x v="2"/>
    <s v="Medium"/>
  </r>
  <r>
    <n v="2013"/>
    <x v="12"/>
    <x v="44"/>
    <x v="35"/>
    <x v="7"/>
    <s v="automatic"/>
    <s v="jn1cv6ek2dm923402"/>
    <s v="ca"/>
    <n v="39"/>
    <x v="347"/>
    <s v="white"/>
    <s v="black"/>
    <s v="nissan infiniti lt"/>
    <n v="26900"/>
    <x v="97"/>
    <s v="Tue Jan 13 2015 12:30:00 GMT-0800 (PST)"/>
    <n v="2015"/>
    <x v="49"/>
    <x v="2"/>
    <s v="Medium"/>
  </r>
  <r>
    <n v="2013"/>
    <x v="12"/>
    <x v="45"/>
    <x v="36"/>
    <x v="8"/>
    <s v="automatic"/>
    <s v="jn1cv6ap2dm712928"/>
    <s v="ca"/>
    <n v="42"/>
    <x v="348"/>
    <s v="white"/>
    <s v="black"/>
    <s v="nissan infiniti lt"/>
    <n v="23200"/>
    <x v="92"/>
    <s v="Thu Dec 18 2014 12:30:00 GMT-0800 (PST)"/>
    <n v="2014"/>
    <x v="50"/>
    <x v="1"/>
    <s v="Medium"/>
  </r>
  <r>
    <n v="2013"/>
    <x v="7"/>
    <x v="32"/>
    <x v="41"/>
    <x v="1"/>
    <s v="automatic"/>
    <s v="5npdh4aexdh303629"/>
    <s v="ca"/>
    <n v="1"/>
    <x v="349"/>
    <s v="brown"/>
    <s v="beige"/>
    <s v="hyundai motor finance"/>
    <n v="11950"/>
    <x v="165"/>
    <s v="Tue Jan 13 2015 12:00:00 GMT-0800 (PST)"/>
    <n v="2015"/>
    <x v="55"/>
    <x v="0"/>
    <s v="Low"/>
  </r>
  <r>
    <n v="2013"/>
    <x v="12"/>
    <x v="45"/>
    <x v="36"/>
    <x v="8"/>
    <s v="automatic"/>
    <s v="jn1cv6ap8dm300447"/>
    <s v="ca"/>
    <n v="47"/>
    <x v="350"/>
    <s v="â€”"/>
    <s v="beige"/>
    <s v="nissan infiniti lt"/>
    <n v="23900"/>
    <x v="107"/>
    <s v="Wed Dec 17 2014 12:30:00 GMT-0800 (PST)"/>
    <n v="2014"/>
    <x v="50"/>
    <x v="1"/>
    <s v="Medium"/>
  </r>
  <r>
    <n v="2013"/>
    <x v="7"/>
    <x v="12"/>
    <x v="10"/>
    <x v="1"/>
    <s v="automatic"/>
    <s v="5npec4ac9dh600084"/>
    <s v="ca"/>
    <n v="48"/>
    <x v="351"/>
    <s v="blue"/>
    <s v="gray"/>
    <s v="hyundai motor america/co car"/>
    <n v="15100"/>
    <x v="166"/>
    <s v="Tue Dec 16 2014 12:00:00 GMT-0800 (PST)"/>
    <n v="2014"/>
    <x v="13"/>
    <x v="1"/>
    <s v="Low"/>
  </r>
  <r>
    <n v="2013"/>
    <x v="7"/>
    <x v="32"/>
    <x v="41"/>
    <x v="1"/>
    <s v="automatic"/>
    <s v="5npdh4aexdh317398"/>
    <s v="ca"/>
    <n v="1"/>
    <x v="352"/>
    <s v="gray"/>
    <s v="gray"/>
    <s v="enterprise vehicle exchange / tra / rental / tulsa"/>
    <n v="11150"/>
    <x v="167"/>
    <s v="Tue Dec 16 2014 12:00:00 GMT-0800 (PST)"/>
    <n v="2014"/>
    <x v="55"/>
    <x v="0"/>
    <s v="Low"/>
  </r>
  <r>
    <n v="2013"/>
    <x v="7"/>
    <x v="12"/>
    <x v="41"/>
    <x v="1"/>
    <s v="automatic"/>
    <s v="5npeb4ac5dh648748"/>
    <s v="ca"/>
    <n v="39"/>
    <x v="353"/>
    <s v="white"/>
    <s v="beige"/>
    <s v="jpmorgan chase bank n.a."/>
    <n v="12850"/>
    <x v="168"/>
    <s v="Thu Dec 18 2014 12:00:00 GMT-0800 (PST)"/>
    <n v="2014"/>
    <x v="56"/>
    <x v="2"/>
    <s v="Low"/>
  </r>
  <r>
    <n v="2013"/>
    <x v="13"/>
    <x v="57"/>
    <x v="49"/>
    <x v="0"/>
    <s v="manual"/>
    <s v="1c4bjwfg4dl585036"/>
    <s v="ca"/>
    <n v="47"/>
    <x v="354"/>
    <s v="red"/>
    <s v="gray"/>
    <s v="clear view systems"/>
    <n v="34300"/>
    <x v="169"/>
    <s v="Tue Dec 16 2014 12:30:00 GMT-0800 (PST)"/>
    <n v="2014"/>
    <x v="76"/>
    <x v="1"/>
    <s v="Medium"/>
  </r>
  <r>
    <n v="2013"/>
    <x v="0"/>
    <x v="10"/>
    <x v="50"/>
    <x v="1"/>
    <s v="automatic"/>
    <s v="knagm4ad1d5057809"/>
    <s v="ca"/>
    <n v="44"/>
    <x v="355"/>
    <s v="white"/>
    <s v="beige"/>
    <s v="kia motors america  inc"/>
    <n v="16000"/>
    <x v="170"/>
    <s v="Tue Dec 16 2014 12:30:00 GMT-0800 (PST)"/>
    <n v="2014"/>
    <x v="77"/>
    <x v="1"/>
    <s v="Low"/>
  </r>
  <r>
    <n v="2013"/>
    <x v="3"/>
    <x v="4"/>
    <x v="51"/>
    <x v="1"/>
    <s v="automatic"/>
    <s v="1n4al3ap3dn535427"/>
    <s v="ca"/>
    <n v="36"/>
    <x v="356"/>
    <s v="red"/>
    <s v="beige"/>
    <s v="avis corporation"/>
    <n v="12900"/>
    <x v="154"/>
    <s v="Tue Dec 16 2014 12:30:00 GMT-0800 (PST)"/>
    <n v="2014"/>
    <x v="78"/>
    <x v="2"/>
    <s v="Low"/>
  </r>
  <r>
    <n v="2013"/>
    <x v="14"/>
    <x v="58"/>
    <x v="52"/>
    <x v="1"/>
    <s v="automatic"/>
    <s v="wddng7db2da502214"/>
    <s v="ca"/>
    <n v="36"/>
    <x v="357"/>
    <s v="black"/>
    <s v="black"/>
    <s v="mercedes-benz financial services"/>
    <n v="55100"/>
    <x v="171"/>
    <s v="Thu Jan 29 2015 04:30:00 GMT-0800 (PST)"/>
    <n v="2015"/>
    <x v="79"/>
    <x v="2"/>
    <s v="Medium"/>
  </r>
  <r>
    <n v="2013"/>
    <x v="3"/>
    <x v="4"/>
    <x v="51"/>
    <x v="1"/>
    <s v="automatic"/>
    <s v="1n4al3ap4dn454940"/>
    <s v="ca"/>
    <n v="32"/>
    <x v="358"/>
    <s v="black"/>
    <s v="black"/>
    <s v="the hertz corporation"/>
    <n v="11700"/>
    <x v="110"/>
    <s v="Tue Dec 16 2014 12:30:00 GMT-0800 (PST)"/>
    <n v="2014"/>
    <x v="78"/>
    <x v="2"/>
    <s v="Low"/>
  </r>
  <r>
    <n v="2013"/>
    <x v="11"/>
    <x v="59"/>
    <x v="5"/>
    <x v="1"/>
    <s v="automatic"/>
    <s v="jthbe1bl9d5002103"/>
    <s v="ca"/>
    <n v="36"/>
    <x v="359"/>
    <s v="white"/>
    <s v="white"/>
    <s v="lexus financial services"/>
    <n v="32100"/>
    <x v="172"/>
    <s v="Wed Dec 17 2014 12:30:00 GMT-0800 (PST)"/>
    <n v="2014"/>
    <x v="80"/>
    <x v="2"/>
    <s v="Medium"/>
  </r>
  <r>
    <n v="2013"/>
    <x v="15"/>
    <x v="60"/>
    <x v="10"/>
    <x v="0"/>
    <s v="automatic"/>
    <s v="ja4jt3aw5du020785"/>
    <s v="ca"/>
    <n v="39"/>
    <x v="360"/>
    <s v="silver"/>
    <s v="black"/>
    <s v="avis rac/san leandro"/>
    <n v="14750"/>
    <x v="173"/>
    <s v="Wed Dec 31 2014 12:30:00 GMT-0800 (PST)"/>
    <n v="2014"/>
    <x v="81"/>
    <x v="2"/>
    <s v="Low"/>
  </r>
  <r>
    <n v="2013"/>
    <x v="0"/>
    <x v="10"/>
    <x v="50"/>
    <x v="1"/>
    <s v="automatic"/>
    <s v="knagm4ad9d5054379"/>
    <s v="ca"/>
    <n v="46"/>
    <x v="361"/>
    <s v="black"/>
    <s v="black"/>
    <s v="kia motors america  inc"/>
    <n v="16050"/>
    <x v="101"/>
    <s v="Tue Dec 16 2014 12:30:00 GMT-0800 (PST)"/>
    <n v="2014"/>
    <x v="77"/>
    <x v="1"/>
    <s v="Low"/>
  </r>
  <r>
    <n v="2013"/>
    <x v="14"/>
    <x v="61"/>
    <x v="53"/>
    <x v="3"/>
    <s v="automatic"/>
    <s v="wddgj4hb9dg004804"/>
    <s v="ca"/>
    <n v="42"/>
    <x v="362"/>
    <s v="â€”"/>
    <s v="black"/>
    <s v="mercedes-benz financial services"/>
    <n v="26700"/>
    <x v="53"/>
    <s v="Thu Dec 18 2014 12:30:00 GMT-0800 (PST)"/>
    <n v="2014"/>
    <x v="82"/>
    <x v="1"/>
    <s v="Medium"/>
  </r>
  <r>
    <n v="2013"/>
    <x v="0"/>
    <x v="10"/>
    <x v="54"/>
    <x v="1"/>
    <s v="automatic"/>
    <s v="5xxgr4a65dg171118"/>
    <s v="ca"/>
    <n v="44"/>
    <x v="363"/>
    <s v="black"/>
    <s v="black"/>
    <s v="high bid trading co inc"/>
    <n v="21200"/>
    <x v="40"/>
    <s v="Wed Dec 17 2014 12:15:00 GMT-0800 (PST)"/>
    <n v="2014"/>
    <x v="83"/>
    <x v="1"/>
    <s v="Medium"/>
  </r>
  <r>
    <n v="2013"/>
    <x v="3"/>
    <x v="4"/>
    <x v="51"/>
    <x v="1"/>
    <s v="automatic"/>
    <s v="1n4al3ap6dc903319"/>
    <s v="ca"/>
    <n v="2"/>
    <x v="364"/>
    <s v="black"/>
    <s v="black"/>
    <s v="enterprise vehicle exchange / tra / rental / tulsa"/>
    <n v="12850"/>
    <x v="148"/>
    <s v="Tue Dec 16 2014 12:00:00 GMT-0800 (PST)"/>
    <n v="2014"/>
    <x v="78"/>
    <x v="0"/>
    <s v="Low"/>
  </r>
  <r>
    <n v="2013"/>
    <x v="3"/>
    <x v="4"/>
    <x v="51"/>
    <x v="1"/>
    <s v="automatic"/>
    <s v="1n4al3ap2dc275940"/>
    <s v="ca"/>
    <n v="44"/>
    <x v="365"/>
    <s v="silver"/>
    <s v="black"/>
    <s v="enterprise vehicle exchange/orange"/>
    <n v="12550"/>
    <x v="39"/>
    <s v="Wed Dec 17 2014 12:30:00 GMT-0800 (PST)"/>
    <n v="2014"/>
    <x v="78"/>
    <x v="1"/>
    <s v="Low"/>
  </r>
  <r>
    <n v="2013"/>
    <x v="12"/>
    <x v="45"/>
    <x v="36"/>
    <x v="8"/>
    <s v="automatic"/>
    <s v="jn1cv6ap5dm715922"/>
    <s v="ca"/>
    <n v="36"/>
    <x v="366"/>
    <s v="gray"/>
    <s v="black"/>
    <s v="nissan infiniti lt"/>
    <n v="21300"/>
    <x v="62"/>
    <s v="Wed Dec 17 2014 12:30:00 GMT-0800 (PST)"/>
    <n v="2014"/>
    <x v="50"/>
    <x v="2"/>
    <s v="Medium"/>
  </r>
  <r>
    <n v="2013"/>
    <x v="3"/>
    <x v="4"/>
    <x v="51"/>
    <x v="1"/>
    <s v="automatic"/>
    <s v="1n4al3ap9dc280391"/>
    <s v="ca"/>
    <n v="43"/>
    <x v="367"/>
    <s v="silver"/>
    <s v="black"/>
    <s v="enterprise vehicle exchange/orange"/>
    <n v="12800"/>
    <x v="58"/>
    <s v="Tue Dec 16 2014 12:30:00 GMT-0800 (PST)"/>
    <n v="2014"/>
    <x v="78"/>
    <x v="1"/>
    <s v="Low"/>
  </r>
  <r>
    <n v="2013"/>
    <x v="13"/>
    <x v="57"/>
    <x v="55"/>
    <x v="0"/>
    <s v="automatic"/>
    <s v="1c4hjweg8dl539625"/>
    <s v="ca"/>
    <n v="31"/>
    <x v="368"/>
    <s v="black"/>
    <s v="black"/>
    <s v="avis corporation"/>
    <n v="27100"/>
    <x v="90"/>
    <s v="Tue Dec 30 2014 15:00:00 GMT-0800 (PST)"/>
    <n v="2014"/>
    <x v="84"/>
    <x v="2"/>
    <s v="Medium"/>
  </r>
  <r>
    <n v="2013"/>
    <x v="16"/>
    <x v="62"/>
    <x v="42"/>
    <x v="5"/>
    <s v="automatic"/>
    <s v="jm1de1kz8d0152764"/>
    <s v="ca"/>
    <n v="2"/>
    <x v="369"/>
    <s v="black"/>
    <s v="black"/>
    <s v="exeter finance corp"/>
    <n v="9825"/>
    <x v="174"/>
    <s v="Thu Dec 18 2014 12:00:00 GMT-0800 (PST)"/>
    <n v="2014"/>
    <x v="85"/>
    <x v="0"/>
    <s v="Low"/>
  </r>
  <r>
    <n v="2013"/>
    <x v="3"/>
    <x v="4"/>
    <x v="51"/>
    <x v="1"/>
    <s v="automatic"/>
    <s v="1n4al3ap5dc205039"/>
    <s v="ca"/>
    <n v="4"/>
    <x v="370"/>
    <s v="red"/>
    <s v="black"/>
    <s v="enterprise vehicle exchange/orange"/>
    <n v="13400"/>
    <x v="58"/>
    <s v="Tue Dec 16 2014 12:30:00 GMT-0800 (PST)"/>
    <n v="2014"/>
    <x v="78"/>
    <x v="0"/>
    <s v="Low"/>
  </r>
  <r>
    <n v="2013"/>
    <x v="0"/>
    <x v="63"/>
    <x v="0"/>
    <x v="1"/>
    <s v="automatic"/>
    <s v="knadm4a3xd6124671"/>
    <s v="ca"/>
    <n v="28"/>
    <x v="371"/>
    <s v="silver"/>
    <s v="black"/>
    <s v="primeritus remarketing/oregon comm credit"/>
    <n v="9775"/>
    <x v="175"/>
    <s v="Wed Dec 17 2014 12:30:00 GMT-0800 (PST)"/>
    <n v="2014"/>
    <x v="86"/>
    <x v="2"/>
    <s v="Low"/>
  </r>
  <r>
    <n v="2013"/>
    <x v="14"/>
    <x v="61"/>
    <x v="56"/>
    <x v="1"/>
    <s v="automatic"/>
    <s v="wddgf4hb8da832718"/>
    <s v="ca"/>
    <n v="45"/>
    <x v="372"/>
    <s v="white"/>
    <s v="black"/>
    <s v="mercedes-benz financial services"/>
    <n v="23100"/>
    <x v="85"/>
    <s v="Thu Dec 18 2014 12:30:00 GMT-0800 (PST)"/>
    <n v="2014"/>
    <x v="87"/>
    <x v="1"/>
    <s v="Medium"/>
  </r>
  <r>
    <n v="2013"/>
    <x v="0"/>
    <x v="10"/>
    <x v="0"/>
    <x v="1"/>
    <s v="automatic"/>
    <s v="5xxgm4a72dg248132"/>
    <s v="ca"/>
    <n v="22"/>
    <x v="373"/>
    <s v="black"/>
    <s v="gray"/>
    <s v="kia motors finance"/>
    <n v="14150"/>
    <x v="80"/>
    <s v="Tue Dec 16 2014 12:00:00 GMT-0800 (PST)"/>
    <n v="2014"/>
    <x v="10"/>
    <x v="2"/>
    <s v="Low"/>
  </r>
  <r>
    <n v="2013"/>
    <x v="3"/>
    <x v="4"/>
    <x v="51"/>
    <x v="1"/>
    <s v="automatic"/>
    <s v="1n4al3ap1dc259891"/>
    <s v="ca"/>
    <n v="37"/>
    <x v="374"/>
    <s v="black"/>
    <s v="black"/>
    <s v="merchants leasing"/>
    <n v="12600"/>
    <x v="137"/>
    <s v="Tue Dec 30 2014 16:00:00 GMT-0800 (PST)"/>
    <n v="2014"/>
    <x v="78"/>
    <x v="2"/>
    <s v="Low"/>
  </r>
  <r>
    <n v="2013"/>
    <x v="16"/>
    <x v="62"/>
    <x v="57"/>
    <x v="5"/>
    <s v="automatic"/>
    <s v="jm1de1lz0d0160159"/>
    <s v="ca"/>
    <n v="35"/>
    <x v="375"/>
    <s v="red"/>
    <s v="black"/>
    <s v="the hertz corporation"/>
    <n v="8475"/>
    <x v="21"/>
    <s v="Tue Dec 16 2014 12:30:00 GMT-0800 (PST)"/>
    <n v="2014"/>
    <x v="88"/>
    <x v="2"/>
    <s v="Low"/>
  </r>
  <r>
    <n v="2013"/>
    <x v="12"/>
    <x v="64"/>
    <x v="58"/>
    <x v="1"/>
    <s v="automatic"/>
    <s v="jn1by1ap0dm513625"/>
    <s v="ca"/>
    <n v="46"/>
    <x v="376"/>
    <s v="â€”"/>
    <s v="black"/>
    <s v="nissan north america inc."/>
    <n v="33900"/>
    <x v="176"/>
    <s v="Thu Jan 15 2015 04:30:00 GMT-0800 (PST)"/>
    <n v="2015"/>
    <x v="89"/>
    <x v="1"/>
    <s v="Medium"/>
  </r>
  <r>
    <n v="2013"/>
    <x v="0"/>
    <x v="10"/>
    <x v="50"/>
    <x v="1"/>
    <s v="automatic"/>
    <s v="knagm4ad6d5055554"/>
    <s v="ca"/>
    <n v="42"/>
    <x v="377"/>
    <s v="black"/>
    <s v="gray"/>
    <s v="kia motors america  inc"/>
    <n v="15900"/>
    <x v="117"/>
    <s v="Tue Dec 16 2014 12:30:00 GMT-0800 (PST)"/>
    <n v="2014"/>
    <x v="77"/>
    <x v="1"/>
    <s v="Low"/>
  </r>
  <r>
    <n v="2013"/>
    <x v="3"/>
    <x v="65"/>
    <x v="5"/>
    <x v="2"/>
    <s v="automatic"/>
    <s v="jn1az4fh8dm790096"/>
    <s v="ca"/>
    <n v="43"/>
    <x v="378"/>
    <s v="silver"/>
    <s v="black"/>
    <s v="nissan north america inc."/>
    <n v="29800"/>
    <x v="177"/>
    <s v="Tue Dec 16 2014 12:30:00 GMT-0800 (PST)"/>
    <n v="2014"/>
    <x v="90"/>
    <x v="1"/>
    <s v="Medium"/>
  </r>
  <r>
    <n v="2013"/>
    <x v="0"/>
    <x v="66"/>
    <x v="59"/>
    <x v="4"/>
    <s v="automatic"/>
    <s v="kndjt2a60d7538561"/>
    <s v="ca"/>
    <n v="28"/>
    <x v="379"/>
    <s v="black"/>
    <s v="black"/>
    <s v="exeter finance corp"/>
    <n v="11250"/>
    <x v="49"/>
    <s v="Tue Dec 30 2014 15:00:00 GMT-0800 (PST)"/>
    <n v="2014"/>
    <x v="91"/>
    <x v="2"/>
    <s v="Low"/>
  </r>
  <r>
    <n v="2013"/>
    <x v="0"/>
    <x v="0"/>
    <x v="0"/>
    <x v="0"/>
    <s v="automatic"/>
    <s v="5xyktda2xdg322880"/>
    <s v="ca"/>
    <n v="44"/>
    <x v="380"/>
    <s v="silver"/>
    <s v="gray"/>
    <s v="kia motors america  inc -lemon law buybacks"/>
    <n v="15700"/>
    <x v="178"/>
    <s v="Tue Dec 16 2014 12:30:00 GMT-0800 (PST)"/>
    <n v="2014"/>
    <x v="0"/>
    <x v="1"/>
    <s v="Low"/>
  </r>
  <r>
    <n v="2013"/>
    <x v="0"/>
    <x v="63"/>
    <x v="0"/>
    <x v="1"/>
    <s v="automatic"/>
    <s v="knadm4a36d6256603"/>
    <s v="ca"/>
    <n v="4"/>
    <x v="381"/>
    <s v="black"/>
    <s v="beige"/>
    <s v="avis rac/san leandro"/>
    <n v="9375"/>
    <x v="6"/>
    <s v="Wed Dec 31 2014 12:30:00 GMT-0800 (PST)"/>
    <n v="2014"/>
    <x v="86"/>
    <x v="0"/>
    <s v="Low"/>
  </r>
  <r>
    <n v="2013"/>
    <x v="0"/>
    <x v="66"/>
    <x v="5"/>
    <x v="4"/>
    <s v="manual"/>
    <s v="kndjt2a54d7539154"/>
    <s v="ca"/>
    <n v="1"/>
    <x v="382"/>
    <s v="silver"/>
    <s v="black"/>
    <s v="kia motors finance"/>
    <n v="11400"/>
    <x v="179"/>
    <s v="Tue Dec 16 2014 12:00:00 GMT-0800 (PST)"/>
    <n v="2014"/>
    <x v="92"/>
    <x v="0"/>
    <s v="Low"/>
  </r>
  <r>
    <n v="2013"/>
    <x v="15"/>
    <x v="67"/>
    <x v="60"/>
    <x v="0"/>
    <s v="automatic"/>
    <s v="4a4ar5au4de024456"/>
    <s v="ca"/>
    <n v="27"/>
    <x v="383"/>
    <s v="blue"/>
    <s v="black"/>
    <s v="avis rac/san leandro"/>
    <n v="15650"/>
    <x v="180"/>
    <s v="Wed Dec 17 2014 12:30:00 GMT-0800 (PST)"/>
    <n v="2014"/>
    <x v="93"/>
    <x v="2"/>
    <s v="Low"/>
  </r>
  <r>
    <n v="2013"/>
    <x v="14"/>
    <x v="61"/>
    <x v="56"/>
    <x v="1"/>
    <s v="automatic"/>
    <s v="wddgf4hb3dr256859"/>
    <s v="ca"/>
    <n v="28"/>
    <x v="384"/>
    <s v="black"/>
    <s v="black"/>
    <s v="the hertz corporation"/>
    <n v="22000"/>
    <x v="29"/>
    <s v="Tue Dec 30 2014 12:30:00 GMT-0800 (PST)"/>
    <n v="2014"/>
    <x v="87"/>
    <x v="2"/>
    <s v="Medium"/>
  </r>
  <r>
    <n v="2013"/>
    <x v="14"/>
    <x v="68"/>
    <x v="61"/>
    <x v="2"/>
    <s v="automatic"/>
    <s v="wddpk5ha1df065483"/>
    <s v="ca"/>
    <n v="44"/>
    <x v="385"/>
    <s v="black"/>
    <s v="â€”"/>
    <s v="mercedes-benz finc wholesale advantage"/>
    <n v="44700"/>
    <x v="181"/>
    <s v="Thu Jan 15 2015 04:30:00 GMT-0800 (PST)"/>
    <n v="2015"/>
    <x v="94"/>
    <x v="1"/>
    <s v="Medium"/>
  </r>
  <r>
    <n v="2013"/>
    <x v="11"/>
    <x v="69"/>
    <x v="5"/>
    <x v="1"/>
    <s v="automatic"/>
    <s v="jthbk1gg1d2049728"/>
    <s v="ca"/>
    <n v="38"/>
    <x v="386"/>
    <s v="gray"/>
    <s v="black"/>
    <s v="mercedes benz of temecula"/>
    <n v="28900"/>
    <x v="2"/>
    <s v="Thu Dec 18 2014 12:00:00 GMT-0800 (PST)"/>
    <n v="2014"/>
    <x v="95"/>
    <x v="2"/>
    <s v="Medium"/>
  </r>
  <r>
    <n v="2013"/>
    <x v="14"/>
    <x v="70"/>
    <x v="62"/>
    <x v="1"/>
    <s v="automatic"/>
    <s v="wddhf5kb8da762334"/>
    <s v="ca"/>
    <n v="25"/>
    <x v="387"/>
    <s v="black"/>
    <s v="black"/>
    <s v="mercedes-benz usa"/>
    <n v="35400"/>
    <x v="182"/>
    <s v="Thu Jan 15 2015 04:30:00 GMT-0800 (PST)"/>
    <n v="2015"/>
    <x v="96"/>
    <x v="2"/>
    <s v="Medium"/>
  </r>
  <r>
    <n v="2013"/>
    <x v="16"/>
    <x v="71"/>
    <x v="63"/>
    <x v="1"/>
    <s v="automatic"/>
    <s v="jm1bl1tg8d1728177"/>
    <s v="ca"/>
    <n v="36"/>
    <x v="388"/>
    <s v="gray"/>
    <s v="black"/>
    <s v="california republic bank"/>
    <n v="9900"/>
    <x v="12"/>
    <s v="Wed Dec 17 2014 12:30:00 GMT-0800 (PST)"/>
    <n v="2014"/>
    <x v="97"/>
    <x v="2"/>
    <s v="Low"/>
  </r>
  <r>
    <n v="2013"/>
    <x v="17"/>
    <x v="72"/>
    <x v="5"/>
    <x v="5"/>
    <s v="automatic"/>
    <s v="wmwzf3c54dt489938"/>
    <s v="ca"/>
    <n v="37"/>
    <x v="389"/>
    <s v="green"/>
    <s v="beige"/>
    <s v="avis rac/san leandro"/>
    <n v="13550"/>
    <x v="58"/>
    <s v="Wed Dec 17 2014 12:30:00 GMT-0800 (PST)"/>
    <n v="2014"/>
    <x v="98"/>
    <x v="2"/>
    <s v="Low"/>
  </r>
  <r>
    <n v="2013"/>
    <x v="17"/>
    <x v="73"/>
    <x v="5"/>
    <x v="5"/>
    <s v="automatic"/>
    <s v="wmwsu3c55dt677990"/>
    <s v="ca"/>
    <n v="28"/>
    <x v="390"/>
    <s v="blue"/>
    <s v="â€”"/>
    <s v="bmw mini financial services"/>
    <n v="15300"/>
    <x v="173"/>
    <s v="Thu Dec 18 2014 12:30:00 GMT-0800 (PST)"/>
    <n v="2014"/>
    <x v="99"/>
    <x v="2"/>
    <s v="Low"/>
  </r>
  <r>
    <n v="2013"/>
    <x v="14"/>
    <x v="58"/>
    <x v="52"/>
    <x v="1"/>
    <m/>
    <s v="wddng7db1da509056"/>
    <s v="ca"/>
    <n v="39"/>
    <x v="391"/>
    <s v="black"/>
    <s v="black"/>
    <s v="mercedes-benz financial services"/>
    <n v="52600"/>
    <x v="183"/>
    <s v="Thu Jan 15 2015 04:30:00 GMT-0800 (PST)"/>
    <n v="2015"/>
    <x v="79"/>
    <x v="2"/>
    <s v="High"/>
  </r>
  <r>
    <n v="2013"/>
    <x v="16"/>
    <x v="74"/>
    <x v="57"/>
    <x v="0"/>
    <s v="automatic"/>
    <s v="jm3tb3cv9d0410440"/>
    <s v="ca"/>
    <n v="38"/>
    <x v="392"/>
    <s v="red"/>
    <s v="black"/>
    <s v="avis rac/san leandro"/>
    <n v="19150"/>
    <x v="43"/>
    <s v="Wed Dec 31 2014 12:30:00 GMT-0800 (PST)"/>
    <n v="2014"/>
    <x v="100"/>
    <x v="2"/>
    <s v="Medium"/>
  </r>
  <r>
    <n v="2013"/>
    <x v="12"/>
    <x v="45"/>
    <x v="36"/>
    <x v="8"/>
    <s v="automatic"/>
    <s v="jn1cv6ap2dm712931"/>
    <s v="ca"/>
    <n v="4"/>
    <x v="393"/>
    <s v="gray"/>
    <s v="black"/>
    <s v="nissan infiniti lt"/>
    <n v="21600"/>
    <x v="120"/>
    <s v="Thu Dec 18 2014 12:30:00 GMT-0800 (PST)"/>
    <n v="2014"/>
    <x v="50"/>
    <x v="0"/>
    <s v="Medium"/>
  </r>
  <r>
    <n v="2013"/>
    <x v="3"/>
    <x v="4"/>
    <x v="4"/>
    <x v="3"/>
    <s v="automatic"/>
    <s v="1n4al2ep0dc231309"/>
    <s v="ca"/>
    <n v="1"/>
    <x v="394"/>
    <s v="black"/>
    <s v="black"/>
    <s v="remarketing by ge/manheim southern california"/>
    <n v="13700"/>
    <x v="184"/>
    <s v="Tue Dec 23 2014 13:00:00 GMT-0800 (PST)"/>
    <n v="2014"/>
    <x v="4"/>
    <x v="0"/>
    <s v="Low"/>
  </r>
  <r>
    <n v="2013"/>
    <x v="0"/>
    <x v="75"/>
    <x v="0"/>
    <x v="1"/>
    <s v="automatic"/>
    <s v="knaft4a28d5738465"/>
    <s v="ca"/>
    <n v="43"/>
    <x v="395"/>
    <s v="black"/>
    <s v="gray"/>
    <s v="exeter finance corp"/>
    <n v="7050"/>
    <x v="30"/>
    <s v="Thu Dec 18 2014 12:00:00 GMT-0800 (PST)"/>
    <n v="2014"/>
    <x v="101"/>
    <x v="1"/>
    <s v="Low"/>
  </r>
  <r>
    <n v="2013"/>
    <x v="16"/>
    <x v="74"/>
    <x v="57"/>
    <x v="0"/>
    <s v="automatic"/>
    <s v="jm3tb2cv8d0412139"/>
    <s v="ca"/>
    <n v="36"/>
    <x v="396"/>
    <s v="gray"/>
    <s v="black"/>
    <s v="avis rac/san leandro"/>
    <n v="19050"/>
    <x v="185"/>
    <s v="Wed Dec 31 2014 12:30:00 GMT-0800 (PST)"/>
    <n v="2014"/>
    <x v="100"/>
    <x v="2"/>
    <s v="Medium"/>
  </r>
  <r>
    <n v="2013"/>
    <x v="0"/>
    <x v="0"/>
    <x v="54"/>
    <x v="0"/>
    <s v="automatic"/>
    <s v="5xykw4a26dg339716"/>
    <s v="ca"/>
    <n v="47"/>
    <x v="397"/>
    <s v="burgundy"/>
    <s v="black"/>
    <s v="high bid trading co inc"/>
    <n v="21700"/>
    <x v="0"/>
    <s v="Wed Dec 17 2014 12:15:00 GMT-0800 (PST)"/>
    <n v="2014"/>
    <x v="102"/>
    <x v="1"/>
    <s v="Medium"/>
  </r>
  <r>
    <n v="2013"/>
    <x v="3"/>
    <x v="4"/>
    <x v="51"/>
    <x v="1"/>
    <s v="automatic"/>
    <s v="1n4al3ap0dn511313"/>
    <s v="ca"/>
    <n v="35"/>
    <x v="398"/>
    <s v="red"/>
    <s v="black"/>
    <s v="avis corporation"/>
    <n v="12850"/>
    <x v="186"/>
    <s v="Tue Dec 16 2014 12:30:00 GMT-0800 (PST)"/>
    <n v="2014"/>
    <x v="78"/>
    <x v="2"/>
    <s v="Low"/>
  </r>
  <r>
    <n v="2013"/>
    <x v="3"/>
    <x v="4"/>
    <x v="51"/>
    <x v="1"/>
    <s v="automatic"/>
    <s v="1n4al3ap2dn571447"/>
    <s v="ca"/>
    <n v="33"/>
    <x v="399"/>
    <s v="charcoal"/>
    <s v="black"/>
    <s v="enterprise vehicle exchange/orange"/>
    <n v="12750"/>
    <x v="186"/>
    <s v="Tue Dec 16 2014 12:30:00 GMT-0800 (PST)"/>
    <n v="2014"/>
    <x v="78"/>
    <x v="2"/>
    <s v="Low"/>
  </r>
  <r>
    <n v="2013"/>
    <x v="3"/>
    <x v="4"/>
    <x v="51"/>
    <x v="1"/>
    <s v="automatic"/>
    <s v="1n4al3ap1dn536852"/>
    <s v="ca"/>
    <n v="41"/>
    <x v="400"/>
    <s v="silver"/>
    <s v="black"/>
    <s v="avis corporation"/>
    <n v="12800"/>
    <x v="186"/>
    <s v="Wed Dec 17 2014 12:30:00 GMT-0800 (PST)"/>
    <n v="2014"/>
    <x v="78"/>
    <x v="1"/>
    <s v="Low"/>
  </r>
  <r>
    <n v="2013"/>
    <x v="13"/>
    <x v="76"/>
    <x v="64"/>
    <x v="0"/>
    <s v="automatic"/>
    <s v="1c4njceb2dd229860"/>
    <s v="ca"/>
    <n v="41"/>
    <x v="401"/>
    <s v="white"/>
    <s v="black"/>
    <s v="chrysler capital"/>
    <n v="12600"/>
    <x v="187"/>
    <s v="Thu Dec 18 2014 12:00:00 GMT-0800 (PST)"/>
    <n v="2014"/>
    <x v="103"/>
    <x v="1"/>
    <s v="Low"/>
  </r>
  <r>
    <n v="2013"/>
    <x v="3"/>
    <x v="65"/>
    <x v="5"/>
    <x v="3"/>
    <s v="automatic"/>
    <s v="jn1az4eh8dm881810"/>
    <s v="ca"/>
    <n v="38"/>
    <x v="402"/>
    <s v="black"/>
    <s v="black"/>
    <s v="nissan north america inc."/>
    <n v="23600"/>
    <x v="0"/>
    <s v="Tue Dec 16 2014 12:30:00 GMT-0800 (PST)"/>
    <n v="2014"/>
    <x v="90"/>
    <x v="2"/>
    <s v="Medium"/>
  </r>
  <r>
    <n v="2013"/>
    <x v="3"/>
    <x v="4"/>
    <x v="4"/>
    <x v="3"/>
    <s v="automatic"/>
    <s v="1n4al2ep0dc290165"/>
    <s v="ca"/>
    <n v="44"/>
    <x v="403"/>
    <s v="gray"/>
    <s v="black"/>
    <s v="team nissan"/>
    <n v="15650"/>
    <x v="188"/>
    <s v="Tue Dec 16 2014 12:30:00 GMT-0800 (PST)"/>
    <n v="2014"/>
    <x v="4"/>
    <x v="1"/>
    <s v="Low"/>
  </r>
  <r>
    <n v="2013"/>
    <x v="16"/>
    <x v="71"/>
    <x v="65"/>
    <x v="1"/>
    <s v="automatic"/>
    <s v="jm1bl1vp7d1768022"/>
    <s v="ca"/>
    <n v="3"/>
    <x v="404"/>
    <s v="black"/>
    <s v="black"/>
    <s v="south bay hyundai"/>
    <n v="9100"/>
    <x v="189"/>
    <s v="Tue Dec 16 2014 12:30:00 GMT-0800 (PST)"/>
    <n v="2014"/>
    <x v="104"/>
    <x v="0"/>
    <s v="Low"/>
  </r>
  <r>
    <n v="2013"/>
    <x v="12"/>
    <x v="77"/>
    <x v="66"/>
    <x v="0"/>
    <s v="automatic"/>
    <s v="5n1al0mm4dc337764"/>
    <s v="ca"/>
    <n v="37"/>
    <x v="405"/>
    <s v="gray"/>
    <s v="beige"/>
    <s v="nissan infiniti lt"/>
    <n v="32000"/>
    <x v="7"/>
    <s v="Wed Dec 17 2014 12:30:00 GMT-0800 (PST)"/>
    <n v="2014"/>
    <x v="105"/>
    <x v="2"/>
    <s v="Medium"/>
  </r>
  <r>
    <n v="2013"/>
    <x v="12"/>
    <x v="45"/>
    <x v="36"/>
    <x v="8"/>
    <s v="automatic"/>
    <s v="jn1cv6ap9dm712909"/>
    <s v="ca"/>
    <n v="43"/>
    <x v="406"/>
    <s v="gray"/>
    <s v="black"/>
    <s v="nissan infiniti lt"/>
    <n v="23300"/>
    <x v="109"/>
    <s v="Thu Dec 18 2014 12:30:00 GMT-0800 (PST)"/>
    <n v="2014"/>
    <x v="50"/>
    <x v="1"/>
    <s v="Medium"/>
  </r>
  <r>
    <n v="2013"/>
    <x v="11"/>
    <x v="30"/>
    <x v="5"/>
    <x v="0"/>
    <s v="automatic"/>
    <s v="2t2zk1ba0dc103312"/>
    <s v="ca"/>
    <m/>
    <x v="407"/>
    <s v="gray"/>
    <s v="â€”"/>
    <s v="south county lexus at mission viejo"/>
    <n v="32000"/>
    <x v="190"/>
    <s v="Wed Dec 17 2014 12:30:00 GMT-0800 (PST)"/>
    <n v="2014"/>
    <x v="32"/>
    <x v="0"/>
    <s v="Medium"/>
  </r>
  <r>
    <n v="2013"/>
    <x v="12"/>
    <x v="45"/>
    <x v="67"/>
    <x v="8"/>
    <s v="automatic"/>
    <s v="jn1cv6ar0dm750465"/>
    <s v="ca"/>
    <n v="44"/>
    <x v="408"/>
    <s v="white"/>
    <s v="black"/>
    <s v="nissan infiniti lt"/>
    <n v="21700"/>
    <x v="106"/>
    <s v="Thu Dec 18 2014 12:30:00 GMT-0800 (PST)"/>
    <n v="2014"/>
    <x v="106"/>
    <x v="1"/>
    <s v="Medium"/>
  </r>
  <r>
    <n v="2013"/>
    <x v="0"/>
    <x v="10"/>
    <x v="54"/>
    <x v="1"/>
    <s v="automatic"/>
    <s v="5xxgr4a68dg228640"/>
    <s v="ca"/>
    <n v="42"/>
    <x v="409"/>
    <s v="black"/>
    <s v="black"/>
    <s v="kia motors finance"/>
    <n v="22200"/>
    <x v="136"/>
    <s v="Tue Dec 16 2014 12:00:00 GMT-0800 (PST)"/>
    <n v="2014"/>
    <x v="83"/>
    <x v="1"/>
    <s v="Medium"/>
  </r>
  <r>
    <n v="2013"/>
    <x v="3"/>
    <x v="4"/>
    <x v="51"/>
    <x v="1"/>
    <s v="automatic"/>
    <s v="1n4al3ap4dn548218"/>
    <s v="ca"/>
    <n v="39"/>
    <x v="410"/>
    <s v="white"/>
    <s v="beige"/>
    <s v="avis corporation"/>
    <n v="13150"/>
    <x v="108"/>
    <s v="Tue Dec 30 2014 12:30:00 GMT-0800 (PST)"/>
    <n v="2014"/>
    <x v="78"/>
    <x v="2"/>
    <s v="Low"/>
  </r>
  <r>
    <n v="2013"/>
    <x v="0"/>
    <x v="63"/>
    <x v="54"/>
    <x v="5"/>
    <s v="manual"/>
    <s v="knadn5a32d6147221"/>
    <s v="ca"/>
    <n v="46"/>
    <x v="411"/>
    <s v="red"/>
    <s v="black"/>
    <s v="kia motors finance"/>
    <n v="14050"/>
    <x v="191"/>
    <s v="Tue Dec 16 2014 12:00:00 GMT-0800 (PST)"/>
    <n v="2014"/>
    <x v="107"/>
    <x v="1"/>
    <s v="Low"/>
  </r>
  <r>
    <n v="2013"/>
    <x v="3"/>
    <x v="4"/>
    <x v="51"/>
    <x v="1"/>
    <s v="automatic"/>
    <s v="1n4al3apxdn538325"/>
    <s v="ca"/>
    <n v="35"/>
    <x v="412"/>
    <s v="black"/>
    <s v="black"/>
    <s v="avis rac/san leandro"/>
    <n v="12950"/>
    <x v="186"/>
    <s v="Wed Dec 17 2014 12:30:00 GMT-0800 (PST)"/>
    <n v="2014"/>
    <x v="78"/>
    <x v="2"/>
    <s v="Low"/>
  </r>
  <r>
    <n v="2013"/>
    <x v="11"/>
    <x v="78"/>
    <x v="5"/>
    <x v="0"/>
    <s v="automatic"/>
    <s v="jtjzb1ba8d2411313"/>
    <s v="ca"/>
    <m/>
    <x v="413"/>
    <s v="burgundy"/>
    <s v="â€”"/>
    <s v="dolan toyota scion"/>
    <n v="37300"/>
    <x v="32"/>
    <s v="Wed Dec 17 2014 12:30:00 GMT-0800 (PST)"/>
    <n v="2014"/>
    <x v="108"/>
    <x v="0"/>
    <s v="Medium"/>
  </r>
  <r>
    <n v="2013"/>
    <x v="3"/>
    <x v="4"/>
    <x v="51"/>
    <x v="1"/>
    <s v="automatic"/>
    <s v="1n4al3ap4dc259156"/>
    <s v="ca"/>
    <n v="38"/>
    <x v="414"/>
    <s v="white"/>
    <s v="black"/>
    <s v="merchants automotive group"/>
    <n v="12850"/>
    <x v="192"/>
    <s v="Wed Dec 17 2014 12:30:00 GMT-0800 (PST)"/>
    <n v="2014"/>
    <x v="78"/>
    <x v="2"/>
    <s v="Low"/>
  </r>
  <r>
    <n v="2013"/>
    <x v="0"/>
    <x v="66"/>
    <x v="59"/>
    <x v="4"/>
    <s v="manual"/>
    <s v="kndjt2a64d7494239"/>
    <s v="ca"/>
    <n v="2"/>
    <x v="415"/>
    <s v="black"/>
    <s v="black"/>
    <s v="hyundai motor finance"/>
    <n v="10200"/>
    <x v="193"/>
    <s v="Tue Dec 16 2014 12:00:00 GMT-0800 (PST)"/>
    <n v="2014"/>
    <x v="91"/>
    <x v="0"/>
    <s v="Low"/>
  </r>
  <r>
    <n v="2013"/>
    <x v="18"/>
    <x v="79"/>
    <x v="68"/>
    <x v="0"/>
    <s v="automatic"/>
    <s v="salak2d48da693027"/>
    <s v="ca"/>
    <n v="44"/>
    <x v="416"/>
    <s v="gray"/>
    <s v="black"/>
    <s v="land rover north america llc"/>
    <n v="58500"/>
    <x v="194"/>
    <s v="Thu Dec 18 2014 12:30:00 GMT-0800 (PST)"/>
    <n v="2014"/>
    <x v="109"/>
    <x v="1"/>
    <s v="Medium"/>
  </r>
  <r>
    <n v="2013"/>
    <x v="0"/>
    <x v="10"/>
    <x v="69"/>
    <x v="1"/>
    <s v="automatic"/>
    <s v="5xxgn4a7xdg106558"/>
    <s v="ca"/>
    <n v="2"/>
    <x v="417"/>
    <s v="burgundy"/>
    <s v="beige"/>
    <s v="kia motors finance"/>
    <n v="16200"/>
    <x v="12"/>
    <s v="Tue Dec 16 2014 13:00:00 GMT-0800 (PST)"/>
    <n v="2014"/>
    <x v="110"/>
    <x v="0"/>
    <s v="Low"/>
  </r>
  <r>
    <n v="2013"/>
    <x v="16"/>
    <x v="80"/>
    <x v="57"/>
    <x v="11"/>
    <s v="automatic"/>
    <s v="jm1cw2cl1d0150492"/>
    <s v="ca"/>
    <n v="35"/>
    <x v="418"/>
    <s v="red"/>
    <s v="gray"/>
    <s v="avis corporation"/>
    <n v="11300"/>
    <x v="162"/>
    <s v="Tue Dec 16 2014 12:30:00 GMT-0800 (PST)"/>
    <n v="2014"/>
    <x v="111"/>
    <x v="2"/>
    <s v="Low"/>
  </r>
  <r>
    <n v="2013"/>
    <x v="0"/>
    <x v="63"/>
    <x v="0"/>
    <x v="5"/>
    <s v="automatic"/>
    <s v="knadm5a38d6292461"/>
    <s v="ca"/>
    <n v="2"/>
    <x v="419"/>
    <s v="red"/>
    <s v="black"/>
    <s v="kia motors finance"/>
    <n v="10650"/>
    <x v="195"/>
    <s v="Tue Dec 16 2014 12:00:00 GMT-0800 (PST)"/>
    <n v="2014"/>
    <x v="86"/>
    <x v="0"/>
    <s v="Low"/>
  </r>
  <r>
    <n v="2013"/>
    <x v="3"/>
    <x v="4"/>
    <x v="51"/>
    <x v="1"/>
    <s v="automatic"/>
    <s v="1n4al3ap5dn450766"/>
    <s v="ca"/>
    <n v="45"/>
    <x v="420"/>
    <s v="white"/>
    <s v="beige"/>
    <s v="wheels exchange llc"/>
    <n v="12350"/>
    <x v="180"/>
    <s v="Wed Dec 17 2014 12:30:00 GMT-0800 (PST)"/>
    <n v="2014"/>
    <x v="78"/>
    <x v="1"/>
    <s v="Low"/>
  </r>
  <r>
    <n v="2013"/>
    <x v="12"/>
    <x v="45"/>
    <x v="67"/>
    <x v="8"/>
    <s v="automatic"/>
    <s v="jn1cv6ar5dm750574"/>
    <s v="ca"/>
    <n v="38"/>
    <x v="421"/>
    <s v="gray"/>
    <s v="black"/>
    <s v="nissan infiniti lt"/>
    <n v="23300"/>
    <x v="106"/>
    <s v="Thu Dec 18 2014 12:30:00 GMT-0800 (PST)"/>
    <n v="2014"/>
    <x v="106"/>
    <x v="2"/>
    <s v="Medium"/>
  </r>
  <r>
    <n v="2013"/>
    <x v="16"/>
    <x v="71"/>
    <x v="70"/>
    <x v="1"/>
    <s v="automatic"/>
    <s v="jm1bl1upxd1794194"/>
    <s v="ca"/>
    <n v="2"/>
    <x v="422"/>
    <s v="black"/>
    <s v="black"/>
    <s v="jpmorgan chase bank n.a."/>
    <n v="10250"/>
    <x v="36"/>
    <s v="Tue Dec 16 2014 12:30:00 GMT-0800 (PST)"/>
    <n v="2014"/>
    <x v="112"/>
    <x v="0"/>
    <s v="Low"/>
  </r>
  <r>
    <n v="2013"/>
    <x v="12"/>
    <x v="44"/>
    <x v="67"/>
    <x v="7"/>
    <s v="automatic"/>
    <s v="jn1cv6el5dm980105"/>
    <s v="ca"/>
    <n v="35"/>
    <x v="423"/>
    <s v="gray"/>
    <s v="black"/>
    <s v="nissan infiniti lt"/>
    <n v="26300"/>
    <x v="90"/>
    <s v="Wed Dec 17 2014 12:30:00 GMT-0800 (PST)"/>
    <n v="2014"/>
    <x v="113"/>
    <x v="2"/>
    <s v="Medium"/>
  </r>
  <r>
    <n v="2013"/>
    <x v="12"/>
    <x v="64"/>
    <x v="58"/>
    <x v="1"/>
    <s v="automatic"/>
    <s v="jn1by1ap3dm514252"/>
    <s v="ca"/>
    <n v="41"/>
    <x v="424"/>
    <s v="white"/>
    <s v="black"/>
    <s v="nissan north america inc."/>
    <n v="34700"/>
    <x v="196"/>
    <s v="Thu Dec 18 2014 12:30:00 GMT-0800 (PST)"/>
    <n v="2014"/>
    <x v="89"/>
    <x v="1"/>
    <s v="Medium"/>
  </r>
  <r>
    <n v="2013"/>
    <x v="0"/>
    <x v="75"/>
    <x v="69"/>
    <x v="1"/>
    <s v="automatic"/>
    <s v="knafu4a22d5724414"/>
    <s v="ca"/>
    <n v="27"/>
    <x v="425"/>
    <s v="gray"/>
    <s v="black"/>
    <s v="caprock auto remarketing"/>
    <n v="9175"/>
    <x v="96"/>
    <s v="Tue Dec 23 2014 12:00:00 GMT-0800 (PST)"/>
    <n v="2014"/>
    <x v="114"/>
    <x v="2"/>
    <s v="Low"/>
  </r>
  <r>
    <n v="2013"/>
    <x v="16"/>
    <x v="74"/>
    <x v="57"/>
    <x v="0"/>
    <s v="automatic"/>
    <s v="jm3tb2cv0d0411079"/>
    <s v="ca"/>
    <n v="29"/>
    <x v="426"/>
    <s v="gray"/>
    <s v="black"/>
    <s v="avis corporation"/>
    <n v="18850"/>
    <x v="158"/>
    <s v="Tue Dec 16 2014 12:30:00 GMT-0800 (PST)"/>
    <n v="2014"/>
    <x v="100"/>
    <x v="2"/>
    <s v="Medium"/>
  </r>
  <r>
    <n v="2013"/>
    <x v="3"/>
    <x v="4"/>
    <x v="4"/>
    <x v="3"/>
    <s v="automatic"/>
    <s v="1n4al2ep2dc219971"/>
    <s v="ca"/>
    <n v="35"/>
    <x v="427"/>
    <s v="gray"/>
    <s v="black"/>
    <s v="avis rac/san leandro"/>
    <n v="12400"/>
    <x v="197"/>
    <s v="Wed Dec 17 2014 12:30:00 GMT-0800 (PST)"/>
    <n v="2014"/>
    <x v="4"/>
    <x v="2"/>
    <s v="Low"/>
  </r>
  <r>
    <n v="2013"/>
    <x v="0"/>
    <x v="10"/>
    <x v="50"/>
    <x v="1"/>
    <s v="automatic"/>
    <s v="knagm4ad4d5057867"/>
    <s v="ca"/>
    <n v="49"/>
    <x v="428"/>
    <s v="white"/>
    <s v="gray"/>
    <s v="kia motors america  inc"/>
    <n v="15950"/>
    <x v="101"/>
    <s v="Tue Dec 16 2014 12:30:00 GMT-0800 (PST)"/>
    <n v="2014"/>
    <x v="77"/>
    <x v="1"/>
    <s v="Low"/>
  </r>
  <r>
    <n v="2013"/>
    <x v="17"/>
    <x v="73"/>
    <x v="5"/>
    <x v="5"/>
    <s v="automatic"/>
    <s v="wmwsu3c59dt548117"/>
    <s v="ca"/>
    <n v="35"/>
    <x v="429"/>
    <s v="green"/>
    <s v="black"/>
    <s v="avis rac/san leandro"/>
    <n v="12750"/>
    <x v="68"/>
    <s v="Wed Dec 17 2014 12:30:00 GMT-0800 (PST)"/>
    <n v="2014"/>
    <x v="99"/>
    <x v="2"/>
    <s v="Low"/>
  </r>
  <r>
    <n v="2013"/>
    <x v="16"/>
    <x v="80"/>
    <x v="42"/>
    <x v="11"/>
    <s v="automatic"/>
    <s v="jm1cw2bl1d0154950"/>
    <s v="ca"/>
    <n v="29"/>
    <x v="430"/>
    <s v="gray"/>
    <s v="black"/>
    <s v="enterprise vehicle exchange/orange"/>
    <n v="12050"/>
    <x v="137"/>
    <s v="Tue Dec 16 2014 12:30:00 GMT-0800 (PST)"/>
    <n v="2014"/>
    <x v="115"/>
    <x v="2"/>
    <s v="Low"/>
  </r>
  <r>
    <n v="2013"/>
    <x v="11"/>
    <x v="59"/>
    <x v="5"/>
    <x v="1"/>
    <s v="automatic"/>
    <s v="jthbe1bl6d5006836"/>
    <s v="ca"/>
    <n v="34"/>
    <x v="431"/>
    <s v="beige"/>
    <s v="brown"/>
    <s v="lexus financial services"/>
    <n v="34500"/>
    <x v="198"/>
    <s v="Wed Jan 14 2015 00:00:00 GMT-0800 (PST)"/>
    <n v="2015"/>
    <x v="80"/>
    <x v="2"/>
    <s v="Medium"/>
  </r>
  <r>
    <n v="2013"/>
    <x v="0"/>
    <x v="63"/>
    <x v="0"/>
    <x v="1"/>
    <s v="automatic"/>
    <s v="knadm4a3xd6113380"/>
    <s v="ca"/>
    <n v="2"/>
    <x v="432"/>
    <s v="black"/>
    <s v="beige"/>
    <s v="kia motors finance"/>
    <n v="8550"/>
    <x v="199"/>
    <s v="Tue Jan 13 2015 13:00:00 GMT-0800 (PST)"/>
    <n v="2015"/>
    <x v="86"/>
    <x v="0"/>
    <s v="Low"/>
  </r>
  <r>
    <n v="2013"/>
    <x v="18"/>
    <x v="81"/>
    <x v="71"/>
    <x v="0"/>
    <s v="automatic"/>
    <s v="salvp2bg5dh781072"/>
    <s v="ca"/>
    <n v="48"/>
    <x v="433"/>
    <s v="blue"/>
    <s v="black"/>
    <s v="mercedes benz of laguna niguel"/>
    <n v="35400"/>
    <x v="200"/>
    <s v="Wed Dec 17 2014 12:30:00 GMT-0800 (PST)"/>
    <n v="2014"/>
    <x v="116"/>
    <x v="1"/>
    <s v="Medium"/>
  </r>
  <r>
    <n v="2013"/>
    <x v="17"/>
    <x v="73"/>
    <x v="5"/>
    <x v="5"/>
    <s v="automatic"/>
    <s v="wmwsu3c58dt679944"/>
    <s v="ca"/>
    <m/>
    <x v="434"/>
    <s v="black"/>
    <s v="black"/>
    <s v="enterprise vehicle exchange / tra / rental / tulsa"/>
    <n v="13400"/>
    <x v="150"/>
    <s v="Tue Dec 16 2014 13:00:00 GMT-0800 (PST)"/>
    <n v="2014"/>
    <x v="99"/>
    <x v="0"/>
    <s v="Low"/>
  </r>
  <r>
    <n v="2013"/>
    <x v="3"/>
    <x v="4"/>
    <x v="51"/>
    <x v="1"/>
    <s v="automatic"/>
    <s v="1n4al3ap2dc297887"/>
    <s v="ca"/>
    <n v="44"/>
    <x v="435"/>
    <s v="gray"/>
    <s v="beige"/>
    <s v="enterprise veh exchange/rental"/>
    <n v="12550"/>
    <x v="69"/>
    <s v="Thu Dec 18 2014 11:30:00 GMT-0800 (PST)"/>
    <n v="2014"/>
    <x v="78"/>
    <x v="1"/>
    <s v="Low"/>
  </r>
  <r>
    <n v="2013"/>
    <x v="12"/>
    <x v="45"/>
    <x v="36"/>
    <x v="8"/>
    <s v="automatic"/>
    <s v="jn1cv6ap1dm301617"/>
    <s v="ca"/>
    <n v="44"/>
    <x v="436"/>
    <s v="black"/>
    <s v="gray"/>
    <s v="nissan infiniti lt"/>
    <n v="19800"/>
    <x v="62"/>
    <s v="Wed Dec 17 2014 12:30:00 GMT-0800 (PST)"/>
    <n v="2014"/>
    <x v="50"/>
    <x v="1"/>
    <s v="Medium"/>
  </r>
  <r>
    <n v="2013"/>
    <x v="0"/>
    <x v="63"/>
    <x v="0"/>
    <x v="1"/>
    <s v="manual"/>
    <s v="knadm4a35d6233930"/>
    <s v="ca"/>
    <n v="19"/>
    <x v="437"/>
    <s v="white"/>
    <s v="beige"/>
    <s v="tdaf remarketing"/>
    <n v="9225"/>
    <x v="201"/>
    <s v="Tue Dec 16 2014 12:30:00 GMT-0800 (PST)"/>
    <n v="2014"/>
    <x v="86"/>
    <x v="0"/>
    <s v="Low"/>
  </r>
  <r>
    <n v="2013"/>
    <x v="0"/>
    <x v="63"/>
    <x v="0"/>
    <x v="1"/>
    <s v="automatic"/>
    <s v="knadm4a34d6310898"/>
    <s v="ca"/>
    <n v="26"/>
    <x v="438"/>
    <s v="white"/>
    <s v="black"/>
    <s v="exeter finance corp"/>
    <n v="9475"/>
    <x v="153"/>
    <s v="Thu Dec 18 2014 12:00:00 GMT-0800 (PST)"/>
    <n v="2014"/>
    <x v="86"/>
    <x v="2"/>
    <s v="Low"/>
  </r>
  <r>
    <n v="2013"/>
    <x v="13"/>
    <x v="76"/>
    <x v="64"/>
    <x v="0"/>
    <s v="automatic"/>
    <s v="1c4njceb7dd255239"/>
    <s v="ca"/>
    <n v="27"/>
    <x v="439"/>
    <s v="red"/>
    <s v="black"/>
    <s v="exeter finance corp"/>
    <n v="12650"/>
    <x v="39"/>
    <s v="Thu Dec 18 2014 12:00:00 GMT-0800 (PST)"/>
    <n v="2014"/>
    <x v="103"/>
    <x v="2"/>
    <s v="Low"/>
  </r>
  <r>
    <n v="2013"/>
    <x v="15"/>
    <x v="60"/>
    <x v="10"/>
    <x v="0"/>
    <s v="automatic"/>
    <s v="ja4jt3aw9du020286"/>
    <s v="ca"/>
    <n v="35"/>
    <x v="440"/>
    <s v="gray"/>
    <s v="black"/>
    <s v="avis corporation"/>
    <n v="14300"/>
    <x v="19"/>
    <s v="Thu Dec 18 2014 11:30:00 GMT-0800 (PST)"/>
    <n v="2014"/>
    <x v="81"/>
    <x v="2"/>
    <s v="Low"/>
  </r>
  <r>
    <n v="2013"/>
    <x v="12"/>
    <x v="45"/>
    <x v="36"/>
    <x v="8"/>
    <s v="manual"/>
    <s v="jn1cv6ap9dm300540"/>
    <s v="ca"/>
    <n v="43"/>
    <x v="441"/>
    <s v="gray"/>
    <s v="black"/>
    <s v="nissan infiniti lt"/>
    <n v="25400"/>
    <x v="95"/>
    <s v="Wed Dec 17 2014 12:30:00 GMT-0800 (PST)"/>
    <n v="2014"/>
    <x v="50"/>
    <x v="1"/>
    <s v="Medium"/>
  </r>
  <r>
    <n v="2013"/>
    <x v="14"/>
    <x v="61"/>
    <x v="53"/>
    <x v="3"/>
    <s v="automatic"/>
    <s v="wddgj4hbxdf943918"/>
    <s v="ca"/>
    <n v="35"/>
    <x v="442"/>
    <s v="gray"/>
    <s v="black"/>
    <s v="mercedes-benz financial services"/>
    <n v="26000"/>
    <x v="109"/>
    <s v="Thu Jan 15 2015 04:30:00 GMT-0800 (PST)"/>
    <n v="2015"/>
    <x v="82"/>
    <x v="2"/>
    <s v="Medium"/>
  </r>
  <r>
    <n v="2013"/>
    <x v="12"/>
    <x v="44"/>
    <x v="67"/>
    <x v="7"/>
    <s v="automatic"/>
    <s v="jn1cv6el1dm980179"/>
    <s v="ca"/>
    <n v="42"/>
    <x v="443"/>
    <s v="â€”"/>
    <s v="black"/>
    <s v="nissan infiniti lt"/>
    <n v="21600"/>
    <x v="102"/>
    <s v="Thu Dec 18 2014 12:30:00 GMT-0800 (PST)"/>
    <n v="2014"/>
    <x v="113"/>
    <x v="1"/>
    <s v="Medium"/>
  </r>
  <r>
    <n v="2013"/>
    <x v="11"/>
    <x v="82"/>
    <x v="72"/>
    <x v="1"/>
    <s v="automatic"/>
    <s v="jthgl1efxd5047925"/>
    <s v="ca"/>
    <n v="49"/>
    <x v="444"/>
    <s v="gold"/>
    <s v="beige"/>
    <s v="sunshine autos"/>
    <n v="66000"/>
    <x v="202"/>
    <s v="Tue Dec 30 2014 12:30:00 GMT-0800 (PST)"/>
    <n v="2014"/>
    <x v="117"/>
    <x v="1"/>
    <s v="High"/>
  </r>
  <r>
    <n v="2013"/>
    <x v="14"/>
    <x v="58"/>
    <x v="52"/>
    <x v="1"/>
    <s v="automatic"/>
    <s v="wddng7db3da492051"/>
    <s v="ca"/>
    <n v="44"/>
    <x v="445"/>
    <s v="black"/>
    <s v="black"/>
    <s v="mercedes-benz financial services"/>
    <n v="53000"/>
    <x v="203"/>
    <s v="Thu Jan 29 2015 04:30:00 GMT-0800 (PST)"/>
    <n v="2015"/>
    <x v="79"/>
    <x v="1"/>
    <s v="High"/>
  </r>
  <r>
    <n v="2013"/>
    <x v="0"/>
    <x v="10"/>
    <x v="50"/>
    <x v="1"/>
    <s v="automatic"/>
    <s v="knagm4ad0d5055811"/>
    <s v="ca"/>
    <n v="44"/>
    <x v="446"/>
    <s v="gray"/>
    <s v="black"/>
    <s v="kia motors america  inc"/>
    <n v="15950"/>
    <x v="204"/>
    <s v="Tue Dec 16 2014 12:30:00 GMT-0800 (PST)"/>
    <n v="2014"/>
    <x v="77"/>
    <x v="1"/>
    <s v="Low"/>
  </r>
  <r>
    <n v="2013"/>
    <x v="15"/>
    <x v="60"/>
    <x v="10"/>
    <x v="0"/>
    <s v="automatic"/>
    <s v="ja4jt3aw7du019962"/>
    <s v="ca"/>
    <n v="38"/>
    <x v="447"/>
    <s v="silver"/>
    <s v="black"/>
    <s v="avis corporation"/>
    <n v="14550"/>
    <x v="129"/>
    <s v="Thu Dec 18 2014 11:30:00 GMT-0800 (PST)"/>
    <n v="2014"/>
    <x v="81"/>
    <x v="2"/>
    <s v="Low"/>
  </r>
  <r>
    <n v="2013"/>
    <x v="14"/>
    <x v="83"/>
    <x v="73"/>
    <x v="0"/>
    <s v="automatic"/>
    <s v="wdcgg5hb6df956724"/>
    <s v="ca"/>
    <n v="34"/>
    <x v="448"/>
    <s v="gray"/>
    <s v="black"/>
    <s v="mercedes-benz usa"/>
    <n v="29500"/>
    <x v="118"/>
    <s v="Thu Dec 18 2014 12:00:00 GMT-0800 (PST)"/>
    <n v="2014"/>
    <x v="118"/>
    <x v="2"/>
    <s v="Medium"/>
  </r>
  <r>
    <n v="2013"/>
    <x v="3"/>
    <x v="4"/>
    <x v="51"/>
    <x v="1"/>
    <s v="automatic"/>
    <s v="1n4al3ap5dc262583"/>
    <s v="ca"/>
    <n v="24"/>
    <x v="449"/>
    <s v="gray"/>
    <s v="black"/>
    <s v="merchants leasing"/>
    <n v="13600"/>
    <x v="132"/>
    <s v="Wed Jan 07 2015 12:30:00 GMT-0800 (PST)"/>
    <n v="2015"/>
    <x v="78"/>
    <x v="2"/>
    <s v="Low"/>
  </r>
  <r>
    <n v="2013"/>
    <x v="13"/>
    <x v="57"/>
    <x v="74"/>
    <x v="0"/>
    <s v="automatic"/>
    <s v="1c4hjwdg9dl604791"/>
    <s v="ca"/>
    <n v="43"/>
    <x v="450"/>
    <s v="black"/>
    <s v="black"/>
    <s v="avis corporation"/>
    <n v="24200"/>
    <x v="113"/>
    <s v="Tue Dec 30 2014 15:00:00 GMT-0800 (PST)"/>
    <n v="2014"/>
    <x v="119"/>
    <x v="1"/>
    <s v="Medium"/>
  </r>
  <r>
    <n v="2013"/>
    <x v="0"/>
    <x v="84"/>
    <x v="0"/>
    <x v="0"/>
    <s v="automatic"/>
    <s v="kndpbca25d7406217"/>
    <s v="ca"/>
    <n v="25"/>
    <x v="451"/>
    <s v="gray"/>
    <s v="gray"/>
    <s v="avis rac/san leandro"/>
    <n v="15050"/>
    <x v="205"/>
    <s v="Wed Dec 17 2014 12:30:00 GMT-0800 (PST)"/>
    <n v="2014"/>
    <x v="120"/>
    <x v="2"/>
    <s v="Low"/>
  </r>
  <r>
    <n v="2013"/>
    <x v="3"/>
    <x v="4"/>
    <x v="51"/>
    <x v="1"/>
    <s v="automatic"/>
    <s v="1n4al3ap5dc259084"/>
    <s v="ca"/>
    <n v="36"/>
    <x v="452"/>
    <s v="white"/>
    <s v="white"/>
    <s v="merchants leasing"/>
    <n v="13200"/>
    <x v="161"/>
    <s v="Wed Dec 17 2014 12:30:00 GMT-0800 (PST)"/>
    <n v="2014"/>
    <x v="78"/>
    <x v="2"/>
    <s v="Low"/>
  </r>
  <r>
    <n v="2013"/>
    <x v="0"/>
    <x v="10"/>
    <x v="0"/>
    <x v="1"/>
    <s v="automatic"/>
    <s v="5xxgm4a70dg226694"/>
    <s v="ca"/>
    <n v="48"/>
    <x v="453"/>
    <s v="silver"/>
    <s v="gray"/>
    <s v="kia motors finance"/>
    <n v="14450"/>
    <x v="206"/>
    <s v="Tue Dec 16 2014 12:00:00 GMT-0800 (PST)"/>
    <n v="2014"/>
    <x v="10"/>
    <x v="1"/>
    <s v="Low"/>
  </r>
  <r>
    <n v="2013"/>
    <x v="13"/>
    <x v="85"/>
    <x v="38"/>
    <x v="0"/>
    <s v="automatic"/>
    <s v="1c4rjebg1dc636460"/>
    <s v="ca"/>
    <n v="43"/>
    <x v="454"/>
    <s v="black"/>
    <s v="black"/>
    <s v="avis corporation"/>
    <n v="25200"/>
    <x v="87"/>
    <s v="Tue Dec 16 2014 12:30:00 GMT-0800 (PST)"/>
    <n v="2014"/>
    <x v="121"/>
    <x v="1"/>
    <s v="Medium"/>
  </r>
  <r>
    <n v="2013"/>
    <x v="14"/>
    <x v="61"/>
    <x v="53"/>
    <x v="3"/>
    <s v="automatic"/>
    <s v="wddgj4hbxdg003743"/>
    <s v="ca"/>
    <n v="37"/>
    <x v="455"/>
    <s v="black"/>
    <s v="beige"/>
    <s v="mercedes-benz financial services"/>
    <n v="25300"/>
    <x v="105"/>
    <s v="Thu Jan 15 2015 04:30:00 GMT-0800 (PST)"/>
    <n v="2015"/>
    <x v="82"/>
    <x v="2"/>
    <s v="Medium"/>
  </r>
  <r>
    <n v="2013"/>
    <x v="0"/>
    <x v="10"/>
    <x v="50"/>
    <x v="1"/>
    <s v="automatic"/>
    <s v="knagm4ad1d5055882"/>
    <s v="ca"/>
    <n v="41"/>
    <x v="456"/>
    <s v="white"/>
    <s v="beige"/>
    <s v="kia motors america  inc"/>
    <n v="15900"/>
    <x v="207"/>
    <s v="Tue Dec 16 2014 12:30:00 GMT-0800 (PST)"/>
    <n v="2014"/>
    <x v="77"/>
    <x v="1"/>
    <s v="Low"/>
  </r>
  <r>
    <n v="2013"/>
    <x v="0"/>
    <x v="75"/>
    <x v="0"/>
    <x v="1"/>
    <s v="automatic"/>
    <s v="knaft4a26d5682378"/>
    <s v="ca"/>
    <n v="2"/>
    <x v="457"/>
    <s v="black"/>
    <s v="gray"/>
    <s v="kia motors finance"/>
    <n v="6775"/>
    <x v="208"/>
    <s v="Tue Jan 13 2015 12:00:00 GMT-0800 (PST)"/>
    <n v="2015"/>
    <x v="101"/>
    <x v="0"/>
    <s v="Low"/>
  </r>
  <r>
    <n v="2013"/>
    <x v="0"/>
    <x v="10"/>
    <x v="50"/>
    <x v="1"/>
    <s v="automatic"/>
    <s v="knagm4ad0d5057798"/>
    <s v="ca"/>
    <n v="44"/>
    <x v="458"/>
    <s v="white"/>
    <s v="black"/>
    <s v="kia motors america  inc"/>
    <n v="15900"/>
    <x v="101"/>
    <s v="Tue Dec 16 2014 12:30:00 GMT-0800 (PST)"/>
    <n v="2014"/>
    <x v="77"/>
    <x v="1"/>
    <s v="Low"/>
  </r>
  <r>
    <n v="2013"/>
    <x v="0"/>
    <x v="10"/>
    <x v="0"/>
    <x v="1"/>
    <s v="automatic"/>
    <s v="5xxgm4a7xdg238335"/>
    <s v="ca"/>
    <n v="33"/>
    <x v="459"/>
    <s v="brown"/>
    <s v="beige"/>
    <s v="gm financial"/>
    <n v="13450"/>
    <x v="197"/>
    <s v="Wed Dec 17 2014 12:30:00 GMT-0800 (PST)"/>
    <n v="2014"/>
    <x v="10"/>
    <x v="2"/>
    <s v="Low"/>
  </r>
  <r>
    <n v="2013"/>
    <x v="0"/>
    <x v="10"/>
    <x v="0"/>
    <x v="1"/>
    <m/>
    <s v="5xxgm4a7xdg239856"/>
    <s v="ca"/>
    <n v="38"/>
    <x v="460"/>
    <s v="purple"/>
    <s v="gray"/>
    <s v="kia motors finance"/>
    <n v="13900"/>
    <x v="129"/>
    <s v="Tue Dec 16 2014 12:00:00 GMT-0800 (PST)"/>
    <n v="2014"/>
    <x v="10"/>
    <x v="2"/>
    <s v="Low"/>
  </r>
  <r>
    <n v="2013"/>
    <x v="12"/>
    <x v="45"/>
    <x v="67"/>
    <x v="8"/>
    <s v="automatic"/>
    <s v="jn1cv6arxdm750005"/>
    <s v="ca"/>
    <n v="38"/>
    <x v="461"/>
    <s v="gray"/>
    <s v="gray"/>
    <s v="nissan infiniti lt"/>
    <n v="20700"/>
    <x v="29"/>
    <s v="Thu Dec 18 2014 12:30:00 GMT-0800 (PST)"/>
    <n v="2014"/>
    <x v="106"/>
    <x v="2"/>
    <s v="Medium"/>
  </r>
  <r>
    <n v="2013"/>
    <x v="12"/>
    <x v="45"/>
    <x v="36"/>
    <x v="8"/>
    <s v="automatic"/>
    <s v="jn1cv6ap6dm712706"/>
    <s v="ca"/>
    <n v="45"/>
    <x v="462"/>
    <s v="gray"/>
    <s v="black"/>
    <s v="nissan infiniti lt"/>
    <n v="21400"/>
    <x v="106"/>
    <s v="Thu Dec 18 2014 12:30:00 GMT-0800 (PST)"/>
    <n v="2014"/>
    <x v="50"/>
    <x v="1"/>
    <s v="Medium"/>
  </r>
  <r>
    <n v="2013"/>
    <x v="14"/>
    <x v="70"/>
    <x v="75"/>
    <x v="1"/>
    <s v="automatic"/>
    <s v="wddhf2eb5da710377"/>
    <s v="ca"/>
    <n v="47"/>
    <x v="463"/>
    <s v="â€”"/>
    <s v="black"/>
    <s v="mercedes-benz financial services"/>
    <n v="36900"/>
    <x v="209"/>
    <s v="Thu Dec 18 2014 12:30:00 GMT-0800 (PST)"/>
    <n v="2014"/>
    <x v="122"/>
    <x v="1"/>
    <s v="Medium"/>
  </r>
  <r>
    <n v="2013"/>
    <x v="14"/>
    <x v="58"/>
    <x v="52"/>
    <x v="1"/>
    <s v="automatic"/>
    <s v="wddng7db9da492877"/>
    <s v="ca"/>
    <n v="36"/>
    <x v="464"/>
    <s v="black"/>
    <s v="black"/>
    <s v="mercedes-benz financial services"/>
    <n v="55300"/>
    <x v="210"/>
    <s v="Thu Dec 18 2014 12:30:00 GMT-0800 (PST)"/>
    <n v="2014"/>
    <x v="79"/>
    <x v="2"/>
    <s v="High"/>
  </r>
  <r>
    <n v="2013"/>
    <x v="19"/>
    <x v="86"/>
    <x v="5"/>
    <x v="0"/>
    <s v="automatic"/>
    <s v="2lmdj8jk9dbl34528"/>
    <s v="ca"/>
    <n v="43"/>
    <x v="465"/>
    <s v="burgundy"/>
    <s v="tan"/>
    <s v="avis rac/san leandro"/>
    <n v="24700"/>
    <x v="88"/>
    <s v="Wed Dec 17 2014 12:30:00 GMT-0800 (PST)"/>
    <n v="2014"/>
    <x v="123"/>
    <x v="1"/>
    <s v="Medium"/>
  </r>
  <r>
    <n v="2013"/>
    <x v="18"/>
    <x v="81"/>
    <x v="76"/>
    <x v="0"/>
    <s v="automatic"/>
    <s v="salvn2bg2dh730098"/>
    <s v="ca"/>
    <m/>
    <x v="466"/>
    <s v="white"/>
    <s v="tan"/>
    <s v="jpmorgan chase bank n.a."/>
    <n v="31700"/>
    <x v="1"/>
    <s v="Thu Dec 18 2014 12:30:00 GMT-0800 (PST)"/>
    <n v="2014"/>
    <x v="124"/>
    <x v="0"/>
    <s v="Medium"/>
  </r>
  <r>
    <n v="2013"/>
    <x v="16"/>
    <x v="80"/>
    <x v="42"/>
    <x v="11"/>
    <s v="automatic"/>
    <s v="jm1cw2bl6d0159321"/>
    <s v="ca"/>
    <n v="45"/>
    <x v="467"/>
    <s v="white"/>
    <s v="beige"/>
    <s v="tycon enterprises"/>
    <n v="14200"/>
    <x v="180"/>
    <s v="Tue Dec 16 2014 12:30:00 GMT-0800 (PST)"/>
    <n v="2014"/>
    <x v="115"/>
    <x v="1"/>
    <s v="Low"/>
  </r>
  <r>
    <n v="2013"/>
    <x v="19"/>
    <x v="87"/>
    <x v="77"/>
    <x v="12"/>
    <s v="automatic"/>
    <s v="2lmhj5nk1dbl52290"/>
    <s v="ca"/>
    <n v="41"/>
    <x v="468"/>
    <s v="black"/>
    <s v="black"/>
    <s v="remarketing by ge/manheim southern california"/>
    <n v="19300"/>
    <x v="211"/>
    <s v="Thu Dec 18 2014 12:00:00 GMT-0800 (PST)"/>
    <n v="2014"/>
    <x v="125"/>
    <x v="1"/>
    <s v="Low"/>
  </r>
  <r>
    <n v="2013"/>
    <x v="12"/>
    <x v="45"/>
    <x v="36"/>
    <x v="8"/>
    <s v="manual"/>
    <s v="jn1cv6ap1dm300564"/>
    <s v="ca"/>
    <n v="43"/>
    <x v="469"/>
    <s v="black"/>
    <s v="black"/>
    <s v="nissan infiniti lt"/>
    <n v="27100"/>
    <x v="212"/>
    <s v="Thu Dec 18 2014 12:30:00 GMT-0800 (PST)"/>
    <n v="2014"/>
    <x v="50"/>
    <x v="1"/>
    <s v="Medium"/>
  </r>
  <r>
    <n v="2013"/>
    <x v="11"/>
    <x v="59"/>
    <x v="5"/>
    <x v="1"/>
    <s v="automatic"/>
    <s v="jthbe1bl4d5013929"/>
    <s v="ca"/>
    <n v="35"/>
    <x v="470"/>
    <s v="silver"/>
    <s v="black"/>
    <s v="lexus financial services"/>
    <n v="34200"/>
    <x v="213"/>
    <s v="Wed Jan 21 2015 05:00:00 GMT-0800 (PST)"/>
    <n v="2015"/>
    <x v="80"/>
    <x v="2"/>
    <s v="Medium"/>
  </r>
  <r>
    <n v="2013"/>
    <x v="20"/>
    <x v="88"/>
    <x v="5"/>
    <x v="1"/>
    <s v="automatic"/>
    <s v="sajwa0es1dps79829"/>
    <s v="ca"/>
    <n v="42"/>
    <x v="471"/>
    <s v="black"/>
    <s v="tan"/>
    <s v="jaguar north america llc"/>
    <n v="33700"/>
    <x v="109"/>
    <s v="Thu Dec 18 2014 12:30:00 GMT-0800 (PST)"/>
    <n v="2014"/>
    <x v="126"/>
    <x v="1"/>
    <s v="Medium"/>
  </r>
  <r>
    <n v="2013"/>
    <x v="14"/>
    <x v="61"/>
    <x v="56"/>
    <x v="1"/>
    <s v="automatic"/>
    <s v="wddgf4hb0dr255362"/>
    <s v="ca"/>
    <n v="43"/>
    <x v="472"/>
    <s v="white"/>
    <s v="black"/>
    <s v="hoehn motors inc"/>
    <n v="22600"/>
    <x v="62"/>
    <s v="Tue Dec 16 2014 12:30:00 GMT-0800 (PST)"/>
    <n v="2014"/>
    <x v="87"/>
    <x v="1"/>
    <s v="Medium"/>
  </r>
  <r>
    <n v="2013"/>
    <x v="0"/>
    <x v="66"/>
    <x v="59"/>
    <x v="4"/>
    <s v="automatic"/>
    <s v="kndjt2a68d7570612"/>
    <s v="ca"/>
    <n v="3"/>
    <x v="473"/>
    <s v="black"/>
    <s v="black"/>
    <s v="dollar thrifty damage liquidation"/>
    <n v="11400"/>
    <x v="214"/>
    <s v="Tue Dec 16 2014 13:00:00 GMT-0800 (PST)"/>
    <n v="2014"/>
    <x v="91"/>
    <x v="0"/>
    <s v="Low"/>
  </r>
  <r>
    <n v="2013"/>
    <x v="0"/>
    <x v="10"/>
    <x v="0"/>
    <x v="1"/>
    <s v="automatic"/>
    <s v="knagm4a75d5442817"/>
    <s v="ca"/>
    <n v="42"/>
    <x v="474"/>
    <s v="white"/>
    <s v="beige"/>
    <s v="kia motors finance"/>
    <n v="14150"/>
    <x v="215"/>
    <s v="Tue Dec 16 2014 12:00:00 GMT-0800 (PST)"/>
    <n v="2014"/>
    <x v="10"/>
    <x v="1"/>
    <s v="Low"/>
  </r>
  <r>
    <n v="2013"/>
    <x v="3"/>
    <x v="4"/>
    <x v="51"/>
    <x v="1"/>
    <s v="automatic"/>
    <s v="1n4al3ap0dc283888"/>
    <s v="ca"/>
    <n v="4"/>
    <x v="475"/>
    <s v="silver"/>
    <s v="black"/>
    <s v="enterprise vehicle exchange/orange"/>
    <n v="12800"/>
    <x v="186"/>
    <s v="Tue Dec 16 2014 12:30:00 GMT-0800 (PST)"/>
    <n v="2014"/>
    <x v="78"/>
    <x v="0"/>
    <s v="Low"/>
  </r>
  <r>
    <n v="2013"/>
    <x v="3"/>
    <x v="4"/>
    <x v="51"/>
    <x v="1"/>
    <s v="automatic"/>
    <s v="1n4al3ap8dn508594"/>
    <s v="ca"/>
    <n v="4"/>
    <x v="476"/>
    <s v="gray"/>
    <s v="black"/>
    <s v="avis corporation"/>
    <n v="12900"/>
    <x v="197"/>
    <s v="Tue Dec 16 2014 12:30:00 GMT-0800 (PST)"/>
    <n v="2014"/>
    <x v="78"/>
    <x v="0"/>
    <s v="Low"/>
  </r>
  <r>
    <n v="2013"/>
    <x v="14"/>
    <x v="61"/>
    <x v="53"/>
    <x v="3"/>
    <s v="automatic"/>
    <s v="wddgj4hb6df988399"/>
    <s v="ca"/>
    <n v="41"/>
    <x v="477"/>
    <s v="black"/>
    <s v="black"/>
    <s v="mercedes-benz financial services"/>
    <n v="25300"/>
    <x v="20"/>
    <s v="Thu Jan 15 2015 04:30:00 GMT-0800 (PST)"/>
    <n v="2015"/>
    <x v="82"/>
    <x v="1"/>
    <s v="Medium"/>
  </r>
  <r>
    <n v="2013"/>
    <x v="0"/>
    <x v="10"/>
    <x v="50"/>
    <x v="1"/>
    <s v="automatic"/>
    <s v="knagm4ad8d5056639"/>
    <s v="ca"/>
    <n v="43"/>
    <x v="478"/>
    <s v="white"/>
    <s v="black"/>
    <s v="kia motors america  inc"/>
    <n v="15900"/>
    <x v="216"/>
    <s v="Tue Dec 16 2014 12:30:00 GMT-0800 (PST)"/>
    <n v="2014"/>
    <x v="77"/>
    <x v="1"/>
    <s v="Low"/>
  </r>
  <r>
    <n v="2013"/>
    <x v="14"/>
    <x v="89"/>
    <x v="78"/>
    <x v="0"/>
    <s v="automatic"/>
    <s v="4jgdf7ce3da182451"/>
    <s v="ca"/>
    <n v="42"/>
    <x v="479"/>
    <s v="gray"/>
    <s v="black"/>
    <s v="mercedes-benz usa"/>
    <n v="46200"/>
    <x v="217"/>
    <s v="Thu Dec 18 2014 12:00:00 GMT-0800 (PST)"/>
    <n v="2014"/>
    <x v="127"/>
    <x v="1"/>
    <s v="Medium"/>
  </r>
  <r>
    <n v="2013"/>
    <x v="16"/>
    <x v="80"/>
    <x v="42"/>
    <x v="11"/>
    <s v="automatic"/>
    <s v="jm1cw2bl4d0152478"/>
    <s v="ca"/>
    <n v="35"/>
    <x v="480"/>
    <s v="gray"/>
    <s v="tan"/>
    <s v="avis corporation"/>
    <n v="12400"/>
    <x v="192"/>
    <s v="Fri Dec 26 2014 15:00:00 GMT-0800 (PST)"/>
    <n v="2014"/>
    <x v="115"/>
    <x v="2"/>
    <s v="Low"/>
  </r>
  <r>
    <n v="2013"/>
    <x v="0"/>
    <x v="84"/>
    <x v="0"/>
    <x v="0"/>
    <s v="automatic"/>
    <s v="kndpb3a28d7450308"/>
    <s v="ca"/>
    <n v="46"/>
    <x v="481"/>
    <s v="blue"/>
    <s v="black"/>
    <s v="kia motors america  inc"/>
    <n v="14000"/>
    <x v="218"/>
    <s v="Tue Dec 16 2014 12:30:00 GMT-0800 (PST)"/>
    <n v="2014"/>
    <x v="120"/>
    <x v="1"/>
    <s v="Low"/>
  </r>
  <r>
    <n v="2013"/>
    <x v="14"/>
    <x v="89"/>
    <x v="78"/>
    <x v="0"/>
    <s v="automatic"/>
    <s v="4jgdf7ce8da148599"/>
    <s v="ca"/>
    <n v="43"/>
    <x v="482"/>
    <s v="silver"/>
    <s v="black"/>
    <s v="mercedes-benz usa"/>
    <n v="47300"/>
    <x v="219"/>
    <s v="Thu Dec 18 2014 12:00:00 GMT-0800 (PST)"/>
    <n v="2014"/>
    <x v="127"/>
    <x v="1"/>
    <s v="Medium"/>
  </r>
  <r>
    <n v="2013"/>
    <x v="20"/>
    <x v="88"/>
    <x v="5"/>
    <x v="1"/>
    <s v="automatic"/>
    <s v="sajwa0es4dps64029"/>
    <s v="ca"/>
    <n v="5"/>
    <x v="483"/>
    <s v="blue"/>
    <s v="gray"/>
    <s v="jaguar north america llc"/>
    <n v="34100"/>
    <x v="109"/>
    <s v="Thu Dec 18 2014 12:30:00 GMT-0800 (PST)"/>
    <n v="2014"/>
    <x v="126"/>
    <x v="0"/>
    <s v="Medium"/>
  </r>
  <r>
    <n v="2013"/>
    <x v="0"/>
    <x v="63"/>
    <x v="69"/>
    <x v="5"/>
    <s v="automatic"/>
    <s v="knadn5a33d6283020"/>
    <s v="ca"/>
    <n v="41"/>
    <x v="484"/>
    <s v="black"/>
    <s v="black"/>
    <s v="jpmorgan chase bank n.a."/>
    <n v="10500"/>
    <x v="11"/>
    <s v="Thu Dec 18 2014 12:00:00 GMT-0800 (PST)"/>
    <n v="2014"/>
    <x v="128"/>
    <x v="1"/>
    <s v="Low"/>
  </r>
  <r>
    <n v="2013"/>
    <x v="14"/>
    <x v="90"/>
    <x v="79"/>
    <x v="0"/>
    <s v="automatic"/>
    <s v="4jgda5jb8da218923"/>
    <s v="ca"/>
    <n v="5"/>
    <x v="485"/>
    <s v="silver"/>
    <s v="black"/>
    <s v="mercedes-benz finc services premier program"/>
    <n v="40400"/>
    <x v="220"/>
    <s v="Thu Dec 18 2014 12:30:00 GMT-0800 (PST)"/>
    <n v="2014"/>
    <x v="129"/>
    <x v="0"/>
    <s v="Medium"/>
  </r>
  <r>
    <n v="2013"/>
    <x v="17"/>
    <x v="91"/>
    <x v="5"/>
    <x v="4"/>
    <s v="automatic"/>
    <s v="wmwzb3c52dwm07005"/>
    <s v="ca"/>
    <n v="39"/>
    <x v="486"/>
    <s v="silver"/>
    <s v="black"/>
    <s v="avis rac/san leandro"/>
    <n v="16300"/>
    <x v="101"/>
    <s v="Wed Dec 31 2014 12:30:00 GMT-0800 (PST)"/>
    <n v="2014"/>
    <x v="130"/>
    <x v="2"/>
    <s v="Low"/>
  </r>
  <r>
    <n v="2013"/>
    <x v="12"/>
    <x v="45"/>
    <x v="67"/>
    <x v="8"/>
    <s v="automatic"/>
    <s v="jn1cv6ar2dm752900"/>
    <s v="ca"/>
    <n v="37"/>
    <x v="487"/>
    <s v="black"/>
    <s v="â€”"/>
    <s v="the hertz corporation"/>
    <n v="20900"/>
    <x v="221"/>
    <s v="Thu Dec 18 2014 12:30:00 GMT-0800 (PST)"/>
    <n v="2014"/>
    <x v="106"/>
    <x v="2"/>
    <s v="Medium"/>
  </r>
  <r>
    <n v="2013"/>
    <x v="0"/>
    <x v="0"/>
    <x v="69"/>
    <x v="0"/>
    <s v="automatic"/>
    <s v="5xyku3a23dg334585"/>
    <s v="ca"/>
    <n v="33"/>
    <x v="488"/>
    <s v="black"/>
    <s v="beige"/>
    <s v="kia of cerritos"/>
    <n v="14050"/>
    <x v="180"/>
    <s v="Tue Dec 16 2014 12:30:00 GMT-0800 (PST)"/>
    <n v="2014"/>
    <x v="131"/>
    <x v="2"/>
    <s v="Low"/>
  </r>
  <r>
    <n v="2013"/>
    <x v="14"/>
    <x v="58"/>
    <x v="52"/>
    <x v="1"/>
    <s v="automatic"/>
    <s v="wddng7db8da497438"/>
    <s v="ca"/>
    <n v="35"/>
    <x v="489"/>
    <s v="black"/>
    <s v="black"/>
    <s v="us bank"/>
    <n v="53300"/>
    <x v="222"/>
    <s v="Thu Dec 18 2014 12:30:00 GMT-0800 (PST)"/>
    <n v="2014"/>
    <x v="79"/>
    <x v="2"/>
    <s v="High"/>
  </r>
  <r>
    <n v="2013"/>
    <x v="3"/>
    <x v="4"/>
    <x v="4"/>
    <x v="3"/>
    <s v="automatic"/>
    <s v="1n4al2ep3dc223558"/>
    <s v="ca"/>
    <n v="34"/>
    <x v="490"/>
    <s v="red"/>
    <s v="black"/>
    <s v="avis rac/san leandro"/>
    <n v="13000"/>
    <x v="186"/>
    <s v="Wed Dec 17 2014 12:30:00 GMT-0800 (PST)"/>
    <n v="2014"/>
    <x v="4"/>
    <x v="2"/>
    <s v="Low"/>
  </r>
  <r>
    <n v="2013"/>
    <x v="0"/>
    <x v="0"/>
    <x v="0"/>
    <x v="0"/>
    <s v="automatic"/>
    <s v="5xykt4a22dg332853"/>
    <s v="ca"/>
    <n v="43"/>
    <x v="491"/>
    <s v="blue"/>
    <s v="black"/>
    <s v="kia motors america  inc -lemon law buybacks"/>
    <n v="16800"/>
    <x v="186"/>
    <s v="Tue Dec 16 2014 12:30:00 GMT-0800 (PST)"/>
    <n v="2014"/>
    <x v="0"/>
    <x v="1"/>
    <s v="Low"/>
  </r>
  <r>
    <n v="2013"/>
    <x v="3"/>
    <x v="4"/>
    <x v="4"/>
    <x v="3"/>
    <s v="automatic"/>
    <s v="1n4al2ep6dc191432"/>
    <s v="ca"/>
    <n v="35"/>
    <x v="492"/>
    <s v="white"/>
    <s v="black"/>
    <s v="avis corporation"/>
    <n v="13200"/>
    <x v="58"/>
    <s v="Thu Jan 08 2015 11:30:00 GMT-0800 (PST)"/>
    <n v="2015"/>
    <x v="4"/>
    <x v="2"/>
    <s v="Low"/>
  </r>
  <r>
    <n v="2013"/>
    <x v="14"/>
    <x v="90"/>
    <x v="79"/>
    <x v="0"/>
    <m/>
    <s v="4jgda5jb6da160181"/>
    <s v="ca"/>
    <m/>
    <x v="493"/>
    <m/>
    <m/>
    <s v="trade in solutions irvine"/>
    <n v="36100"/>
    <x v="196"/>
    <s v="Tue Dec 16 2014 12:30:00 GMT-0800 (PST)"/>
    <n v="2014"/>
    <x v="129"/>
    <x v="0"/>
    <s v="Medium"/>
  </r>
  <r>
    <n v="2013"/>
    <x v="18"/>
    <x v="81"/>
    <x v="71"/>
    <x v="0"/>
    <s v="automatic"/>
    <s v="salvp1bg7dh775994"/>
    <s v="ca"/>
    <n v="46"/>
    <x v="494"/>
    <s v="white"/>
    <s v="black"/>
    <s v="high bid trading co inc"/>
    <n v="37400"/>
    <x v="223"/>
    <s v="Thu Dec 18 2014 12:00:00 GMT-0800 (PST)"/>
    <n v="2014"/>
    <x v="116"/>
    <x v="1"/>
    <s v="Medium"/>
  </r>
  <r>
    <n v="2013"/>
    <x v="0"/>
    <x v="75"/>
    <x v="0"/>
    <x v="1"/>
    <s v="automatic"/>
    <s v="knaft4a2xd5718881"/>
    <s v="ca"/>
    <n v="37"/>
    <x v="495"/>
    <s v="white"/>
    <s v="beige"/>
    <s v="kia motors finance"/>
    <n v="8075"/>
    <x v="21"/>
    <s v="Tue Jan 13 2015 12:30:00 GMT-0800 (PST)"/>
    <n v="2015"/>
    <x v="101"/>
    <x v="2"/>
    <s v="Low"/>
  </r>
  <r>
    <n v="2013"/>
    <x v="0"/>
    <x v="10"/>
    <x v="0"/>
    <x v="1"/>
    <s v="automatic"/>
    <s v="5xxgm4a7xdg214617"/>
    <s v="ca"/>
    <n v="37"/>
    <x v="496"/>
    <s v="silver"/>
    <s v="gray"/>
    <s v="enterprise veh exchange/rental"/>
    <n v="12900"/>
    <x v="197"/>
    <s v="Wed Dec 17 2014 12:30:00 GMT-0800 (PST)"/>
    <n v="2014"/>
    <x v="10"/>
    <x v="2"/>
    <s v="Low"/>
  </r>
  <r>
    <n v="2013"/>
    <x v="14"/>
    <x v="58"/>
    <x v="52"/>
    <x v="1"/>
    <s v="automatic"/>
    <s v="wddng7db4da498361"/>
    <s v="ca"/>
    <n v="42"/>
    <x v="497"/>
    <s v="black"/>
    <s v="black"/>
    <s v="mercedes-benz financial services"/>
    <n v="47900"/>
    <x v="217"/>
    <s v="Thu Jan 29 2015 04:30:00 GMT-0800 (PST)"/>
    <n v="2015"/>
    <x v="79"/>
    <x v="1"/>
    <s v="Medium"/>
  </r>
  <r>
    <n v="2013"/>
    <x v="3"/>
    <x v="4"/>
    <x v="51"/>
    <x v="1"/>
    <s v="automatic"/>
    <s v="1n4al3ap8dc187703"/>
    <s v="ca"/>
    <n v="4"/>
    <x v="498"/>
    <s v="silver"/>
    <s v="black"/>
    <s v="avis rac/san leandro"/>
    <n v="12850"/>
    <x v="197"/>
    <s v="Wed Dec 17 2014 12:30:00 GMT-0800 (PST)"/>
    <n v="2014"/>
    <x v="78"/>
    <x v="0"/>
    <s v="Low"/>
  </r>
  <r>
    <n v="2013"/>
    <x v="13"/>
    <x v="57"/>
    <x v="74"/>
    <x v="0"/>
    <s v="automatic"/>
    <s v="1c4hjwdg3dl620646"/>
    <s v="ca"/>
    <n v="37"/>
    <x v="499"/>
    <s v="black"/>
    <s v="black"/>
    <s v="avis corporation"/>
    <n v="24200"/>
    <x v="85"/>
    <s v="Tue Dec 30 2014 15:00:00 GMT-0800 (PST)"/>
    <n v="2014"/>
    <x v="119"/>
    <x v="2"/>
    <s v="Medium"/>
  </r>
  <r>
    <n v="2013"/>
    <x v="18"/>
    <x v="81"/>
    <x v="80"/>
    <x v="0"/>
    <s v="automatic"/>
    <s v="salvr2bg6dh755364"/>
    <s v="ca"/>
    <n v="5"/>
    <x v="500"/>
    <s v="gray"/>
    <s v="black"/>
    <s v="land rover north america llc"/>
    <n v="38600"/>
    <x v="32"/>
    <s v="Thu Dec 18 2014 12:30:00 GMT-0800 (PST)"/>
    <n v="2014"/>
    <x v="132"/>
    <x v="0"/>
    <s v="Medium"/>
  </r>
  <r>
    <n v="2013"/>
    <x v="16"/>
    <x v="74"/>
    <x v="57"/>
    <x v="0"/>
    <s v="automatic"/>
    <s v="jm3tb2ca2d0403904"/>
    <s v="ca"/>
    <n v="45"/>
    <x v="501"/>
    <s v="black"/>
    <s v="black"/>
    <s v="avis corporation"/>
    <n v="18800"/>
    <x v="52"/>
    <s v="Thu Dec 18 2014 11:30:00 GMT-0800 (PST)"/>
    <n v="2014"/>
    <x v="100"/>
    <x v="1"/>
    <s v="Medium"/>
  </r>
  <r>
    <n v="2013"/>
    <x v="16"/>
    <x v="62"/>
    <x v="57"/>
    <x v="5"/>
    <s v="automatic"/>
    <s v="jm1de1lz8d0163875"/>
    <s v="ca"/>
    <m/>
    <x v="502"/>
    <s v="white"/>
    <s v="black"/>
    <s v="hertz/tra"/>
    <n v="8625"/>
    <x v="224"/>
    <s v="Wed Dec 17 2014 15:05:00 GMT-0800 (PST)"/>
    <n v="2014"/>
    <x v="88"/>
    <x v="0"/>
    <s v="Low"/>
  </r>
  <r>
    <n v="2013"/>
    <x v="14"/>
    <x v="58"/>
    <x v="52"/>
    <x v="1"/>
    <s v="automatic"/>
    <s v="wddng7db5da496778"/>
    <s v="ca"/>
    <n v="41"/>
    <x v="503"/>
    <s v="black"/>
    <s v="black"/>
    <s v="mercedes-benz financial services"/>
    <n v="49500"/>
    <x v="77"/>
    <s v="Thu Jan 15 2015 04:30:00 GMT-0800 (PST)"/>
    <n v="2015"/>
    <x v="79"/>
    <x v="1"/>
    <s v="Medium"/>
  </r>
  <r>
    <n v="2013"/>
    <x v="3"/>
    <x v="4"/>
    <x v="51"/>
    <x v="1"/>
    <s v="automatic"/>
    <s v="1n4al3ap6dn518833"/>
    <s v="ca"/>
    <n v="37"/>
    <x v="504"/>
    <s v="black"/>
    <s v="tan"/>
    <s v="avis corporation"/>
    <n v="12750"/>
    <x v="108"/>
    <s v="Wed Dec 31 2014 12:30:00 GMT-0800 (PST)"/>
    <n v="2014"/>
    <x v="78"/>
    <x v="2"/>
    <s v="Low"/>
  </r>
  <r>
    <n v="2013"/>
    <x v="12"/>
    <x v="45"/>
    <x v="67"/>
    <x v="8"/>
    <s v="automatic"/>
    <s v="jn1cv6ar7dm351570"/>
    <s v="ca"/>
    <n v="29"/>
    <x v="505"/>
    <s v="black"/>
    <s v="black"/>
    <s v="the hertz corporation"/>
    <n v="21300"/>
    <x v="158"/>
    <s v="Tue Dec 16 2014 12:30:00 GMT-0800 (PST)"/>
    <n v="2014"/>
    <x v="106"/>
    <x v="2"/>
    <s v="Medium"/>
  </r>
  <r>
    <n v="2013"/>
    <x v="12"/>
    <x v="45"/>
    <x v="67"/>
    <x v="8"/>
    <s v="automatic"/>
    <s v="jn1cv6ar5dm350059"/>
    <s v="ca"/>
    <n v="43"/>
    <x v="506"/>
    <s v="blue"/>
    <s v="black"/>
    <s v="nissan infiniti lt"/>
    <n v="21600"/>
    <x v="120"/>
    <s v="Tue Dec 23 2014 12:30:00 GMT-0800 (PST)"/>
    <n v="2014"/>
    <x v="106"/>
    <x v="1"/>
    <s v="Medium"/>
  </r>
  <r>
    <n v="2013"/>
    <x v="12"/>
    <x v="64"/>
    <x v="58"/>
    <x v="1"/>
    <s v="automatic"/>
    <s v="jn1by1ap5dm514530"/>
    <s v="ca"/>
    <n v="42"/>
    <x v="507"/>
    <s v="silver"/>
    <s v="black"/>
    <s v="nissan north america inc."/>
    <n v="34600"/>
    <x v="176"/>
    <s v="Thu Jan 15 2015 04:30:00 GMT-0800 (PST)"/>
    <n v="2015"/>
    <x v="89"/>
    <x v="1"/>
    <s v="Medium"/>
  </r>
  <r>
    <n v="2013"/>
    <x v="14"/>
    <x v="61"/>
    <x v="53"/>
    <x v="3"/>
    <s v="automatic"/>
    <s v="wddgj4hbxdf967359"/>
    <s v="ca"/>
    <n v="41"/>
    <x v="323"/>
    <s v="â€”"/>
    <s v="black"/>
    <s v="mercedes-benz financial services"/>
    <n v="25600"/>
    <x v="102"/>
    <s v="Thu Jan 15 2015 04:30:00 GMT-0800 (PST)"/>
    <n v="2015"/>
    <x v="82"/>
    <x v="1"/>
    <s v="Medium"/>
  </r>
  <r>
    <n v="2013"/>
    <x v="16"/>
    <x v="71"/>
    <x v="70"/>
    <x v="1"/>
    <s v="automatic"/>
    <s v="jm1bl1up7d1731716"/>
    <s v="ca"/>
    <n v="38"/>
    <x v="508"/>
    <s v="blue"/>
    <s v="black"/>
    <s v="avis corporation"/>
    <n v="10650"/>
    <x v="124"/>
    <s v="Tue Dec 16 2014 12:30:00 GMT-0800 (PST)"/>
    <n v="2014"/>
    <x v="112"/>
    <x v="2"/>
    <s v="Low"/>
  </r>
  <r>
    <n v="2013"/>
    <x v="12"/>
    <x v="45"/>
    <x v="36"/>
    <x v="8"/>
    <s v="automatic"/>
    <s v="jn1cv6ap3dm720746"/>
    <s v="ca"/>
    <n v="24"/>
    <x v="509"/>
    <s v="black"/>
    <s v="black"/>
    <s v="nissan infiniti lt"/>
    <n v="20500"/>
    <x v="225"/>
    <s v="Tue Dec 16 2014 12:30:00 GMT-0800 (PST)"/>
    <n v="2014"/>
    <x v="50"/>
    <x v="2"/>
    <s v="Low"/>
  </r>
  <r>
    <n v="2013"/>
    <x v="0"/>
    <x v="10"/>
    <x v="54"/>
    <x v="1"/>
    <s v="automatic"/>
    <s v="5xxgr4a6xdg089207"/>
    <s v="ca"/>
    <n v="44"/>
    <x v="510"/>
    <s v="white"/>
    <s v="gray"/>
    <s v="kia motors finance"/>
    <n v="18300"/>
    <x v="226"/>
    <s v="Thu Dec 18 2014 12:30:00 GMT-0800 (PST)"/>
    <n v="2014"/>
    <x v="83"/>
    <x v="1"/>
    <s v="Medium"/>
  </r>
  <r>
    <n v="2013"/>
    <x v="14"/>
    <x v="61"/>
    <x v="53"/>
    <x v="3"/>
    <s v="automatic"/>
    <s v="wddgj4hb5df998504"/>
    <s v="ca"/>
    <n v="37"/>
    <x v="511"/>
    <s v="black"/>
    <s v="tan"/>
    <s v="mercedes-benz financial services"/>
    <n v="24900"/>
    <x v="63"/>
    <s v="Thu Jan 15 2015 04:30:00 GMT-0800 (PST)"/>
    <n v="2015"/>
    <x v="82"/>
    <x v="2"/>
    <s v="Medium"/>
  </r>
  <r>
    <n v="2013"/>
    <x v="11"/>
    <x v="30"/>
    <x v="5"/>
    <x v="0"/>
    <s v="automatic"/>
    <s v="2t2bk1ba8dc191589"/>
    <s v="ca"/>
    <n v="46"/>
    <x v="512"/>
    <s v="burgundy"/>
    <s v="black"/>
    <s v="desert auto trade"/>
    <n v="36200"/>
    <x v="227"/>
    <s v="Tue Dec 16 2014 12:30:00 GMT-0800 (PST)"/>
    <n v="2014"/>
    <x v="32"/>
    <x v="1"/>
    <s v="Medium"/>
  </r>
  <r>
    <n v="2013"/>
    <x v="3"/>
    <x v="4"/>
    <x v="51"/>
    <x v="1"/>
    <s v="automatic"/>
    <s v="1n4al3ap8dc261914"/>
    <s v="ca"/>
    <n v="35"/>
    <x v="513"/>
    <s v="black"/>
    <s v="black"/>
    <s v="merchants leasing"/>
    <n v="12550"/>
    <x v="11"/>
    <s v="Wed Dec 17 2014 12:30:00 GMT-0800 (PST)"/>
    <n v="2014"/>
    <x v="78"/>
    <x v="2"/>
    <s v="Low"/>
  </r>
  <r>
    <n v="2013"/>
    <x v="14"/>
    <x v="61"/>
    <x v="56"/>
    <x v="1"/>
    <s v="automatic"/>
    <s v="wddgf4hb2dr241947"/>
    <s v="ca"/>
    <n v="43"/>
    <x v="514"/>
    <s v="white"/>
    <s v="black"/>
    <s v="mercedes-benz financial services"/>
    <n v="22800"/>
    <x v="78"/>
    <s v="Thu Dec 18 2014 12:30:00 GMT-0800 (PST)"/>
    <n v="2014"/>
    <x v="87"/>
    <x v="1"/>
    <s v="Medium"/>
  </r>
  <r>
    <n v="2013"/>
    <x v="16"/>
    <x v="80"/>
    <x v="57"/>
    <x v="11"/>
    <s v="automatic"/>
    <s v="jm1cw2cl5d0150799"/>
    <s v="ca"/>
    <n v="39"/>
    <x v="515"/>
    <s v="gray"/>
    <s v="black"/>
    <s v="avis rac/san leandro"/>
    <n v="11750"/>
    <x v="39"/>
    <s v="Tue Dec 23 2014 12:30:00 GMT-0800 (PST)"/>
    <n v="2014"/>
    <x v="111"/>
    <x v="2"/>
    <s v="Low"/>
  </r>
  <r>
    <n v="2013"/>
    <x v="15"/>
    <x v="92"/>
    <x v="81"/>
    <x v="1"/>
    <s v="automatic"/>
    <s v="ja32v6fv9du003475"/>
    <s v="ca"/>
    <n v="36"/>
    <x v="516"/>
    <s v="blue"/>
    <s v="black"/>
    <s v="tycon enterprises"/>
    <n v="19600"/>
    <x v="228"/>
    <s v="Tue Jan 06 2015 12:30:00 GMT-0800 (PST)"/>
    <n v="2015"/>
    <x v="133"/>
    <x v="2"/>
    <s v="Medium"/>
  </r>
  <r>
    <n v="2013"/>
    <x v="12"/>
    <x v="44"/>
    <x v="35"/>
    <x v="7"/>
    <s v="manual"/>
    <s v="jn1cv6ek1dm920250"/>
    <s v="ca"/>
    <n v="35"/>
    <x v="517"/>
    <s v="black"/>
    <s v="black"/>
    <s v="nissan infiniti lt"/>
    <n v="27300"/>
    <x v="177"/>
    <s v="Thu Dec 18 2014 12:30:00 GMT-0800 (PST)"/>
    <n v="2014"/>
    <x v="49"/>
    <x v="2"/>
    <s v="Medium"/>
  </r>
  <r>
    <n v="2013"/>
    <x v="17"/>
    <x v="72"/>
    <x v="5"/>
    <x v="5"/>
    <s v="automatic"/>
    <s v="wmwzf3c50dt489905"/>
    <s v="ca"/>
    <n v="38"/>
    <x v="518"/>
    <s v="white"/>
    <s v="black"/>
    <s v="avis rac/san leandro"/>
    <n v="13500"/>
    <x v="180"/>
    <s v="Wed Dec 17 2014 12:30:00 GMT-0800 (PST)"/>
    <n v="2014"/>
    <x v="98"/>
    <x v="2"/>
    <s v="Low"/>
  </r>
  <r>
    <n v="2013"/>
    <x v="14"/>
    <x v="58"/>
    <x v="52"/>
    <x v="1"/>
    <s v="automatic"/>
    <s v="wddng7db5da525549"/>
    <s v="ca"/>
    <n v="44"/>
    <x v="519"/>
    <s v="black"/>
    <s v="black"/>
    <s v="fratelli investment group"/>
    <n v="57200"/>
    <x v="79"/>
    <s v="Thu Dec 18 2014 12:00:00 GMT-0800 (PST)"/>
    <n v="2014"/>
    <x v="79"/>
    <x v="1"/>
    <s v="High"/>
  </r>
  <r>
    <n v="2013"/>
    <x v="16"/>
    <x v="80"/>
    <x v="42"/>
    <x v="11"/>
    <s v="automatic"/>
    <s v="jm1cw2bl0d0149559"/>
    <s v="ca"/>
    <n v="44"/>
    <x v="520"/>
    <s v="black"/>
    <s v="black"/>
    <s v="jpmorgan chase bank n.a."/>
    <n v="13850"/>
    <x v="173"/>
    <s v="Tue Dec 16 2014 12:30:00 GMT-0800 (PST)"/>
    <n v="2014"/>
    <x v="115"/>
    <x v="1"/>
    <s v="Low"/>
  </r>
  <r>
    <n v="2013"/>
    <x v="14"/>
    <x v="61"/>
    <x v="56"/>
    <x v="1"/>
    <s v="automatic"/>
    <s v="wddgf4hb8dr256694"/>
    <s v="ca"/>
    <n v="43"/>
    <x v="521"/>
    <s v="black"/>
    <s v="gray"/>
    <s v="hoehn motors inc"/>
    <n v="22600"/>
    <x v="78"/>
    <s v="Tue Dec 16 2014 12:30:00 GMT-0800 (PST)"/>
    <n v="2014"/>
    <x v="87"/>
    <x v="1"/>
    <s v="Medium"/>
  </r>
  <r>
    <n v="2013"/>
    <x v="0"/>
    <x v="10"/>
    <x v="54"/>
    <x v="1"/>
    <s v="automatic"/>
    <s v="5xxgr4a61dg178423"/>
    <s v="ca"/>
    <n v="36"/>
    <x v="522"/>
    <s v="gray"/>
    <s v="black"/>
    <s v="kia motors finance"/>
    <n v="22400"/>
    <x v="106"/>
    <s v="Tue Dec 16 2014 12:00:00 GMT-0800 (PST)"/>
    <n v="2014"/>
    <x v="83"/>
    <x v="2"/>
    <s v="Medium"/>
  </r>
  <r>
    <n v="2013"/>
    <x v="3"/>
    <x v="4"/>
    <x v="51"/>
    <x v="1"/>
    <s v="automatic"/>
    <s v="1n4al3apxdc256245"/>
    <s v="ca"/>
    <n v="38"/>
    <x v="523"/>
    <s v="gray"/>
    <s v="black"/>
    <s v="avis rac/san leandro"/>
    <n v="12850"/>
    <x v="186"/>
    <s v="Wed Dec 17 2014 12:30:00 GMT-0800 (PST)"/>
    <n v="2014"/>
    <x v="78"/>
    <x v="2"/>
    <s v="Low"/>
  </r>
  <r>
    <n v="2013"/>
    <x v="12"/>
    <x v="64"/>
    <x v="58"/>
    <x v="1"/>
    <s v="automatic"/>
    <s v="jn1by1ap2dm514632"/>
    <s v="ca"/>
    <n v="43"/>
    <x v="524"/>
    <s v="silver"/>
    <s v="black"/>
    <s v="nissan north america inc."/>
    <n v="34600"/>
    <x v="1"/>
    <s v="Thu Dec 18 2014 12:30:00 GMT-0800 (PST)"/>
    <n v="2014"/>
    <x v="89"/>
    <x v="1"/>
    <s v="Medium"/>
  </r>
  <r>
    <n v="2013"/>
    <x v="3"/>
    <x v="4"/>
    <x v="51"/>
    <x v="1"/>
    <s v="automatic"/>
    <s v="1n4al3ap3dc208697"/>
    <s v="ca"/>
    <n v="41"/>
    <x v="525"/>
    <s v="white"/>
    <s v="beige"/>
    <s v="nissan dealer blend/ross nissan of el monte"/>
    <n v="13650"/>
    <x v="229"/>
    <s v="Tue Dec 16 2014 12:30:00 GMT-0800 (PST)"/>
    <n v="2014"/>
    <x v="78"/>
    <x v="1"/>
    <s v="Low"/>
  </r>
  <r>
    <n v="2013"/>
    <x v="14"/>
    <x v="61"/>
    <x v="82"/>
    <x v="3"/>
    <s v="automatic"/>
    <s v="wddgj7hb6dg060457"/>
    <s v="ca"/>
    <n v="25"/>
    <x v="526"/>
    <s v="â€”"/>
    <s v="black"/>
    <s v="mercedes-benz usa"/>
    <n v="46700"/>
    <x v="230"/>
    <s v="Thu Feb 12 2015 04:00:00 GMT-0800 (PST)"/>
    <n v="2015"/>
    <x v="134"/>
    <x v="2"/>
    <s v="Medium"/>
  </r>
  <r>
    <n v="2013"/>
    <x v="0"/>
    <x v="75"/>
    <x v="69"/>
    <x v="1"/>
    <s v="automatic"/>
    <s v="knafu4a20d5658140"/>
    <s v="ca"/>
    <n v="37"/>
    <x v="527"/>
    <s v="gray"/>
    <s v="gray"/>
    <s v="kia motors finance"/>
    <n v="10200"/>
    <x v="231"/>
    <s v="Tue Dec 16 2014 12:00:00 GMT-0800 (PST)"/>
    <n v="2014"/>
    <x v="114"/>
    <x v="2"/>
    <s v="Low"/>
  </r>
  <r>
    <n v="2013"/>
    <x v="0"/>
    <x v="63"/>
    <x v="0"/>
    <x v="1"/>
    <s v="automatic"/>
    <s v="knadm4a31d6173631"/>
    <s v="ca"/>
    <n v="3"/>
    <x v="528"/>
    <s v="red"/>
    <s v="gray"/>
    <s v="enterprise veh exchange/rental"/>
    <n v="8725"/>
    <x v="74"/>
    <s v="Wed Dec 17 2014 12:30:00 GMT-0800 (PST)"/>
    <n v="2014"/>
    <x v="86"/>
    <x v="0"/>
    <s v="Low"/>
  </r>
  <r>
    <n v="2013"/>
    <x v="12"/>
    <x v="45"/>
    <x v="67"/>
    <x v="8"/>
    <s v="automatic"/>
    <s v="jn1cv6ar0dm754449"/>
    <s v="ca"/>
    <n v="33"/>
    <x v="529"/>
    <s v="â€”"/>
    <s v="black"/>
    <s v="the hertz corporation"/>
    <n v="21600"/>
    <x v="185"/>
    <s v="Thu Dec 18 2014 12:30:00 GMT-0800 (PST)"/>
    <n v="2014"/>
    <x v="106"/>
    <x v="2"/>
    <s v="Medium"/>
  </r>
  <r>
    <n v="2013"/>
    <x v="0"/>
    <x v="10"/>
    <x v="54"/>
    <x v="1"/>
    <s v="automatic"/>
    <s v="5xxgr4a61dg171696"/>
    <s v="ca"/>
    <n v="23"/>
    <x v="530"/>
    <s v="red"/>
    <s v="black"/>
    <s v="kia motors finance"/>
    <n v="19850"/>
    <x v="16"/>
    <s v="Tue Jan 13 2015 12:30:00 GMT-0800 (PST)"/>
    <n v="2015"/>
    <x v="83"/>
    <x v="2"/>
    <s v="Low"/>
  </r>
  <r>
    <n v="2013"/>
    <x v="18"/>
    <x v="93"/>
    <x v="83"/>
    <x v="0"/>
    <s v="automatic"/>
    <s v="salsh2e49da763586"/>
    <s v="ca"/>
    <n v="37"/>
    <x v="531"/>
    <s v="black"/>
    <s v="gray"/>
    <s v="jpmorgan chase bank n.a."/>
    <n v="61000"/>
    <x v="232"/>
    <s v="Thu Dec 18 2014 12:30:00 GMT-0800 (PST)"/>
    <n v="2014"/>
    <x v="135"/>
    <x v="2"/>
    <s v="High"/>
  </r>
  <r>
    <n v="2013"/>
    <x v="11"/>
    <x v="69"/>
    <x v="5"/>
    <x v="1"/>
    <s v="automatic"/>
    <s v="jthbk1gg3d2061489"/>
    <s v="ca"/>
    <n v="36"/>
    <x v="532"/>
    <s v="gray"/>
    <s v="beige"/>
    <s v="enterprise vehicle exchange/orange"/>
    <n v="29400"/>
    <x v="233"/>
    <s v="Tue Dec 16 2014 12:30:00 GMT-0800 (PST)"/>
    <n v="2014"/>
    <x v="95"/>
    <x v="2"/>
    <s v="Medium"/>
  </r>
  <r>
    <n v="2013"/>
    <x v="14"/>
    <x v="70"/>
    <x v="62"/>
    <x v="1"/>
    <s v="automatic"/>
    <s v="wddhf5kb1da703044"/>
    <s v="ca"/>
    <n v="47"/>
    <x v="533"/>
    <s v="gray"/>
    <s v="black"/>
    <s v="mercedes-benz financial services"/>
    <n v="31000"/>
    <x v="234"/>
    <s v="Thu Dec 18 2014 12:30:00 GMT-0800 (PST)"/>
    <n v="2014"/>
    <x v="96"/>
    <x v="1"/>
    <s v="Medium"/>
  </r>
  <r>
    <n v="2013"/>
    <x v="14"/>
    <x v="70"/>
    <x v="84"/>
    <x v="3"/>
    <s v="automatic"/>
    <s v="wddkj5kb4df191416"/>
    <s v="ca"/>
    <n v="45"/>
    <x v="534"/>
    <s v="white"/>
    <s v="gray"/>
    <s v="mercedes-benz financial services"/>
    <n v="33200"/>
    <x v="7"/>
    <s v="Thu Dec 18 2014 12:30:00 GMT-0800 (PST)"/>
    <n v="2014"/>
    <x v="136"/>
    <x v="1"/>
    <s v="Medium"/>
  </r>
  <r>
    <n v="2013"/>
    <x v="11"/>
    <x v="59"/>
    <x v="5"/>
    <x v="1"/>
    <s v="automatic"/>
    <s v="jthbe1bl4d5001280"/>
    <s v="ca"/>
    <n v="38"/>
    <x v="535"/>
    <s v="black"/>
    <s v="gray"/>
    <s v="ubs wholesale"/>
    <n v="31900"/>
    <x v="235"/>
    <s v="Thu Dec 18 2014 12:30:00 GMT-0800 (PST)"/>
    <n v="2014"/>
    <x v="80"/>
    <x v="2"/>
    <s v="Medium"/>
  </r>
  <r>
    <n v="2013"/>
    <x v="12"/>
    <x v="64"/>
    <x v="58"/>
    <x v="1"/>
    <s v="automatic"/>
    <s v="jn1by1ap6dm514665"/>
    <s v="ca"/>
    <n v="45"/>
    <x v="536"/>
    <s v="black"/>
    <s v="black"/>
    <s v="nissan north america inc."/>
    <n v="34800"/>
    <x v="176"/>
    <s v="Thu Dec 18 2014 12:30:00 GMT-0800 (PST)"/>
    <n v="2014"/>
    <x v="89"/>
    <x v="1"/>
    <s v="Medium"/>
  </r>
  <r>
    <n v="2013"/>
    <x v="0"/>
    <x v="10"/>
    <x v="54"/>
    <x v="1"/>
    <s v="automatic"/>
    <s v="5xxgr4a64dg097254"/>
    <s v="ca"/>
    <n v="36"/>
    <x v="537"/>
    <s v="black"/>
    <s v="black"/>
    <s v="kia motors finance"/>
    <n v="20600"/>
    <x v="158"/>
    <s v="Tue Jan 20 2015 04:30:00 GMT-0800 (PST)"/>
    <n v="2015"/>
    <x v="83"/>
    <x v="2"/>
    <s v="Medium"/>
  </r>
  <r>
    <n v="2013"/>
    <x v="15"/>
    <x v="60"/>
    <x v="10"/>
    <x v="0"/>
    <s v="automatic"/>
    <s v="ja4jt3aw4du020776"/>
    <s v="ca"/>
    <n v="41"/>
    <x v="538"/>
    <s v="brown"/>
    <s v="black"/>
    <s v="avis corporation"/>
    <n v="14200"/>
    <x v="236"/>
    <s v="Thu Dec 18 2014 11:30:00 GMT-0800 (PST)"/>
    <n v="2014"/>
    <x v="81"/>
    <x v="1"/>
    <s v="Low"/>
  </r>
  <r>
    <n v="2013"/>
    <x v="15"/>
    <x v="92"/>
    <x v="85"/>
    <x v="1"/>
    <s v="automatic"/>
    <s v="ja32u2fu2du019813"/>
    <s v="ca"/>
    <n v="28"/>
    <x v="539"/>
    <s v="red"/>
    <s v="black"/>
    <s v="avis corporation"/>
    <n v="9900"/>
    <x v="163"/>
    <s v="Thu Dec 18 2014 11:30:00 GMT-0800 (PST)"/>
    <n v="2014"/>
    <x v="137"/>
    <x v="2"/>
    <s v="Low"/>
  </r>
  <r>
    <n v="2013"/>
    <x v="12"/>
    <x v="45"/>
    <x v="67"/>
    <x v="8"/>
    <s v="automatic"/>
    <s v="jn1cv6arxdm752904"/>
    <s v="ca"/>
    <n v="3"/>
    <x v="540"/>
    <s v="â€”"/>
    <s v="black"/>
    <s v="the hertz corporation"/>
    <n v="19300"/>
    <x v="237"/>
    <s v="Thu Jan 15 2015 04:00:00 GMT-0800 (PST)"/>
    <n v="2015"/>
    <x v="106"/>
    <x v="0"/>
    <s v="Medium"/>
  </r>
  <r>
    <n v="2013"/>
    <x v="14"/>
    <x v="70"/>
    <x v="62"/>
    <x v="1"/>
    <s v="automatic"/>
    <s v="wddhf5kb6da718574"/>
    <s v="ca"/>
    <n v="47"/>
    <x v="541"/>
    <s v="white"/>
    <s v="black"/>
    <s v="mercedes-benz financial services"/>
    <n v="34700"/>
    <x v="238"/>
    <s v="Thu Dec 18 2014 12:30:00 GMT-0800 (PST)"/>
    <n v="2014"/>
    <x v="96"/>
    <x v="1"/>
    <s v="Medium"/>
  </r>
  <r>
    <n v="2013"/>
    <x v="12"/>
    <x v="45"/>
    <x v="36"/>
    <x v="8"/>
    <s v="automatic"/>
    <s v="jn1cv6ap8dm716708"/>
    <s v="ca"/>
    <n v="44"/>
    <x v="542"/>
    <s v="black"/>
    <s v="black"/>
    <s v="nissan infiniti lt"/>
    <n v="21700"/>
    <x v="78"/>
    <s v="Thu Dec 18 2014 12:30:00 GMT-0800 (PST)"/>
    <n v="2014"/>
    <x v="50"/>
    <x v="1"/>
    <s v="Medium"/>
  </r>
  <r>
    <n v="2013"/>
    <x v="11"/>
    <x v="59"/>
    <x v="5"/>
    <x v="1"/>
    <s v="automatic"/>
    <s v="jthbe1bl4d5006057"/>
    <s v="ca"/>
    <n v="46"/>
    <x v="543"/>
    <s v="gold"/>
    <s v="brown"/>
    <s v="lexus financial services"/>
    <n v="34500"/>
    <x v="196"/>
    <s v="Wed Dec 17 2014 12:30:00 GMT-0800 (PST)"/>
    <n v="2014"/>
    <x v="80"/>
    <x v="1"/>
    <s v="Medium"/>
  </r>
  <r>
    <n v="2013"/>
    <x v="14"/>
    <x v="61"/>
    <x v="82"/>
    <x v="1"/>
    <s v="automatic"/>
    <s v="wddgf7hb8da872198"/>
    <s v="ca"/>
    <n v="39"/>
    <x v="544"/>
    <s v="silver"/>
    <s v="â€”"/>
    <s v="mercedes-benz finc wholesale advantage"/>
    <n v="43600"/>
    <x v="220"/>
    <s v="Thu Dec 18 2014 12:30:00 GMT-0800 (PST)"/>
    <n v="2014"/>
    <x v="134"/>
    <x v="2"/>
    <s v="Medium"/>
  </r>
  <r>
    <n v="2013"/>
    <x v="17"/>
    <x v="73"/>
    <x v="5"/>
    <x v="5"/>
    <s v="automatic"/>
    <s v="wmwsu3c58dt546181"/>
    <s v="ca"/>
    <n v="39"/>
    <x v="545"/>
    <s v="red"/>
    <s v="black"/>
    <s v="avis rac/san leandro"/>
    <n v="12400"/>
    <x v="161"/>
    <s v="Tue Dec 23 2014 12:30:00 GMT-0800 (PST)"/>
    <n v="2014"/>
    <x v="99"/>
    <x v="2"/>
    <s v="Low"/>
  </r>
  <r>
    <n v="2013"/>
    <x v="21"/>
    <x v="94"/>
    <x v="86"/>
    <x v="1"/>
    <s v="automatic"/>
    <s v="1vwbp7a36dc103091"/>
    <s v="ca"/>
    <n v="1"/>
    <x v="546"/>
    <s v="white"/>
    <s v="black"/>
    <s v="vw credit"/>
    <n v="14450"/>
    <x v="184"/>
    <s v="Tue Dec 16 2014 12:00:00 GMT-0800 (PST)"/>
    <n v="2014"/>
    <x v="138"/>
    <x v="0"/>
    <s v="Low"/>
  </r>
  <r>
    <n v="2013"/>
    <x v="3"/>
    <x v="4"/>
    <x v="51"/>
    <x v="1"/>
    <s v="automatic"/>
    <s v="1n4al3ap5dn426516"/>
    <s v="ca"/>
    <n v="4"/>
    <x v="547"/>
    <s v="â€”"/>
    <s v="black"/>
    <s v="nissan-infiniti lt"/>
    <n v="14350"/>
    <x v="239"/>
    <s v="Wed Dec 17 2014 12:30:00 GMT-0800 (PST)"/>
    <n v="2014"/>
    <x v="78"/>
    <x v="0"/>
    <s v="Low"/>
  </r>
  <r>
    <n v="2013"/>
    <x v="22"/>
    <x v="95"/>
    <x v="60"/>
    <x v="1"/>
    <s v="automatic"/>
    <s v="5yfbu4ee5dp216754"/>
    <s v="ca"/>
    <n v="1"/>
    <x v="548"/>
    <s v="black"/>
    <s v="gray"/>
    <s v="enterprise vehicle exchange / tra / rental / tulsa"/>
    <n v="11400"/>
    <x v="30"/>
    <s v="Tue Dec 16 2014 12:00:00 GMT-0800 (PST)"/>
    <n v="2014"/>
    <x v="139"/>
    <x v="0"/>
    <s v="Low"/>
  </r>
  <r>
    <n v="2013"/>
    <x v="2"/>
    <x v="96"/>
    <x v="87"/>
    <x v="0"/>
    <s v="automatic"/>
    <s v="yv4940dl7d2432124"/>
    <s v="ca"/>
    <n v="43"/>
    <x v="549"/>
    <s v="white"/>
    <s v="black"/>
    <s v="avis corporation"/>
    <n v="21200"/>
    <x v="240"/>
    <s v="Tue Dec 16 2014 12:30:00 GMT-0800 (PST)"/>
    <n v="2014"/>
    <x v="140"/>
    <x v="1"/>
    <s v="Medium"/>
  </r>
  <r>
    <n v="2013"/>
    <x v="22"/>
    <x v="97"/>
    <x v="88"/>
    <x v="11"/>
    <s v="automatic"/>
    <s v="5tdkk3dc4ds344460"/>
    <s v="ca"/>
    <n v="35"/>
    <x v="550"/>
    <s v="gray"/>
    <s v="tan"/>
    <s v="the hertz corporation"/>
    <n v="17150"/>
    <x v="135"/>
    <s v="Tue Dec 16 2014 12:30:00 GMT-0800 (PST)"/>
    <n v="2014"/>
    <x v="141"/>
    <x v="2"/>
    <s v="Low"/>
  </r>
  <r>
    <n v="2013"/>
    <x v="3"/>
    <x v="98"/>
    <x v="89"/>
    <x v="5"/>
    <s v="automatic"/>
    <s v="jn8af5mv4dt218618"/>
    <s v="ca"/>
    <n v="43"/>
    <x v="551"/>
    <s v="gray"/>
    <s v="black"/>
    <s v="enterprise veh exchange/rental"/>
    <n v="13750"/>
    <x v="241"/>
    <s v="Fri Dec 26 2014 15:00:00 GMT-0800 (PST)"/>
    <n v="2014"/>
    <x v="142"/>
    <x v="1"/>
    <s v="Low"/>
  </r>
  <r>
    <n v="2013"/>
    <x v="22"/>
    <x v="99"/>
    <x v="72"/>
    <x v="5"/>
    <s v="automatic"/>
    <s v="jtdktud33dd552876"/>
    <s v="ca"/>
    <n v="2"/>
    <x v="552"/>
    <s v="white"/>
    <s v="gray"/>
    <s v="enterprise vehicle exchange / tra / rental / tulsa"/>
    <n v="9775"/>
    <x v="144"/>
    <s v="Tue Dec 30 2014 13:00:00 GMT-0800 (PST)"/>
    <n v="2014"/>
    <x v="143"/>
    <x v="0"/>
    <s v="Low"/>
  </r>
  <r>
    <n v="2013"/>
    <x v="3"/>
    <x v="100"/>
    <x v="90"/>
    <x v="1"/>
    <m/>
    <s v="3n1ab7ap2dl644629"/>
    <s v="ca"/>
    <n v="15"/>
    <x v="553"/>
    <s v="silver"/>
    <s v="black"/>
    <s v="bmw alphera/alphera financial services"/>
    <n v="10600"/>
    <x v="174"/>
    <s v="Wed Dec 17 2014 12:30:00 GMT-0800 (PST)"/>
    <n v="2014"/>
    <x v="144"/>
    <x v="0"/>
    <s v="Low"/>
  </r>
  <r>
    <n v="2013"/>
    <x v="3"/>
    <x v="101"/>
    <x v="89"/>
    <x v="0"/>
    <s v="automatic"/>
    <s v="jn8as5mt6dw521005"/>
    <s v="ca"/>
    <m/>
    <x v="554"/>
    <s v="silver"/>
    <s v="black"/>
    <s v="santander consumer"/>
    <n v="13600"/>
    <x v="242"/>
    <s v="Tue Dec 16 2014 13:00:00 GMT-0800 (PST)"/>
    <n v="2014"/>
    <x v="145"/>
    <x v="0"/>
    <s v="Low"/>
  </r>
  <r>
    <n v="2013"/>
    <x v="3"/>
    <x v="102"/>
    <x v="91"/>
    <x v="13"/>
    <s v="automatic"/>
    <s v="1n6bf0km4dn103306"/>
    <s v="ca"/>
    <n v="1"/>
    <x v="555"/>
    <s v="white"/>
    <s v="gray"/>
    <s v="enterprise vehicle exchange / tra / rental / tulsa"/>
    <n v="14850"/>
    <x v="180"/>
    <s v="Wed Dec 17 2014 15:05:00 GMT-0800 (PST)"/>
    <n v="2014"/>
    <x v="146"/>
    <x v="0"/>
    <s v="Low"/>
  </r>
  <r>
    <n v="2013"/>
    <x v="22"/>
    <x v="95"/>
    <x v="89"/>
    <x v="1"/>
    <s v="automatic"/>
    <s v="2t1bu4ee4dc089995"/>
    <s v="ca"/>
    <n v="47"/>
    <x v="556"/>
    <s v="orange"/>
    <s v="black"/>
    <s v="consolidated asset recovery systems  inc."/>
    <n v="13500"/>
    <x v="13"/>
    <s v="Wed Dec 17 2014 12:30:00 GMT-0800 (PST)"/>
    <n v="2014"/>
    <x v="147"/>
    <x v="1"/>
    <s v="Low"/>
  </r>
  <r>
    <n v="2013"/>
    <x v="22"/>
    <x v="95"/>
    <x v="60"/>
    <x v="1"/>
    <s v="automatic"/>
    <s v="5yfbu4ee9dp201867"/>
    <s v="ca"/>
    <m/>
    <x v="292"/>
    <s v="white"/>
    <s v="gray"/>
    <s v="hertz/tra"/>
    <n v="11650"/>
    <x v="139"/>
    <s v="Wed Dec 17 2014 15:10:00 GMT-0800 (PST)"/>
    <n v="2014"/>
    <x v="139"/>
    <x v="0"/>
    <s v="Low"/>
  </r>
  <r>
    <n v="2013"/>
    <x v="21"/>
    <x v="103"/>
    <x v="92"/>
    <x v="1"/>
    <s v="automatic"/>
    <s v="wvwbp7an8de537909"/>
    <s v="ca"/>
    <n v="33"/>
    <x v="557"/>
    <s v="black"/>
    <s v="black"/>
    <s v="avis rac/san leandro"/>
    <n v="14950"/>
    <x v="143"/>
    <s v="Wed Dec 17 2014 12:30:00 GMT-0800 (PST)"/>
    <n v="2014"/>
    <x v="148"/>
    <x v="2"/>
    <s v="Low"/>
  </r>
  <r>
    <n v="2013"/>
    <x v="3"/>
    <x v="104"/>
    <x v="93"/>
    <x v="5"/>
    <s v="automatic"/>
    <s v="1n4az0cp7dc403583"/>
    <s v="ca"/>
    <n v="4"/>
    <x v="558"/>
    <s v="â€”"/>
    <s v="black"/>
    <s v="nissan-infiniti lt"/>
    <n v="13100"/>
    <x v="218"/>
    <s v="Tue Dec 16 2014 12:30:00 GMT-0800 (PST)"/>
    <n v="2014"/>
    <x v="149"/>
    <x v="0"/>
    <s v="Low"/>
  </r>
  <r>
    <n v="2013"/>
    <x v="2"/>
    <x v="96"/>
    <x v="87"/>
    <x v="0"/>
    <s v="automatic"/>
    <s v="yv4952dl6d2413654"/>
    <s v="ca"/>
    <n v="39"/>
    <x v="559"/>
    <s v="blue"/>
    <s v="black"/>
    <s v="avis corporation"/>
    <n v="20400"/>
    <x v="50"/>
    <s v="Tue Dec 16 2014 12:30:00 GMT-0800 (PST)"/>
    <n v="2014"/>
    <x v="140"/>
    <x v="2"/>
    <s v="Medium"/>
  </r>
  <r>
    <n v="2013"/>
    <x v="22"/>
    <x v="105"/>
    <x v="60"/>
    <x v="1"/>
    <s v="automatic"/>
    <s v="4t4bf1fk5dr275482"/>
    <s v="ca"/>
    <n v="38"/>
    <x v="560"/>
    <s v="red"/>
    <s v="beige"/>
    <s v="avis corporation"/>
    <n v="13200"/>
    <x v="186"/>
    <s v="Thu Dec 18 2014 11:30:00 GMT-0800 (PST)"/>
    <n v="2014"/>
    <x v="150"/>
    <x v="2"/>
    <s v="Low"/>
  </r>
  <r>
    <n v="2013"/>
    <x v="22"/>
    <x v="105"/>
    <x v="94"/>
    <x v="1"/>
    <s v="automatic"/>
    <s v="4t1bk1fk0du529833"/>
    <s v="ca"/>
    <n v="5"/>
    <x v="561"/>
    <s v="black"/>
    <s v="gray"/>
    <s v="the car exchange"/>
    <n v="21800"/>
    <x v="114"/>
    <s v="Wed Dec 17 2014 12:30:00 GMT-0800 (PST)"/>
    <n v="2014"/>
    <x v="151"/>
    <x v="0"/>
    <s v="Medium"/>
  </r>
  <r>
    <n v="2013"/>
    <x v="22"/>
    <x v="106"/>
    <x v="95"/>
    <x v="14"/>
    <s v="automatic"/>
    <s v="5tfjx4gn8dx015982"/>
    <s v="ca"/>
    <n v="28"/>
    <x v="562"/>
    <s v="blue"/>
    <s v="gray"/>
    <s v="manheim san diego"/>
    <n v="21200"/>
    <x v="43"/>
    <s v="Tue Dec 23 2014 16:00:00 GMT-0800 (PST)"/>
    <n v="2014"/>
    <x v="152"/>
    <x v="2"/>
    <s v="Medium"/>
  </r>
  <r>
    <n v="2013"/>
    <x v="22"/>
    <x v="95"/>
    <x v="89"/>
    <x v="1"/>
    <s v="automatic"/>
    <s v="5yfbu4ee3dp081760"/>
    <s v="ca"/>
    <m/>
    <x v="563"/>
    <s v="silver"/>
    <s v="â€”"/>
    <s v="d auto man"/>
    <n v="12650"/>
    <x v="49"/>
    <s v="Thu Dec 18 2014 12:00:00 GMT-0800 (PST)"/>
    <n v="2014"/>
    <x v="147"/>
    <x v="0"/>
    <s v="Low"/>
  </r>
  <r>
    <n v="2013"/>
    <x v="21"/>
    <x v="107"/>
    <x v="86"/>
    <x v="1"/>
    <s v="automatic"/>
    <s v="3vwdp7aj7dm408489"/>
    <s v="ca"/>
    <n v="44"/>
    <x v="564"/>
    <s v="white"/>
    <s v="black"/>
    <s v="avis rac/san leandro"/>
    <n v="10900"/>
    <x v="124"/>
    <s v="Wed Dec 17 2014 12:30:00 GMT-0800 (PST)"/>
    <n v="2014"/>
    <x v="153"/>
    <x v="1"/>
    <s v="Low"/>
  </r>
  <r>
    <n v="2013"/>
    <x v="23"/>
    <x v="108"/>
    <x v="5"/>
    <x v="1"/>
    <s v="manual"/>
    <s v="jf1gv7e63dg034961"/>
    <s v="ca"/>
    <n v="42"/>
    <x v="565"/>
    <s v="blue"/>
    <s v="black"/>
    <s v="gossler motors"/>
    <n v="22600"/>
    <x v="20"/>
    <s v="Tue Dec 23 2014 12:00:00 GMT-0800 (PST)"/>
    <n v="2014"/>
    <x v="154"/>
    <x v="1"/>
    <s v="Medium"/>
  </r>
  <r>
    <n v="2013"/>
    <x v="3"/>
    <x v="4"/>
    <x v="96"/>
    <x v="1"/>
    <s v="automatic"/>
    <s v="1n4bl3ap4dc907342"/>
    <s v="ca"/>
    <n v="44"/>
    <x v="164"/>
    <s v="black"/>
    <s v="black"/>
    <s v="nissan motor acceptance corporation"/>
    <n v="17250"/>
    <x v="120"/>
    <s v="Wed Dec 17 2014 12:30:00 GMT-0800 (PST)"/>
    <n v="2014"/>
    <x v="155"/>
    <x v="1"/>
    <s v="Medium"/>
  </r>
  <r>
    <n v="2013"/>
    <x v="22"/>
    <x v="109"/>
    <x v="5"/>
    <x v="0"/>
    <s v="automatic"/>
    <s v="jtezu4bf8dk013024"/>
    <s v="ca"/>
    <n v="37"/>
    <x v="566"/>
    <s v="black"/>
    <s v="black"/>
    <s v="avis rac/san leandro"/>
    <n v="25200"/>
    <x v="243"/>
    <s v="Wed Jan 14 2015 04:30:00 GMT-0800 (PST)"/>
    <n v="2015"/>
    <x v="156"/>
    <x v="2"/>
    <s v="Medium"/>
  </r>
  <r>
    <n v="2013"/>
    <x v="3"/>
    <x v="31"/>
    <x v="97"/>
    <x v="1"/>
    <m/>
    <s v="3n1cn7ap3dl881422"/>
    <s v="ca"/>
    <n v="2"/>
    <x v="567"/>
    <s v="white"/>
    <s v="black"/>
    <s v="hertz/tra"/>
    <n v="9750"/>
    <x v="244"/>
    <s v="Tue Dec 16 2014 13:00:00 GMT-0800 (PST)"/>
    <n v="2014"/>
    <x v="157"/>
    <x v="0"/>
    <s v="Low"/>
  </r>
  <r>
    <n v="2013"/>
    <x v="23"/>
    <x v="108"/>
    <x v="5"/>
    <x v="1"/>
    <s v="manual"/>
    <s v="jf1gv7e65dg022651"/>
    <s v="ca"/>
    <n v="25"/>
    <x v="568"/>
    <s v="blue"/>
    <s v="black"/>
    <s v="us bank"/>
    <n v="21800"/>
    <x v="29"/>
    <s v="Tue Dec 16 2014 12:30:00 GMT-0800 (PST)"/>
    <n v="2014"/>
    <x v="154"/>
    <x v="2"/>
    <s v="Medium"/>
  </r>
  <r>
    <n v="2013"/>
    <x v="22"/>
    <x v="95"/>
    <x v="60"/>
    <x v="1"/>
    <s v="automatic"/>
    <s v="5yfbu4ee7dp143368"/>
    <s v="ca"/>
    <n v="1"/>
    <x v="569"/>
    <s v="â€”"/>
    <s v="gray"/>
    <s v="fox rent a car tra"/>
    <n v="10600"/>
    <x v="74"/>
    <s v="Tue Dec 16 2014 12:00:00 GMT-0800 (PST)"/>
    <n v="2014"/>
    <x v="139"/>
    <x v="0"/>
    <s v="Low"/>
  </r>
  <r>
    <n v="2013"/>
    <x v="21"/>
    <x v="110"/>
    <x v="98"/>
    <x v="5"/>
    <s v="automatic"/>
    <s v="3vwfp7at2dm654781"/>
    <s v="ca"/>
    <n v="44"/>
    <x v="570"/>
    <s v="white"/>
    <s v="black"/>
    <s v="avis rac/san leandro"/>
    <n v="11400"/>
    <x v="99"/>
    <s v="Wed Dec 17 2014 12:30:00 GMT-0800 (PST)"/>
    <n v="2014"/>
    <x v="158"/>
    <x v="1"/>
    <s v="Low"/>
  </r>
  <r>
    <n v="2013"/>
    <x v="3"/>
    <x v="101"/>
    <x v="89"/>
    <x v="0"/>
    <m/>
    <s v="jn8as5mt2dw525715"/>
    <s v="ca"/>
    <n v="41"/>
    <x v="571"/>
    <s v="â€”"/>
    <s v="black"/>
    <s v="nissan motor acceptance corporation"/>
    <n v="13200"/>
    <x v="39"/>
    <s v="Tue Dec 16 2014 12:30:00 GMT-0800 (PST)"/>
    <n v="2014"/>
    <x v="145"/>
    <x v="1"/>
    <s v="Low"/>
  </r>
  <r>
    <n v="2013"/>
    <x v="22"/>
    <x v="111"/>
    <x v="94"/>
    <x v="1"/>
    <s v="automatic"/>
    <s v="4t1bk1eb6du040855"/>
    <s v="ca"/>
    <n v="33"/>
    <x v="572"/>
    <s v="silver"/>
    <s v="silver"/>
    <s v="toyota financial services/avis budget group-open"/>
    <n v="18850"/>
    <x v="24"/>
    <s v="Tue Dec 23 2014 12:30:00 GMT-0800 (PST)"/>
    <n v="2014"/>
    <x v="159"/>
    <x v="2"/>
    <s v="Medium"/>
  </r>
  <r>
    <n v="2013"/>
    <x v="24"/>
    <x v="112"/>
    <x v="5"/>
    <x v="3"/>
    <s v="automatic"/>
    <s v="jf1znaa14d2706815"/>
    <s v="ca"/>
    <n v="24"/>
    <x v="573"/>
    <s v="red"/>
    <s v="black"/>
    <s v="stream llc dba stream remarketing solutions"/>
    <n v="15800"/>
    <x v="12"/>
    <s v="Tue Dec 23 2014 13:30:00 GMT-0800 (PST)"/>
    <n v="2014"/>
    <x v="160"/>
    <x v="2"/>
    <s v="Low"/>
  </r>
  <r>
    <n v="2013"/>
    <x v="3"/>
    <x v="113"/>
    <x v="89"/>
    <x v="11"/>
    <s v="automatic"/>
    <s v="3n6cm0kn8dk691932"/>
    <s v="ca"/>
    <n v="4"/>
    <x v="574"/>
    <s v="white"/>
    <s v="gray"/>
    <s v="nissan dealer blend/ross nissan of el monte"/>
    <n v="14550"/>
    <x v="245"/>
    <s v="Tue Dec 16 2014 12:30:00 GMT-0800 (PST)"/>
    <n v="2014"/>
    <x v="161"/>
    <x v="0"/>
    <s v="Low"/>
  </r>
  <r>
    <n v="2013"/>
    <x v="3"/>
    <x v="4"/>
    <x v="51"/>
    <x v="1"/>
    <s v="automatic"/>
    <s v="1n4al3ap7dc157978"/>
    <s v="ca"/>
    <n v="38"/>
    <x v="575"/>
    <s v="â€”"/>
    <s v="black"/>
    <s v="nissan-infiniti lt"/>
    <n v="14150"/>
    <x v="236"/>
    <s v="Wed Dec 17 2014 12:30:00 GMT-0800 (PST)"/>
    <n v="2014"/>
    <x v="78"/>
    <x v="2"/>
    <s v="Low"/>
  </r>
  <r>
    <n v="2013"/>
    <x v="22"/>
    <x v="114"/>
    <x v="60"/>
    <x v="0"/>
    <s v="automatic"/>
    <s v="2t3bfrev6dw025809"/>
    <s v="ca"/>
    <m/>
    <x v="576"/>
    <s v="gray"/>
    <s v="gray"/>
    <s v="hertz/tra"/>
    <n v="16800"/>
    <x v="193"/>
    <s v="Tue Dec 16 2014 13:00:00 GMT-0800 (PST)"/>
    <n v="2014"/>
    <x v="162"/>
    <x v="0"/>
    <s v="Low"/>
  </r>
  <r>
    <n v="2013"/>
    <x v="21"/>
    <x v="94"/>
    <x v="99"/>
    <x v="1"/>
    <s v="automatic"/>
    <s v="1vwap7a33dc063127"/>
    <s v="ca"/>
    <n v="1"/>
    <x v="577"/>
    <s v="burgundy"/>
    <s v="black"/>
    <s v="american car finance inc"/>
    <n v="11650"/>
    <x v="246"/>
    <s v="Wed Jan 07 2015 11:00:00 GMT-0800 (PST)"/>
    <n v="2015"/>
    <x v="163"/>
    <x v="0"/>
    <s v="Low"/>
  </r>
  <r>
    <n v="2013"/>
    <x v="3"/>
    <x v="101"/>
    <x v="89"/>
    <x v="0"/>
    <s v="automatic"/>
    <s v="jn8as5mv6dw607187"/>
    <s v="ca"/>
    <n v="21"/>
    <x v="578"/>
    <s v="gray"/>
    <s v="black"/>
    <s v="the hertz corporation"/>
    <n v="12600"/>
    <x v="49"/>
    <s v="Thu Jan 08 2015 11:30:00 GMT-0800 (PST)"/>
    <n v="2015"/>
    <x v="145"/>
    <x v="2"/>
    <s v="Low"/>
  </r>
  <r>
    <n v="2013"/>
    <x v="3"/>
    <x v="115"/>
    <x v="93"/>
    <x v="11"/>
    <m/>
    <s v="jn8ae2kp5d9067114"/>
    <s v="ca"/>
    <n v="47"/>
    <x v="579"/>
    <s v="brown"/>
    <s v="gray"/>
    <s v="nissan north america inc."/>
    <n v="25100"/>
    <x v="53"/>
    <s v="Tue Dec 16 2014 12:30:00 GMT-0800 (PST)"/>
    <n v="2014"/>
    <x v="164"/>
    <x v="1"/>
    <s v="Medium"/>
  </r>
  <r>
    <n v="2013"/>
    <x v="21"/>
    <x v="110"/>
    <x v="98"/>
    <x v="5"/>
    <s v="automatic"/>
    <s v="3vwfp7at0dm654617"/>
    <s v="ca"/>
    <n v="42"/>
    <x v="580"/>
    <s v="silver"/>
    <s v="black"/>
    <s v="avis corporation"/>
    <n v="11450"/>
    <x v="124"/>
    <s v="Thu Dec 18 2014 11:30:00 GMT-0800 (PST)"/>
    <n v="2014"/>
    <x v="158"/>
    <x v="1"/>
    <s v="Low"/>
  </r>
  <r>
    <n v="2013"/>
    <x v="21"/>
    <x v="107"/>
    <x v="100"/>
    <x v="1"/>
    <s v="automatic"/>
    <s v="3vwll7aj9dm365104"/>
    <s v="ca"/>
    <n v="38"/>
    <x v="581"/>
    <s v="gray"/>
    <s v="black"/>
    <s v="sierra auto investment co"/>
    <n v="16150"/>
    <x v="188"/>
    <s v="Thu Jan 15 2015 04:30:00 GMT-0800 (PST)"/>
    <n v="2015"/>
    <x v="165"/>
    <x v="2"/>
    <s v="Low"/>
  </r>
  <r>
    <n v="2013"/>
    <x v="22"/>
    <x v="116"/>
    <x v="101"/>
    <x v="15"/>
    <s v="automatic"/>
    <s v="5tfem5f11dx062107"/>
    <s v="ca"/>
    <n v="42"/>
    <x v="582"/>
    <s v="â€”"/>
    <s v="gray"/>
    <s v="wheels exchange llc"/>
    <n v="18850"/>
    <x v="73"/>
    <s v="Wed Dec 17 2014 12:30:00 GMT-0800 (PST)"/>
    <n v="2014"/>
    <x v="166"/>
    <x v="1"/>
    <s v="Medium"/>
  </r>
  <r>
    <n v="2013"/>
    <x v="3"/>
    <x v="4"/>
    <x v="51"/>
    <x v="1"/>
    <s v="automatic"/>
    <s v="1n4al3ap6dn529198"/>
    <s v="ca"/>
    <n v="41"/>
    <x v="583"/>
    <s v="beige"/>
    <s v="tan"/>
    <s v="nissan-infiniti lt"/>
    <n v="15150"/>
    <x v="247"/>
    <s v="Tue Dec 16 2014 12:30:00 GMT-0800 (PST)"/>
    <n v="2014"/>
    <x v="78"/>
    <x v="1"/>
    <s v="Low"/>
  </r>
  <r>
    <n v="2013"/>
    <x v="22"/>
    <x v="109"/>
    <x v="5"/>
    <x v="0"/>
    <s v="automatic"/>
    <s v="jtebu4bf8dk163958"/>
    <s v="ca"/>
    <n v="49"/>
    <x v="584"/>
    <s v="brown"/>
    <s v="black"/>
    <s v="toyota financial services/avis budget group-open"/>
    <n v="26900"/>
    <x v="90"/>
    <s v="Wed Dec 17 2014 12:30:00 GMT-0800 (PST)"/>
    <n v="2014"/>
    <x v="156"/>
    <x v="1"/>
    <s v="Medium"/>
  </r>
  <r>
    <n v="2013"/>
    <x v="3"/>
    <x v="101"/>
    <x v="89"/>
    <x v="0"/>
    <m/>
    <s v="jn8as5mt7dw521496"/>
    <s v="ca"/>
    <n v="41"/>
    <x v="585"/>
    <s v="white"/>
    <s v="black"/>
    <s v="nissan motor acceptance corporation"/>
    <n v="15000"/>
    <x v="218"/>
    <s v="Tue Dec 16 2014 12:30:00 GMT-0800 (PST)"/>
    <n v="2014"/>
    <x v="145"/>
    <x v="1"/>
    <s v="Low"/>
  </r>
  <r>
    <n v="2013"/>
    <x v="24"/>
    <x v="117"/>
    <x v="5"/>
    <x v="5"/>
    <s v="manual"/>
    <s v="jtkjf5c75d3056716"/>
    <s v="ca"/>
    <m/>
    <x v="586"/>
    <s v="gray"/>
    <s v="black"/>
    <s v="toyota chula vista dba scion"/>
    <n v="13800"/>
    <x v="241"/>
    <s v="Wed Dec 17 2014 12:30:00 GMT-0800 (PST)"/>
    <n v="2014"/>
    <x v="167"/>
    <x v="0"/>
    <s v="Low"/>
  </r>
  <r>
    <n v="2013"/>
    <x v="3"/>
    <x v="4"/>
    <x v="51"/>
    <x v="1"/>
    <s v="automatic"/>
    <s v="1n4al3ap9dc233006"/>
    <s v="ca"/>
    <n v="41"/>
    <x v="587"/>
    <s v="â€”"/>
    <s v="beige"/>
    <s v="nissan-infiniti lt"/>
    <n v="15700"/>
    <x v="225"/>
    <s v="Tue Dec 16 2014 12:30:00 GMT-0800 (PST)"/>
    <n v="2014"/>
    <x v="78"/>
    <x v="1"/>
    <s v="Low"/>
  </r>
  <r>
    <n v="2013"/>
    <x v="3"/>
    <x v="118"/>
    <x v="102"/>
    <x v="1"/>
    <s v="automatic"/>
    <s v="1n4aa5ap0dc844429"/>
    <s v="ca"/>
    <n v="44"/>
    <x v="588"/>
    <s v="white"/>
    <s v="black"/>
    <s v="nissan motor acceptance corporation"/>
    <n v="19000"/>
    <x v="63"/>
    <s v="Tue Dec 16 2014 12:30:00 GMT-0800 (PST)"/>
    <n v="2014"/>
    <x v="168"/>
    <x v="1"/>
    <s v="Medium"/>
  </r>
  <r>
    <n v="2013"/>
    <x v="25"/>
    <x v="119"/>
    <x v="5"/>
    <x v="0"/>
    <s v="automatic"/>
    <s v="wp1aa2a26dla06093"/>
    <s v="ca"/>
    <n v="37"/>
    <x v="589"/>
    <s v="gray"/>
    <s v="black"/>
    <s v="the hertz corporation"/>
    <n v="49300"/>
    <x v="77"/>
    <s v="Tue Dec 16 2014 12:30:00 GMT-0800 (PST)"/>
    <n v="2014"/>
    <x v="169"/>
    <x v="2"/>
    <s v="Medium"/>
  </r>
  <r>
    <n v="2013"/>
    <x v="3"/>
    <x v="100"/>
    <x v="89"/>
    <x v="1"/>
    <m/>
    <s v="3n1ab7ap0dl724057"/>
    <s v="ca"/>
    <n v="36"/>
    <x v="590"/>
    <s v="white"/>
    <s v="gray"/>
    <s v="nissan motor acceptance corporation"/>
    <n v="11000"/>
    <x v="49"/>
    <s v="Tue Dec 16 2014 12:30:00 GMT-0800 (PST)"/>
    <n v="2014"/>
    <x v="170"/>
    <x v="2"/>
    <s v="Low"/>
  </r>
  <r>
    <n v="2013"/>
    <x v="25"/>
    <x v="120"/>
    <x v="103"/>
    <x v="2"/>
    <s v="automatic"/>
    <s v="wp0cb2a99ds155897"/>
    <s v="ca"/>
    <n v="46"/>
    <x v="591"/>
    <s v="black"/>
    <s v="black"/>
    <s v="porsche financial services"/>
    <n v="80000"/>
    <x v="248"/>
    <s v="Thu Dec 18 2014 12:30:00 GMT-0800 (PST)"/>
    <n v="2014"/>
    <x v="171"/>
    <x v="1"/>
    <s v="High"/>
  </r>
  <r>
    <n v="2013"/>
    <x v="21"/>
    <x v="94"/>
    <x v="86"/>
    <x v="1"/>
    <s v="automatic"/>
    <s v="1vwbp7a35dc065658"/>
    <s v="ca"/>
    <n v="35"/>
    <x v="592"/>
    <s v="silver"/>
    <s v="black"/>
    <s v="avis corporation"/>
    <n v="13500"/>
    <x v="186"/>
    <s v="Thu Jan 15 2015 03:30:00 GMT-0800 (PST)"/>
    <n v="2015"/>
    <x v="138"/>
    <x v="2"/>
    <s v="Low"/>
  </r>
  <r>
    <n v="2013"/>
    <x v="21"/>
    <x v="107"/>
    <x v="86"/>
    <x v="1"/>
    <s v="automatic"/>
    <s v="3vwdp7aj3dm427539"/>
    <s v="ca"/>
    <n v="33"/>
    <x v="593"/>
    <s v="black"/>
    <s v="black"/>
    <s v="avis corporation"/>
    <n v="10850"/>
    <x v="99"/>
    <s v="Tue Dec 16 2014 12:30:00 GMT-0800 (PST)"/>
    <n v="2014"/>
    <x v="153"/>
    <x v="2"/>
    <s v="Low"/>
  </r>
  <r>
    <n v="2013"/>
    <x v="3"/>
    <x v="4"/>
    <x v="51"/>
    <x v="1"/>
    <s v="automatic"/>
    <s v="1n4al3ap9dn403384"/>
    <s v="ca"/>
    <n v="3"/>
    <x v="594"/>
    <s v="black"/>
    <s v="black"/>
    <s v="california republic bank"/>
    <n v="14500"/>
    <x v="168"/>
    <s v="Wed Dec 17 2014 12:30:00 GMT-0800 (PST)"/>
    <n v="2014"/>
    <x v="78"/>
    <x v="0"/>
    <s v="Low"/>
  </r>
  <r>
    <n v="2013"/>
    <x v="3"/>
    <x v="121"/>
    <x v="89"/>
    <x v="0"/>
    <s v="automatic"/>
    <s v="5n1an0nw5dn811428"/>
    <s v="ca"/>
    <n v="4"/>
    <x v="595"/>
    <s v="black"/>
    <s v="gray"/>
    <s v="avis rac/san leandro"/>
    <n v="18250"/>
    <x v="249"/>
    <s v="Wed Dec 17 2014 12:30:00 GMT-0800 (PST)"/>
    <n v="2014"/>
    <x v="172"/>
    <x v="0"/>
    <s v="Medium"/>
  </r>
  <r>
    <n v="2013"/>
    <x v="3"/>
    <x v="31"/>
    <x v="97"/>
    <x v="1"/>
    <s v="automatic"/>
    <s v="3n1cn7ap0dl867784"/>
    <s v="ca"/>
    <n v="43"/>
    <x v="596"/>
    <s v="blue"/>
    <s v="black"/>
    <s v="a l financial corporation"/>
    <n v="10100"/>
    <x v="74"/>
    <s v="Wed Dec 17 2014 12:30:00 GMT-0800 (PST)"/>
    <n v="2014"/>
    <x v="157"/>
    <x v="1"/>
    <s v="Low"/>
  </r>
  <r>
    <n v="2013"/>
    <x v="3"/>
    <x v="101"/>
    <x v="89"/>
    <x v="0"/>
    <s v="automatic"/>
    <s v="jn8as5mv7dw126624"/>
    <s v="ca"/>
    <n v="39"/>
    <x v="597"/>
    <s v="gray"/>
    <s v="black"/>
    <s v="merchants automotive group"/>
    <n v="14250"/>
    <x v="108"/>
    <s v="Wed Dec 31 2014 12:30:00 GMT-0800 (PST)"/>
    <n v="2014"/>
    <x v="145"/>
    <x v="2"/>
    <s v="Low"/>
  </r>
  <r>
    <n v="2013"/>
    <x v="3"/>
    <x v="100"/>
    <x v="90"/>
    <x v="1"/>
    <s v="automatic"/>
    <s v="3n1ab7ap2dl764267"/>
    <s v="ca"/>
    <n v="37"/>
    <x v="598"/>
    <s v="red"/>
    <s v="black"/>
    <s v="santander consumer"/>
    <n v="11900"/>
    <x v="137"/>
    <s v="Thu Dec 18 2014 12:00:00 GMT-0800 (PST)"/>
    <n v="2014"/>
    <x v="144"/>
    <x v="2"/>
    <s v="Low"/>
  </r>
  <r>
    <n v="2013"/>
    <x v="22"/>
    <x v="116"/>
    <x v="101"/>
    <x v="15"/>
    <s v="automatic"/>
    <s v="5tfem5f14dx062358"/>
    <s v="ca"/>
    <n v="45"/>
    <x v="599"/>
    <s v="â€”"/>
    <s v="beige"/>
    <s v="wheels exchange llc"/>
    <n v="19900"/>
    <x v="120"/>
    <s v="Wed Dec 17 2014 12:30:00 GMT-0800 (PST)"/>
    <n v="2014"/>
    <x v="166"/>
    <x v="1"/>
    <s v="Medium"/>
  </r>
  <r>
    <n v="2013"/>
    <x v="21"/>
    <x v="94"/>
    <x v="86"/>
    <x v="1"/>
    <s v="automatic"/>
    <s v="1vwbp7a34dc067174"/>
    <s v="ca"/>
    <n v="43"/>
    <x v="600"/>
    <s v="black"/>
    <s v="black"/>
    <s v="avis rac/san leandro"/>
    <n v="12900"/>
    <x v="187"/>
    <s v="Wed Dec 17 2014 12:30:00 GMT-0800 (PST)"/>
    <n v="2014"/>
    <x v="138"/>
    <x v="1"/>
    <s v="Low"/>
  </r>
  <r>
    <n v="2013"/>
    <x v="3"/>
    <x v="100"/>
    <x v="89"/>
    <x v="1"/>
    <m/>
    <s v="3n1ab7ap9dl735283"/>
    <s v="ca"/>
    <n v="38"/>
    <x v="601"/>
    <s v="â€”"/>
    <s v="black"/>
    <s v="nissan motor acceptance corporation"/>
    <n v="11950"/>
    <x v="250"/>
    <s v="Tue Dec 16 2014 12:30:00 GMT-0800 (PST)"/>
    <n v="2014"/>
    <x v="170"/>
    <x v="2"/>
    <s v="Low"/>
  </r>
  <r>
    <n v="2013"/>
    <x v="3"/>
    <x v="121"/>
    <x v="89"/>
    <x v="0"/>
    <s v="automatic"/>
    <s v="5n1an0nw5dn811686"/>
    <s v="ca"/>
    <n v="48"/>
    <x v="602"/>
    <s v="gray"/>
    <s v="gray"/>
    <s v="avis corporation"/>
    <n v="18750"/>
    <x v="104"/>
    <s v="Tue Dec 16 2014 12:30:00 GMT-0800 (PST)"/>
    <n v="2014"/>
    <x v="172"/>
    <x v="1"/>
    <s v="Medium"/>
  </r>
  <r>
    <n v="2013"/>
    <x v="22"/>
    <x v="122"/>
    <x v="104"/>
    <x v="5"/>
    <s v="automatic"/>
    <s v="jtdkn3du1d5577332"/>
    <s v="ca"/>
    <n v="4"/>
    <x v="603"/>
    <s v="silver"/>
    <s v="gray"/>
    <s v="the hertz corporation"/>
    <n v="13300"/>
    <x v="129"/>
    <s v="Thu Dec 18 2014 11:30:00 GMT-0800 (PST)"/>
    <n v="2014"/>
    <x v="173"/>
    <x v="0"/>
    <s v="Low"/>
  </r>
  <r>
    <n v="2013"/>
    <x v="3"/>
    <x v="31"/>
    <x v="97"/>
    <x v="1"/>
    <s v="automatic"/>
    <s v="3n1cn7ap4dl894504"/>
    <s v="ca"/>
    <n v="45"/>
    <x v="604"/>
    <s v="blue"/>
    <s v="tan"/>
    <s v="lbs financial credit union"/>
    <n v="10400"/>
    <x v="251"/>
    <s v="Wed Dec 17 2014 12:30:00 GMT-0800 (PST)"/>
    <n v="2014"/>
    <x v="157"/>
    <x v="1"/>
    <s v="Low"/>
  </r>
  <r>
    <n v="2013"/>
    <x v="2"/>
    <x v="123"/>
    <x v="87"/>
    <x v="1"/>
    <s v="automatic"/>
    <s v="yv1940as5d1172076"/>
    <s v="ca"/>
    <n v="5"/>
    <x v="605"/>
    <s v="black"/>
    <s v="black"/>
    <s v="volvo na company cars/world omni"/>
    <n v="26700"/>
    <x v="53"/>
    <s v="Thu Jan 15 2015 04:30:00 GMT-0800 (PST)"/>
    <n v="2015"/>
    <x v="174"/>
    <x v="0"/>
    <s v="Medium"/>
  </r>
  <r>
    <n v="2013"/>
    <x v="3"/>
    <x v="124"/>
    <x v="105"/>
    <x v="6"/>
    <s v="automatic"/>
    <s v="1n6ad0ev2dn761759"/>
    <s v="ca"/>
    <n v="43"/>
    <x v="606"/>
    <s v="white"/>
    <s v="gray"/>
    <s v="exeter finance corp"/>
    <n v="22000"/>
    <x v="105"/>
    <s v="Thu Dec 18 2014 12:00:00 GMT-0800 (PST)"/>
    <n v="2014"/>
    <x v="175"/>
    <x v="1"/>
    <s v="Medium"/>
  </r>
  <r>
    <n v="2013"/>
    <x v="3"/>
    <x v="100"/>
    <x v="90"/>
    <x v="1"/>
    <s v="automatic"/>
    <s v="3n1ab7ap6dl708901"/>
    <s v="ca"/>
    <n v="36"/>
    <x v="607"/>
    <s v="black"/>
    <s v="black"/>
    <s v="nissan motor acceptance corporation"/>
    <n v="12850"/>
    <x v="239"/>
    <s v="Wed Dec 17 2014 12:30:00 GMT-0800 (PST)"/>
    <n v="2014"/>
    <x v="144"/>
    <x v="2"/>
    <s v="Low"/>
  </r>
  <r>
    <n v="2013"/>
    <x v="3"/>
    <x v="4"/>
    <x v="51"/>
    <x v="1"/>
    <s v="automatic"/>
    <s v="1n4al3ap9dn447420"/>
    <s v="ca"/>
    <n v="37"/>
    <x v="608"/>
    <s v="white"/>
    <s v="black"/>
    <s v="nissan-infiniti lt"/>
    <n v="15000"/>
    <x v="16"/>
    <s v="Wed Dec 17 2014 12:30:00 GMT-0800 (PST)"/>
    <n v="2014"/>
    <x v="78"/>
    <x v="2"/>
    <s v="Low"/>
  </r>
  <r>
    <n v="2013"/>
    <x v="25"/>
    <x v="125"/>
    <x v="89"/>
    <x v="2"/>
    <s v="automatic"/>
    <s v="wp0cb2a80ds132192"/>
    <s v="ca"/>
    <n v="42"/>
    <x v="609"/>
    <s v="black"/>
    <s v="black"/>
    <s v="porsche financial services"/>
    <n v="48000"/>
    <x v="252"/>
    <s v="Thu Jan 15 2015 04:30:00 GMT-0800 (PST)"/>
    <n v="2015"/>
    <x v="176"/>
    <x v="1"/>
    <s v="Medium"/>
  </r>
  <r>
    <n v="2013"/>
    <x v="3"/>
    <x v="100"/>
    <x v="90"/>
    <x v="1"/>
    <s v="automatic"/>
    <s v="3n1ab7ap5dl617389"/>
    <s v="ca"/>
    <n v="37"/>
    <x v="610"/>
    <s v="black"/>
    <s v="black"/>
    <s v="nissan motor acceptance corporation"/>
    <n v="11500"/>
    <x v="11"/>
    <s v="Tue Dec 16 2014 12:30:00 GMT-0800 (PST)"/>
    <n v="2014"/>
    <x v="144"/>
    <x v="2"/>
    <s v="Low"/>
  </r>
  <r>
    <n v="2013"/>
    <x v="21"/>
    <x v="107"/>
    <x v="86"/>
    <x v="1"/>
    <s v="automatic"/>
    <s v="3vwdp7aj4dm419482"/>
    <s v="ca"/>
    <n v="27"/>
    <x v="611"/>
    <s v="blue"/>
    <s v="black"/>
    <s v="avis corporation"/>
    <n v="11050"/>
    <x v="25"/>
    <s v="Thu Dec 18 2014 11:30:00 GMT-0800 (PST)"/>
    <n v="2014"/>
    <x v="153"/>
    <x v="2"/>
    <s v="Low"/>
  </r>
  <r>
    <n v="2013"/>
    <x v="22"/>
    <x v="126"/>
    <x v="94"/>
    <x v="1"/>
    <s v="automatic"/>
    <s v="4t1bd1fk2du077300"/>
    <s v="ca"/>
    <n v="31"/>
    <x v="612"/>
    <s v="black"/>
    <s v="gray"/>
    <s v="lexus of valencia"/>
    <n v="17950"/>
    <x v="29"/>
    <s v="Wed Dec 17 2014 12:15:00 GMT-0800 (PST)"/>
    <n v="2014"/>
    <x v="177"/>
    <x v="2"/>
    <s v="Medium"/>
  </r>
  <r>
    <n v="2013"/>
    <x v="3"/>
    <x v="100"/>
    <x v="105"/>
    <x v="1"/>
    <s v="automatic"/>
    <s v="3n1ab7ap6dl694420"/>
    <s v="ca"/>
    <n v="36"/>
    <x v="613"/>
    <s v="red"/>
    <s v="black"/>
    <s v="merchants automotive group"/>
    <n v="10550"/>
    <x v="253"/>
    <s v="Wed Dec 17 2014 12:30:00 GMT-0800 (PST)"/>
    <n v="2014"/>
    <x v="178"/>
    <x v="2"/>
    <s v="Low"/>
  </r>
  <r>
    <n v="2013"/>
    <x v="3"/>
    <x v="124"/>
    <x v="105"/>
    <x v="6"/>
    <m/>
    <s v="1n6ad0erxdn725028"/>
    <s v="ca"/>
    <n v="2"/>
    <x v="614"/>
    <s v="gray"/>
    <s v="gray"/>
    <s v="jpmorgan chase bank n.a."/>
    <n v="20300"/>
    <x v="226"/>
    <s v="Thu Dec 18 2014 12:00:00 GMT-0800 (PST)"/>
    <n v="2014"/>
    <x v="175"/>
    <x v="0"/>
    <s v="Medium"/>
  </r>
  <r>
    <n v="2013"/>
    <x v="22"/>
    <x v="95"/>
    <x v="60"/>
    <x v="1"/>
    <s v="automatic"/>
    <s v="5yfbu4eexdp143851"/>
    <s v="ca"/>
    <n v="28"/>
    <x v="615"/>
    <s v="blue"/>
    <s v="gray"/>
    <s v="onemain rem/coast to coast auto group"/>
    <n v="10500"/>
    <x v="51"/>
    <s v="Wed Dec 17 2014 12:30:00 GMT-0800 (PST)"/>
    <n v="2014"/>
    <x v="139"/>
    <x v="2"/>
    <s v="Low"/>
  </r>
  <r>
    <n v="2013"/>
    <x v="24"/>
    <x v="127"/>
    <x v="5"/>
    <x v="4"/>
    <s v="automatic"/>
    <s v="jtlze4fe2dj042841"/>
    <s v="ca"/>
    <n v="42"/>
    <x v="616"/>
    <s v="white"/>
    <s v="gray"/>
    <s v="bmw of riverside"/>
    <n v="13500"/>
    <x v="239"/>
    <s v="Tue Dec 16 2014 12:30:00 GMT-0800 (PST)"/>
    <n v="2014"/>
    <x v="179"/>
    <x v="1"/>
    <s v="Low"/>
  </r>
  <r>
    <n v="2013"/>
    <x v="22"/>
    <x v="109"/>
    <x v="5"/>
    <x v="0"/>
    <s v="automatic"/>
    <s v="jtebu4bf7dk163319"/>
    <s v="ca"/>
    <n v="42"/>
    <x v="617"/>
    <s v="orange"/>
    <s v="black"/>
    <s v="toyota financial services/avis budget group-open"/>
    <n v="26600"/>
    <x v="56"/>
    <s v="Wed Dec 17 2014 12:30:00 GMT-0800 (PST)"/>
    <n v="2014"/>
    <x v="156"/>
    <x v="1"/>
    <s v="Medium"/>
  </r>
  <r>
    <n v="2013"/>
    <x v="3"/>
    <x v="31"/>
    <x v="97"/>
    <x v="1"/>
    <m/>
    <s v="3n1cn7ap3dl888676"/>
    <s v="ca"/>
    <n v="43"/>
    <x v="618"/>
    <s v="silver"/>
    <s v="black"/>
    <s v="fleet link services inc"/>
    <n v="9800"/>
    <x v="51"/>
    <s v="Thu Dec 18 2014 11:30:00 GMT-0800 (PST)"/>
    <n v="2014"/>
    <x v="157"/>
    <x v="1"/>
    <s v="Low"/>
  </r>
  <r>
    <n v="2013"/>
    <x v="3"/>
    <x v="31"/>
    <x v="97"/>
    <x v="1"/>
    <m/>
    <s v="3n1cn7ap2dl861520"/>
    <s v="ca"/>
    <n v="2"/>
    <x v="619"/>
    <s v="black"/>
    <s v="black"/>
    <s v="merchants leasing"/>
    <n v="10350"/>
    <x v="254"/>
    <s v="Wed Jan 14 2015 04:30:00 GMT-0800 (PST)"/>
    <n v="2015"/>
    <x v="157"/>
    <x v="0"/>
    <s v="Low"/>
  </r>
  <r>
    <n v="2013"/>
    <x v="3"/>
    <x v="128"/>
    <x v="106"/>
    <x v="4"/>
    <s v="automatic"/>
    <s v="jn8az2kr2dt304554"/>
    <s v="ca"/>
    <n v="32"/>
    <x v="620"/>
    <s v="white"/>
    <s v="beige"/>
    <s v="california republic bank"/>
    <n v="11350"/>
    <x v="137"/>
    <s v="Wed Dec 17 2014 12:30:00 GMT-0800 (PST)"/>
    <n v="2014"/>
    <x v="180"/>
    <x v="2"/>
    <s v="Low"/>
  </r>
  <r>
    <n v="2013"/>
    <x v="22"/>
    <x v="106"/>
    <x v="5"/>
    <x v="16"/>
    <s v="automatic"/>
    <s v="5tftx4cnxdx028456"/>
    <s v="ca"/>
    <n v="45"/>
    <x v="621"/>
    <s v="â€”"/>
    <s v="gray"/>
    <s v="ge fleet services for itself/servicer"/>
    <n v="16950"/>
    <x v="73"/>
    <s v="Tue Dec 16 2014 12:00:00 GMT-0800 (PST)"/>
    <n v="2014"/>
    <x v="181"/>
    <x v="1"/>
    <s v="Medium"/>
  </r>
  <r>
    <n v="2013"/>
    <x v="24"/>
    <x v="112"/>
    <x v="5"/>
    <x v="3"/>
    <s v="automatic"/>
    <s v="jf1znaa1xd2706429"/>
    <s v="ca"/>
    <n v="42"/>
    <x v="622"/>
    <s v="gray"/>
    <s v="black"/>
    <s v="american road leasing inc"/>
    <n v="18350"/>
    <x v="120"/>
    <s v="Wed Dec 17 2014 12:15:00 GMT-0800 (PST)"/>
    <n v="2014"/>
    <x v="160"/>
    <x v="1"/>
    <s v="Medium"/>
  </r>
  <r>
    <n v="2013"/>
    <x v="21"/>
    <x v="129"/>
    <x v="107"/>
    <x v="4"/>
    <s v="automatic"/>
    <s v="3vwpp7aj2dm636073"/>
    <s v="ca"/>
    <n v="42"/>
    <x v="623"/>
    <s v="blue"/>
    <s v="gray"/>
    <s v="avis rac/san leandro"/>
    <n v="11050"/>
    <x v="11"/>
    <s v="Wed Dec 17 2014 12:30:00 GMT-0800 (PST)"/>
    <n v="2014"/>
    <x v="182"/>
    <x v="1"/>
    <s v="Low"/>
  </r>
  <r>
    <n v="2013"/>
    <x v="22"/>
    <x v="95"/>
    <x v="60"/>
    <x v="1"/>
    <s v="automatic"/>
    <s v="5yfbu4ee1dp178956"/>
    <s v="ca"/>
    <n v="42"/>
    <x v="624"/>
    <s v="black"/>
    <s v="gray"/>
    <s v="toyota financial services"/>
    <n v="12950"/>
    <x v="39"/>
    <s v="Wed Dec 17 2014 13:00:00 GMT-0800 (PST)"/>
    <n v="2014"/>
    <x v="139"/>
    <x v="1"/>
    <s v="Low"/>
  </r>
  <r>
    <n v="2013"/>
    <x v="3"/>
    <x v="100"/>
    <x v="108"/>
    <x v="1"/>
    <s v="automatic"/>
    <s v="3n1ab7ap3dl639052"/>
    <s v="ca"/>
    <n v="43"/>
    <x v="625"/>
    <s v="gray"/>
    <s v="black"/>
    <s v="bank of the west"/>
    <n v="11000"/>
    <x v="162"/>
    <s v="Thu Dec 18 2014 12:00:00 GMT-0800 (PST)"/>
    <n v="2014"/>
    <x v="183"/>
    <x v="1"/>
    <s v="Low"/>
  </r>
  <r>
    <n v="2013"/>
    <x v="3"/>
    <x v="101"/>
    <x v="105"/>
    <x v="0"/>
    <s v="automatic"/>
    <s v="jn8as5mt1dw510445"/>
    <s v="ca"/>
    <n v="44"/>
    <x v="626"/>
    <s v="gray"/>
    <s v="black"/>
    <s v="nissan motor acceptance corporation"/>
    <n v="16000"/>
    <x v="255"/>
    <s v="Tue Dec 16 2014 12:30:00 GMT-0800 (PST)"/>
    <n v="2014"/>
    <x v="184"/>
    <x v="1"/>
    <s v="Low"/>
  </r>
  <r>
    <n v="2013"/>
    <x v="21"/>
    <x v="110"/>
    <x v="98"/>
    <x v="5"/>
    <s v="automatic"/>
    <s v="3vwfp7at6dm653746"/>
    <s v="ca"/>
    <n v="29"/>
    <x v="627"/>
    <s v="white"/>
    <s v="black"/>
    <s v="avis corporation"/>
    <n v="11350"/>
    <x v="148"/>
    <s v="Tue Dec 16 2014 12:30:00 GMT-0800 (PST)"/>
    <n v="2014"/>
    <x v="158"/>
    <x v="2"/>
    <s v="Low"/>
  </r>
  <r>
    <n v="2013"/>
    <x v="22"/>
    <x v="130"/>
    <x v="38"/>
    <x v="0"/>
    <s v="automatic"/>
    <s v="jtebu5jr2d5116361"/>
    <s v="ca"/>
    <n v="49"/>
    <x v="628"/>
    <s v="silver"/>
    <s v="black"/>
    <s v="avis rac/san leandro"/>
    <n v="30500"/>
    <x v="256"/>
    <s v="Wed Dec 17 2014 12:30:00 GMT-0800 (PST)"/>
    <n v="2014"/>
    <x v="185"/>
    <x v="1"/>
    <s v="Medium"/>
  </r>
  <r>
    <n v="2013"/>
    <x v="22"/>
    <x v="131"/>
    <x v="109"/>
    <x v="0"/>
    <s v="automatic"/>
    <s v="5tdzy5g1xds044408"/>
    <s v="ca"/>
    <n v="41"/>
    <x v="629"/>
    <s v="black"/>
    <s v="gray"/>
    <s v="toyota financial services"/>
    <n v="30200"/>
    <x v="23"/>
    <s v="Tue Dec 23 2014 00:00:00 GMT-0800 (PST)"/>
    <n v="2014"/>
    <x v="186"/>
    <x v="1"/>
    <s v="Medium"/>
  </r>
  <r>
    <n v="2013"/>
    <x v="3"/>
    <x v="31"/>
    <x v="97"/>
    <x v="1"/>
    <s v="automatic"/>
    <s v="3n1cn7ap9dl882803"/>
    <s v="ca"/>
    <n v="35"/>
    <x v="630"/>
    <s v="red"/>
    <s v="black"/>
    <s v="fleet link services inc"/>
    <n v="10000"/>
    <x v="36"/>
    <s v="Thu Jan 08 2015 11:30:00 GMT-0800 (PST)"/>
    <n v="2015"/>
    <x v="157"/>
    <x v="2"/>
    <s v="Low"/>
  </r>
  <r>
    <n v="2013"/>
    <x v="3"/>
    <x v="118"/>
    <x v="110"/>
    <x v="1"/>
    <s v="automatic"/>
    <s v="1n4aa5ap0dc832068"/>
    <s v="ca"/>
    <m/>
    <x v="631"/>
    <s v="gray"/>
    <s v="black"/>
    <s v="hertz/tra"/>
    <n v="15150"/>
    <x v="37"/>
    <s v="Tue Dec 16 2014 13:00:00 GMT-0800 (PST)"/>
    <n v="2014"/>
    <x v="187"/>
    <x v="0"/>
    <s v="Low"/>
  </r>
  <r>
    <n v="2013"/>
    <x v="2"/>
    <x v="2"/>
    <x v="2"/>
    <x v="1"/>
    <s v="automatic"/>
    <s v="yv1612fs2d2200121"/>
    <s v="ca"/>
    <n v="42"/>
    <x v="632"/>
    <s v="white"/>
    <s v="beige"/>
    <s v="volvo car financial service/world omni"/>
    <n v="15550"/>
    <x v="185"/>
    <s v="Thu Dec 18 2014 12:30:00 GMT-0800 (PST)"/>
    <n v="2014"/>
    <x v="2"/>
    <x v="1"/>
    <s v="Medium"/>
  </r>
  <r>
    <n v="2013"/>
    <x v="22"/>
    <x v="122"/>
    <x v="104"/>
    <x v="5"/>
    <s v="automatic"/>
    <s v="jtdkn3du0d5560845"/>
    <s v="ca"/>
    <n v="35"/>
    <x v="633"/>
    <s v="silver"/>
    <s v="gray"/>
    <s v="avis rac/san leandro"/>
    <n v="14550"/>
    <x v="111"/>
    <s v="Wed Dec 17 2014 12:30:00 GMT-0800 (PST)"/>
    <n v="2014"/>
    <x v="173"/>
    <x v="2"/>
    <s v="Low"/>
  </r>
  <r>
    <n v="2013"/>
    <x v="23"/>
    <x v="132"/>
    <x v="111"/>
    <x v="1"/>
    <s v="automatic"/>
    <s v="4s3bmbc65d3033539"/>
    <s v="ca"/>
    <n v="1"/>
    <x v="634"/>
    <s v="red"/>
    <s v="black"/>
    <s v="enterprise vehicle exchange / tra / rental / tulsa"/>
    <n v="15900"/>
    <x v="6"/>
    <s v="Wed Dec 31 2014 15:05:00 GMT-0800 (PST)"/>
    <n v="2014"/>
    <x v="188"/>
    <x v="0"/>
    <s v="Low"/>
  </r>
  <r>
    <n v="2013"/>
    <x v="3"/>
    <x v="104"/>
    <x v="89"/>
    <x v="5"/>
    <s v="automatic"/>
    <s v="1n4az0cpxdc400130"/>
    <s v="ca"/>
    <n v="36"/>
    <x v="635"/>
    <s v="black"/>
    <s v="black"/>
    <s v="nissan north america inc."/>
    <n v="15150"/>
    <x v="173"/>
    <s v="Tue Dec 16 2014 12:30:00 GMT-0800 (PST)"/>
    <n v="2014"/>
    <x v="189"/>
    <x v="2"/>
    <s v="Low"/>
  </r>
  <r>
    <n v="2013"/>
    <x v="3"/>
    <x v="31"/>
    <x v="97"/>
    <x v="1"/>
    <m/>
    <s v="3n1cn7ap8dl859609"/>
    <s v="ca"/>
    <n v="19"/>
    <x v="636"/>
    <s v="white"/>
    <s v="black"/>
    <s v="jpmorgan chase bank n.a."/>
    <n v="9850"/>
    <x v="167"/>
    <s v="Thu Dec 18 2014 12:00:00 GMT-0800 (PST)"/>
    <n v="2014"/>
    <x v="157"/>
    <x v="0"/>
    <s v="Low"/>
  </r>
  <r>
    <n v="2013"/>
    <x v="3"/>
    <x v="115"/>
    <x v="93"/>
    <x v="11"/>
    <s v="automatic"/>
    <s v="jn8ae2kp6d9060236"/>
    <s v="ca"/>
    <m/>
    <x v="637"/>
    <s v="black"/>
    <s v="gray"/>
    <s v="alliance motor cars"/>
    <n v="23000"/>
    <x v="257"/>
    <s v="Thu Dec 18 2014 12:00:00 GMT-0800 (PST)"/>
    <n v="2014"/>
    <x v="164"/>
    <x v="0"/>
    <s v="Medium"/>
  </r>
  <r>
    <n v="2013"/>
    <x v="21"/>
    <x v="94"/>
    <x v="86"/>
    <x v="1"/>
    <s v="automatic"/>
    <s v="1vwbp7a38dc067453"/>
    <s v="ca"/>
    <m/>
    <x v="638"/>
    <s v="gray"/>
    <s v="â€”"/>
    <s v="volkswagen of stockton"/>
    <n v="12950"/>
    <x v="110"/>
    <s v="Wed Dec 17 2014 12:30:00 GMT-0800 (PST)"/>
    <n v="2014"/>
    <x v="138"/>
    <x v="0"/>
    <s v="Low"/>
  </r>
  <r>
    <n v="2013"/>
    <x v="3"/>
    <x v="133"/>
    <x v="105"/>
    <x v="0"/>
    <s v="automatic"/>
    <s v="5n1aa0nc3dn604196"/>
    <s v="ca"/>
    <n v="31"/>
    <x v="639"/>
    <s v="black"/>
    <s v="black"/>
    <s v="the hertz corporation"/>
    <n v="18100"/>
    <x v="24"/>
    <s v="Thu Dec 18 2014 11:30:00 GMT-0800 (PST)"/>
    <n v="2014"/>
    <x v="190"/>
    <x v="2"/>
    <s v="Medium"/>
  </r>
  <r>
    <n v="2013"/>
    <x v="3"/>
    <x v="101"/>
    <x v="105"/>
    <x v="0"/>
    <m/>
    <s v="jn8as5mt1dw014710"/>
    <s v="ca"/>
    <n v="43"/>
    <x v="640"/>
    <s v="silver"/>
    <s v="black"/>
    <s v="nissan north america inc."/>
    <n v="15050"/>
    <x v="135"/>
    <s v="Tue Dec 16 2014 12:30:00 GMT-0800 (PST)"/>
    <n v="2014"/>
    <x v="184"/>
    <x v="1"/>
    <s v="Low"/>
  </r>
  <r>
    <n v="2013"/>
    <x v="22"/>
    <x v="134"/>
    <x v="60"/>
    <x v="4"/>
    <s v="automatic"/>
    <s v="4t3za3bb6du071712"/>
    <s v="ca"/>
    <n v="39"/>
    <x v="641"/>
    <s v="white"/>
    <s v="beige"/>
    <s v="avis rac/san leandro"/>
    <n v="16600"/>
    <x v="258"/>
    <s v="Wed Dec 17 2014 12:30:00 GMT-0800 (PST)"/>
    <n v="2014"/>
    <x v="191"/>
    <x v="2"/>
    <s v="Low"/>
  </r>
  <r>
    <n v="2013"/>
    <x v="21"/>
    <x v="107"/>
    <x v="86"/>
    <x v="1"/>
    <s v="automatic"/>
    <s v="3vwdp7aj1dm402803"/>
    <s v="ca"/>
    <n v="4"/>
    <x v="642"/>
    <s v="black"/>
    <s v="black"/>
    <s v="avis corporation"/>
    <n v="10950"/>
    <x v="41"/>
    <s v="Tue Dec 16 2014 12:30:00 GMT-0800 (PST)"/>
    <n v="2014"/>
    <x v="153"/>
    <x v="0"/>
    <s v="Low"/>
  </r>
  <r>
    <n v="2013"/>
    <x v="3"/>
    <x v="101"/>
    <x v="89"/>
    <x v="0"/>
    <m/>
    <s v="jn8as5mt2dw504959"/>
    <s v="ca"/>
    <n v="43"/>
    <x v="643"/>
    <s v="blue"/>
    <s v="gray"/>
    <s v="nissan motor acceptance corporation"/>
    <n v="14550"/>
    <x v="188"/>
    <s v="Tue Dec 16 2014 12:30:00 GMT-0800 (PST)"/>
    <n v="2014"/>
    <x v="145"/>
    <x v="1"/>
    <s v="Low"/>
  </r>
  <r>
    <n v="2013"/>
    <x v="3"/>
    <x v="100"/>
    <x v="105"/>
    <x v="1"/>
    <s v="automatic"/>
    <s v="3n1ab7ap5dl614072"/>
    <s v="ca"/>
    <n v="46"/>
    <x v="644"/>
    <s v="black"/>
    <s v="black"/>
    <s v="nissan-infiniti lt"/>
    <n v="11850"/>
    <x v="259"/>
    <s v="Tue Dec 16 2014 12:30:00 GMT-0800 (PST)"/>
    <n v="2014"/>
    <x v="178"/>
    <x v="1"/>
    <s v="Low"/>
  </r>
  <r>
    <n v="2013"/>
    <x v="3"/>
    <x v="4"/>
    <x v="51"/>
    <x v="1"/>
    <m/>
    <s v="1n4al3ap7dn483400"/>
    <s v="ca"/>
    <n v="42"/>
    <x v="645"/>
    <s v="brown"/>
    <s v="beige"/>
    <s v="nissan-infiniti lt"/>
    <n v="14500"/>
    <x v="239"/>
    <s v="Tue Dec 16 2014 12:30:00 GMT-0800 (PST)"/>
    <n v="2014"/>
    <x v="78"/>
    <x v="1"/>
    <s v="Low"/>
  </r>
  <r>
    <n v="2013"/>
    <x v="21"/>
    <x v="107"/>
    <x v="86"/>
    <x v="1"/>
    <m/>
    <s v="3vwdp7aj1dm409220"/>
    <s v="ca"/>
    <n v="1"/>
    <x v="646"/>
    <s v="blue"/>
    <s v="black"/>
    <s v="enterprise vehicle exchange / tra / rental / tulsa"/>
    <n v="12250"/>
    <x v="18"/>
    <s v="Tue Dec 23 2014 13:00:00 GMT-0800 (PST)"/>
    <n v="2014"/>
    <x v="153"/>
    <x v="0"/>
    <s v="Low"/>
  </r>
  <r>
    <n v="2013"/>
    <x v="3"/>
    <x v="128"/>
    <x v="106"/>
    <x v="4"/>
    <s v="automatic"/>
    <s v="jn8az2kr3dt302814"/>
    <s v="ca"/>
    <n v="37"/>
    <x v="647"/>
    <s v="blue"/>
    <s v="black"/>
    <s v="wells fargo dealer services"/>
    <n v="11850"/>
    <x v="148"/>
    <s v="Thu Dec 18 2014 12:00:00 GMT-0800 (PST)"/>
    <n v="2014"/>
    <x v="180"/>
    <x v="2"/>
    <s v="Low"/>
  </r>
  <r>
    <n v="2013"/>
    <x v="22"/>
    <x v="106"/>
    <x v="112"/>
    <x v="14"/>
    <s v="automatic"/>
    <s v="3tmju4gn1dm152583"/>
    <s v="ca"/>
    <n v="5"/>
    <x v="648"/>
    <s v="silver"/>
    <s v="gray"/>
    <s v="honda of serramonte"/>
    <n v="24400"/>
    <x v="260"/>
    <s v="Wed Dec 17 2014 12:30:00 GMT-0800 (PST)"/>
    <n v="2014"/>
    <x v="192"/>
    <x v="0"/>
    <s v="Medium"/>
  </r>
  <r>
    <n v="2013"/>
    <x v="3"/>
    <x v="135"/>
    <x v="105"/>
    <x v="0"/>
    <m/>
    <s v="jn8az1mu1dw214242"/>
    <s v="ca"/>
    <n v="49"/>
    <x v="649"/>
    <s v="gray"/>
    <s v="black"/>
    <s v="nissan north america inc."/>
    <n v="20400"/>
    <x v="0"/>
    <s v="Tue Dec 16 2014 12:30:00 GMT-0800 (PST)"/>
    <n v="2014"/>
    <x v="193"/>
    <x v="1"/>
    <s v="Medium"/>
  </r>
  <r>
    <n v="2013"/>
    <x v="25"/>
    <x v="119"/>
    <x v="113"/>
    <x v="0"/>
    <s v="automatic"/>
    <s v="wp1ae2a21dla14185"/>
    <s v="ca"/>
    <n v="38"/>
    <x v="650"/>
    <s v="black"/>
    <s v="tan"/>
    <s v="l m auto wholesale"/>
    <n v="58000"/>
    <x v="261"/>
    <s v="Thu Dec 18 2014 12:30:00 GMT-0800 (PST)"/>
    <n v="2014"/>
    <x v="194"/>
    <x v="2"/>
    <s v="High"/>
  </r>
  <r>
    <n v="2013"/>
    <x v="21"/>
    <x v="110"/>
    <x v="98"/>
    <x v="5"/>
    <s v="automatic"/>
    <s v="3vwfp7atxdm663678"/>
    <s v="ca"/>
    <n v="41"/>
    <x v="651"/>
    <s v="black"/>
    <s v="gray"/>
    <s v="avis rac/san leandro"/>
    <n v="11800"/>
    <x v="41"/>
    <s v="Wed Dec 31 2014 12:30:00 GMT-0800 (PST)"/>
    <n v="2014"/>
    <x v="158"/>
    <x v="1"/>
    <s v="Low"/>
  </r>
  <r>
    <n v="2013"/>
    <x v="3"/>
    <x v="100"/>
    <x v="105"/>
    <x v="1"/>
    <s v="automatic"/>
    <s v="3n1ab7ap2dl726635"/>
    <s v="ca"/>
    <n v="28"/>
    <x v="652"/>
    <s v="silver"/>
    <s v="black"/>
    <s v="avis rac/san leandro"/>
    <n v="10400"/>
    <x v="138"/>
    <s v="Tue Dec 23 2014 12:30:00 GMT-0800 (PST)"/>
    <n v="2014"/>
    <x v="178"/>
    <x v="2"/>
    <s v="Low"/>
  </r>
  <r>
    <n v="2013"/>
    <x v="3"/>
    <x v="136"/>
    <x v="105"/>
    <x v="0"/>
    <s v="automatic"/>
    <s v="5n1ar2mm9dc631171"/>
    <s v="ca"/>
    <n v="27"/>
    <x v="653"/>
    <s v="black"/>
    <s v="black"/>
    <s v="avis corporation"/>
    <n v="19400"/>
    <x v="262"/>
    <s v="Thu Dec 18 2014 11:30:00 GMT-0800 (PST)"/>
    <n v="2014"/>
    <x v="195"/>
    <x v="2"/>
    <s v="Medium"/>
  </r>
  <r>
    <n v="2013"/>
    <x v="3"/>
    <x v="100"/>
    <x v="105"/>
    <x v="1"/>
    <s v="automatic"/>
    <s v="3n1ab7ap9dl684898"/>
    <s v="ca"/>
    <n v="29"/>
    <x v="654"/>
    <s v="white"/>
    <s v="black"/>
    <s v="merchants leasing"/>
    <n v="10400"/>
    <x v="51"/>
    <s v="Wed Dec 17 2014 12:30:00 GMT-0800 (PST)"/>
    <n v="2014"/>
    <x v="178"/>
    <x v="2"/>
    <s v="Low"/>
  </r>
  <r>
    <n v="2013"/>
    <x v="22"/>
    <x v="95"/>
    <x v="60"/>
    <x v="1"/>
    <s v="automatic"/>
    <s v="5yfbu4ee8dp080393"/>
    <s v="ca"/>
    <n v="38"/>
    <x v="655"/>
    <s v="gray"/>
    <s v="gray"/>
    <s v="remarketing by ge/flagship credit acceptance"/>
    <n v="11500"/>
    <x v="80"/>
    <s v="Tue Dec 23 2014 12:30:00 GMT-0800 (PST)"/>
    <n v="2014"/>
    <x v="139"/>
    <x v="2"/>
    <s v="Low"/>
  </r>
  <r>
    <n v="2013"/>
    <x v="3"/>
    <x v="101"/>
    <x v="105"/>
    <x v="0"/>
    <s v="automatic"/>
    <s v="jn8as5mt8dw001968"/>
    <s v="ca"/>
    <n v="39"/>
    <x v="656"/>
    <s v="red"/>
    <s v="black"/>
    <s v="wells fargo dealer services"/>
    <n v="15800"/>
    <x v="152"/>
    <s v="Thu Dec 18 2014 12:00:00 GMT-0800 (PST)"/>
    <n v="2014"/>
    <x v="184"/>
    <x v="2"/>
    <s v="Low"/>
  </r>
  <r>
    <n v="2013"/>
    <x v="3"/>
    <x v="100"/>
    <x v="105"/>
    <x v="1"/>
    <s v="automatic"/>
    <s v="3n1ab7ap7dl659496"/>
    <s v="ca"/>
    <n v="38"/>
    <x v="657"/>
    <s v="red"/>
    <s v="black"/>
    <s v="merchants automotive group"/>
    <n v="10450"/>
    <x v="4"/>
    <s v="Wed Dec 17 2014 12:30:00 GMT-0800 (PST)"/>
    <n v="2014"/>
    <x v="178"/>
    <x v="2"/>
    <s v="Low"/>
  </r>
  <r>
    <n v="2013"/>
    <x v="3"/>
    <x v="100"/>
    <x v="89"/>
    <x v="1"/>
    <m/>
    <s v="3n1ab7ap2dl757450"/>
    <s v="ca"/>
    <n v="32"/>
    <x v="658"/>
    <s v="gray"/>
    <s v="black"/>
    <s v="nissan motor acceptance corporation"/>
    <n v="12600"/>
    <x v="25"/>
    <s v="Tue Dec 23 2014 12:30:00 GMT-0800 (PST)"/>
    <n v="2014"/>
    <x v="170"/>
    <x v="2"/>
    <s v="Low"/>
  </r>
  <r>
    <n v="2013"/>
    <x v="22"/>
    <x v="99"/>
    <x v="72"/>
    <x v="5"/>
    <s v="automatic"/>
    <s v="jtdktud33dd558788"/>
    <s v="ca"/>
    <n v="38"/>
    <x v="659"/>
    <s v="gray"/>
    <s v="black"/>
    <s v="toyota financial services/avis budget group-open"/>
    <n v="9575"/>
    <x v="263"/>
    <s v="Wed Dec 31 2014 12:30:00 GMT-0800 (PST)"/>
    <n v="2014"/>
    <x v="143"/>
    <x v="2"/>
    <s v="Low"/>
  </r>
  <r>
    <n v="2013"/>
    <x v="3"/>
    <x v="101"/>
    <x v="105"/>
    <x v="0"/>
    <s v="automatic"/>
    <s v="jn8as5mt9dw016463"/>
    <s v="ca"/>
    <n v="5"/>
    <x v="660"/>
    <s v="white"/>
    <s v="black"/>
    <s v="nissan motor acceptance corporation"/>
    <n v="16450"/>
    <x v="130"/>
    <s v="Tue Dec 16 2014 12:30:00 GMT-0800 (PST)"/>
    <n v="2014"/>
    <x v="184"/>
    <x v="0"/>
    <s v="Medium"/>
  </r>
  <r>
    <n v="2013"/>
    <x v="3"/>
    <x v="100"/>
    <x v="105"/>
    <x v="1"/>
    <s v="automatic"/>
    <s v="3n1ab7ap9dl771314"/>
    <s v="ca"/>
    <n v="42"/>
    <x v="661"/>
    <s v="gray"/>
    <s v="black"/>
    <s v="nissan motor acceptance corporation"/>
    <n v="12200"/>
    <x v="11"/>
    <s v="Tue Dec 16 2014 12:30:00 GMT-0800 (PST)"/>
    <n v="2014"/>
    <x v="178"/>
    <x v="1"/>
    <s v="Low"/>
  </r>
  <r>
    <n v="2013"/>
    <x v="25"/>
    <x v="137"/>
    <x v="5"/>
    <x v="1"/>
    <s v="automatic"/>
    <s v="wp0aa2a73dl016450"/>
    <s v="ca"/>
    <n v="39"/>
    <x v="662"/>
    <s v="black"/>
    <s v="black"/>
    <s v="the hertz corporation"/>
    <n v="61000"/>
    <x v="264"/>
    <s v="Thu Dec 18 2014 12:30:00 GMT-0800 (PST)"/>
    <n v="2014"/>
    <x v="196"/>
    <x v="2"/>
    <s v="High"/>
  </r>
  <r>
    <n v="2013"/>
    <x v="21"/>
    <x v="110"/>
    <x v="98"/>
    <x v="5"/>
    <s v="automatic"/>
    <s v="3vwfp7at7dm664450"/>
    <s v="ca"/>
    <n v="44"/>
    <x v="663"/>
    <s v="gray"/>
    <s v="black"/>
    <s v="avis rac/san leandro"/>
    <n v="11500"/>
    <x v="265"/>
    <s v="Wed Jan 07 2015 12:30:00 GMT-0800 (PST)"/>
    <n v="2015"/>
    <x v="158"/>
    <x v="1"/>
    <s v="Medium"/>
  </r>
  <r>
    <n v="2013"/>
    <x v="3"/>
    <x v="4"/>
    <x v="51"/>
    <x v="1"/>
    <s v="automatic"/>
    <s v="1n4al3ap2dn433729"/>
    <s v="ca"/>
    <n v="37"/>
    <x v="664"/>
    <s v="â€”"/>
    <s v="black"/>
    <s v="nissan-infiniti lt"/>
    <n v="14200"/>
    <x v="188"/>
    <s v="Tue Dec 16 2014 12:30:00 GMT-0800 (PST)"/>
    <n v="2014"/>
    <x v="78"/>
    <x v="2"/>
    <s v="Low"/>
  </r>
  <r>
    <n v="2013"/>
    <x v="21"/>
    <x v="94"/>
    <x v="86"/>
    <x v="1"/>
    <s v="automatic"/>
    <s v="1vwbp7a33dc064976"/>
    <s v="ca"/>
    <n v="34"/>
    <x v="665"/>
    <s v="silver"/>
    <s v="black"/>
    <s v="avis corporation"/>
    <n v="13000"/>
    <x v="108"/>
    <s v="Tue Dec 16 2014 12:30:00 GMT-0800 (PST)"/>
    <n v="2014"/>
    <x v="138"/>
    <x v="2"/>
    <s v="Low"/>
  </r>
  <r>
    <n v="2013"/>
    <x v="3"/>
    <x v="4"/>
    <x v="51"/>
    <x v="1"/>
    <m/>
    <s v="1n4al3ap4dc296398"/>
    <s v="ca"/>
    <n v="44"/>
    <x v="666"/>
    <s v="black"/>
    <s v="black"/>
    <s v="nissan north america inc."/>
    <n v="14800"/>
    <x v="178"/>
    <s v="Tue Dec 16 2014 12:30:00 GMT-0800 (PST)"/>
    <n v="2014"/>
    <x v="78"/>
    <x v="1"/>
    <s v="Low"/>
  </r>
  <r>
    <n v="2013"/>
    <x v="22"/>
    <x v="95"/>
    <x v="114"/>
    <x v="1"/>
    <s v="automatic"/>
    <s v="5yfbu4ee8dp220569"/>
    <s v="ca"/>
    <n v="35"/>
    <x v="667"/>
    <s v="gray"/>
    <s v="gray"/>
    <s v="toyota financial services"/>
    <n v="11850"/>
    <x v="162"/>
    <s v="Tue Dec 23 2014 00:00:00 GMT-0800 (PST)"/>
    <n v="2014"/>
    <x v="197"/>
    <x v="2"/>
    <s v="Low"/>
  </r>
  <r>
    <n v="2013"/>
    <x v="3"/>
    <x v="124"/>
    <x v="89"/>
    <x v="17"/>
    <s v="automatic"/>
    <s v="1n6bd0ct2dn738942"/>
    <s v="ca"/>
    <n v="19"/>
    <x v="668"/>
    <s v="white"/>
    <s v="gray"/>
    <s v="santander consumer"/>
    <n v="13750"/>
    <x v="54"/>
    <s v="Thu Jan 15 2015 04:00:00 GMT-0800 (PST)"/>
    <n v="2015"/>
    <x v="198"/>
    <x v="0"/>
    <s v="Low"/>
  </r>
  <r>
    <n v="2013"/>
    <x v="23"/>
    <x v="138"/>
    <x v="115"/>
    <x v="0"/>
    <s v="automatic"/>
    <s v="jf2shaac3dh434616"/>
    <s v="ca"/>
    <n v="35"/>
    <x v="669"/>
    <s v="â€”"/>
    <s v="gray"/>
    <s v="wheels exchange llc"/>
    <n v="15200"/>
    <x v="180"/>
    <s v="Wed Dec 17 2014 12:30:00 GMT-0800 (PST)"/>
    <n v="2014"/>
    <x v="199"/>
    <x v="2"/>
    <s v="Low"/>
  </r>
  <r>
    <n v="2013"/>
    <x v="21"/>
    <x v="110"/>
    <x v="98"/>
    <x v="5"/>
    <s v="automatic"/>
    <s v="3vwfp7atxdm663759"/>
    <s v="ca"/>
    <n v="37"/>
    <x v="670"/>
    <s v="gray"/>
    <s v="black"/>
    <s v="avis corporation"/>
    <n v="11300"/>
    <x v="41"/>
    <s v="Tue Dec 16 2014 12:30:00 GMT-0800 (PST)"/>
    <n v="2014"/>
    <x v="158"/>
    <x v="2"/>
    <s v="Low"/>
  </r>
  <r>
    <n v="2013"/>
    <x v="3"/>
    <x v="100"/>
    <x v="89"/>
    <x v="1"/>
    <s v="automatic"/>
    <s v="3n1ab7ap2dl563260"/>
    <s v="ca"/>
    <n v="27"/>
    <x v="671"/>
    <s v="white"/>
    <s v="beige"/>
    <s v="santander consumer"/>
    <n v="11650"/>
    <x v="51"/>
    <s v="Fri Dec 26 2014 15:00:00 GMT-0800 (PST)"/>
    <n v="2014"/>
    <x v="170"/>
    <x v="2"/>
    <s v="Low"/>
  </r>
  <r>
    <n v="2013"/>
    <x v="22"/>
    <x v="134"/>
    <x v="60"/>
    <x v="4"/>
    <s v="automatic"/>
    <s v="4t3za3bb6du074111"/>
    <s v="ca"/>
    <n v="36"/>
    <x v="672"/>
    <s v="white"/>
    <s v="beige"/>
    <s v="avis rac/san leandro"/>
    <n v="16850"/>
    <x v="143"/>
    <s v="Wed Dec 17 2014 12:30:00 GMT-0800 (PST)"/>
    <n v="2014"/>
    <x v="191"/>
    <x v="2"/>
    <s v="Low"/>
  </r>
  <r>
    <n v="2013"/>
    <x v="3"/>
    <x v="100"/>
    <x v="89"/>
    <x v="1"/>
    <m/>
    <s v="3n1ab7ap0dl664331"/>
    <s v="ca"/>
    <n v="33"/>
    <x v="673"/>
    <s v="purple"/>
    <s v="black"/>
    <s v="nissan motor acceptance corporation"/>
    <n v="10500"/>
    <x v="74"/>
    <s v="Tue Dec 16 2014 12:30:00 GMT-0800 (PST)"/>
    <n v="2014"/>
    <x v="170"/>
    <x v="2"/>
    <s v="Low"/>
  </r>
  <r>
    <n v="2013"/>
    <x v="21"/>
    <x v="103"/>
    <x v="92"/>
    <x v="1"/>
    <s v="automatic"/>
    <s v="wvwbp7an9de566450"/>
    <s v="ca"/>
    <n v="1"/>
    <x v="674"/>
    <s v="black"/>
    <s v="black"/>
    <s v="vw credit"/>
    <n v="16350"/>
    <x v="192"/>
    <s v="Tue Dec 16 2014 12:00:00 GMT-0800 (PST)"/>
    <n v="2014"/>
    <x v="148"/>
    <x v="0"/>
    <s v="Low"/>
  </r>
  <r>
    <n v="2013"/>
    <x v="22"/>
    <x v="122"/>
    <x v="104"/>
    <x v="5"/>
    <s v="automatic"/>
    <s v="jtdkn3du6d1643123"/>
    <s v="ca"/>
    <n v="43"/>
    <x v="675"/>
    <s v="white"/>
    <s v="black"/>
    <s v="i auto sales inc"/>
    <n v="13550"/>
    <x v="236"/>
    <s v="Thu Dec 18 2014 12:00:00 GMT-0800 (PST)"/>
    <n v="2014"/>
    <x v="173"/>
    <x v="1"/>
    <s v="Low"/>
  </r>
  <r>
    <n v="2013"/>
    <x v="22"/>
    <x v="134"/>
    <x v="60"/>
    <x v="4"/>
    <s v="automatic"/>
    <s v="4t3za3bb5du071636"/>
    <s v="ca"/>
    <n v="4"/>
    <x v="676"/>
    <s v="white"/>
    <s v="beige"/>
    <s v="avis corporation"/>
    <n v="17250"/>
    <x v="8"/>
    <s v="Tue Dec 23 2014 12:30:00 GMT-0800 (PST)"/>
    <n v="2014"/>
    <x v="191"/>
    <x v="0"/>
    <s v="Low"/>
  </r>
  <r>
    <n v="2013"/>
    <x v="22"/>
    <x v="139"/>
    <x v="38"/>
    <x v="0"/>
    <s v="automatic"/>
    <s v="5tdyk3eh7ds099402"/>
    <s v="ca"/>
    <n v="3"/>
    <x v="677"/>
    <s v="white"/>
    <s v="black"/>
    <s v="toyota financial services"/>
    <n v="28300"/>
    <x v="59"/>
    <s v="Tue Dec 30 2014 00:00:00 GMT-0800 (PST)"/>
    <n v="2014"/>
    <x v="200"/>
    <x v="0"/>
    <s v="Medium"/>
  </r>
  <r>
    <n v="2013"/>
    <x v="3"/>
    <x v="4"/>
    <x v="96"/>
    <x v="1"/>
    <s v="automatic"/>
    <s v="1n4bl3ap5dn530167"/>
    <s v="ca"/>
    <n v="42"/>
    <x v="678"/>
    <s v="white"/>
    <s v="gray"/>
    <s v="nissan-infiniti lt"/>
    <n v="16850"/>
    <x v="211"/>
    <s v="Tue Dec 16 2014 12:30:00 GMT-0800 (PST)"/>
    <n v="2014"/>
    <x v="155"/>
    <x v="1"/>
    <s v="Low"/>
  </r>
  <r>
    <n v="2013"/>
    <x v="3"/>
    <x v="31"/>
    <x v="97"/>
    <x v="1"/>
    <s v="automatic"/>
    <s v="3n1cn7ap7dl890253"/>
    <s v="ca"/>
    <n v="42"/>
    <x v="679"/>
    <s v="gray"/>
    <s v="black"/>
    <s v="santander consumer"/>
    <n v="10400"/>
    <x v="49"/>
    <s v="Thu Dec 18 2014 12:00:00 GMT-0800 (PST)"/>
    <n v="2014"/>
    <x v="157"/>
    <x v="1"/>
    <s v="Low"/>
  </r>
  <r>
    <n v="2013"/>
    <x v="22"/>
    <x v="111"/>
    <x v="38"/>
    <x v="1"/>
    <s v="automatic"/>
    <s v="4t1bk1eb6du056909"/>
    <s v="ca"/>
    <n v="1"/>
    <x v="680"/>
    <s v="silver"/>
    <s v="black"/>
    <s v="enterprise vehicle exchange / tra / rental / tulsa"/>
    <n v="23200"/>
    <x v="188"/>
    <s v="Wed Dec 17 2014 15:05:00 GMT-0800 (PST)"/>
    <n v="2014"/>
    <x v="201"/>
    <x v="0"/>
    <s v="Low"/>
  </r>
  <r>
    <n v="2013"/>
    <x v="3"/>
    <x v="4"/>
    <x v="96"/>
    <x v="1"/>
    <s v="automatic"/>
    <s v="1n4bl3ap2dn471000"/>
    <s v="ca"/>
    <n v="44"/>
    <x v="681"/>
    <s v="â€”"/>
    <s v="black"/>
    <s v="nissan-infiniti lt"/>
    <n v="16650"/>
    <x v="225"/>
    <s v="Tue Dec 16 2014 12:30:00 GMT-0800 (PST)"/>
    <n v="2014"/>
    <x v="155"/>
    <x v="1"/>
    <s v="Low"/>
  </r>
  <r>
    <n v="2013"/>
    <x v="21"/>
    <x v="94"/>
    <x v="99"/>
    <x v="1"/>
    <s v="automatic"/>
    <s v="1vwap7a36dc079449"/>
    <s v="ca"/>
    <m/>
    <x v="682"/>
    <s v="white"/>
    <s v="â€”"/>
    <s v="volkswagen of stockton"/>
    <n v="12050"/>
    <x v="12"/>
    <s v="Wed Dec 17 2014 12:30:00 GMT-0800 (PST)"/>
    <n v="2014"/>
    <x v="163"/>
    <x v="0"/>
    <s v="Low"/>
  </r>
  <r>
    <n v="2013"/>
    <x v="21"/>
    <x v="107"/>
    <x v="86"/>
    <x v="1"/>
    <s v="automatic"/>
    <s v="3vwdp7aj4dm404030"/>
    <s v="ca"/>
    <n v="38"/>
    <x v="683"/>
    <s v="black"/>
    <s v="black"/>
    <s v="avis rac/san leandro"/>
    <n v="11050"/>
    <x v="80"/>
    <s v="Wed Dec 31 2014 12:30:00 GMT-0800 (PST)"/>
    <n v="2014"/>
    <x v="153"/>
    <x v="2"/>
    <s v="Low"/>
  </r>
  <r>
    <n v="2013"/>
    <x v="23"/>
    <x v="140"/>
    <x v="116"/>
    <x v="5"/>
    <s v="automatic"/>
    <s v="jf1gpau61d2835586"/>
    <s v="ca"/>
    <m/>
    <x v="684"/>
    <s v="silver"/>
    <s v="black"/>
    <s v="audi san diego"/>
    <n v="19300"/>
    <x v="73"/>
    <s v="Wed Dec 17 2014 12:45:00 GMT-0800 (PST)"/>
    <n v="2014"/>
    <x v="202"/>
    <x v="0"/>
    <s v="Medium"/>
  </r>
  <r>
    <n v="2013"/>
    <x v="3"/>
    <x v="31"/>
    <x v="97"/>
    <x v="1"/>
    <m/>
    <s v="3n1cn7ap2dl879936"/>
    <s v="ca"/>
    <n v="2"/>
    <x v="685"/>
    <s v="white"/>
    <s v="black"/>
    <s v="hertz damaged liquidation"/>
    <n v="9750"/>
    <x v="214"/>
    <s v="Tue Dec 16 2014 13:00:00 GMT-0800 (PST)"/>
    <n v="2014"/>
    <x v="157"/>
    <x v="0"/>
    <s v="Low"/>
  </r>
  <r>
    <n v="2013"/>
    <x v="3"/>
    <x v="4"/>
    <x v="96"/>
    <x v="1"/>
    <s v="automatic"/>
    <s v="1n4bl3ap0dn463283"/>
    <s v="ca"/>
    <n v="43"/>
    <x v="686"/>
    <s v="silver"/>
    <s v="black"/>
    <s v="nissan north america inc."/>
    <n v="17050"/>
    <x v="255"/>
    <s v="Tue Dec 16 2014 12:30:00 GMT-0800 (PST)"/>
    <n v="2014"/>
    <x v="155"/>
    <x v="1"/>
    <s v="Low"/>
  </r>
  <r>
    <n v="2013"/>
    <x v="21"/>
    <x v="94"/>
    <x v="86"/>
    <x v="1"/>
    <s v="automatic"/>
    <s v="1vwbp7a35dc068561"/>
    <s v="ca"/>
    <n v="26"/>
    <x v="687"/>
    <s v="gray"/>
    <s v="black"/>
    <s v="avis corporation"/>
    <n v="13300"/>
    <x v="197"/>
    <s v="Thu Dec 18 2014 11:30:00 GMT-0800 (PST)"/>
    <n v="2014"/>
    <x v="138"/>
    <x v="2"/>
    <s v="Low"/>
  </r>
  <r>
    <n v="2013"/>
    <x v="21"/>
    <x v="94"/>
    <x v="10"/>
    <x v="1"/>
    <s v="automatic"/>
    <s v="1vwbh7a31dc025977"/>
    <s v="ca"/>
    <n v="1"/>
    <x v="688"/>
    <s v="â€”"/>
    <s v="black"/>
    <s v="vw credit"/>
    <n v="14250"/>
    <x v="253"/>
    <s v="Tue Dec 16 2014 12:00:00 GMT-0800 (PST)"/>
    <n v="2014"/>
    <x v="203"/>
    <x v="0"/>
    <s v="Low"/>
  </r>
  <r>
    <n v="2013"/>
    <x v="22"/>
    <x v="106"/>
    <x v="117"/>
    <x v="14"/>
    <s v="automatic"/>
    <s v="3tmmu4fn0dm052604"/>
    <s v="ca"/>
    <n v="41"/>
    <x v="689"/>
    <s v="white"/>
    <s v="gray"/>
    <s v="american road leasing inc"/>
    <n v="25800"/>
    <x v="90"/>
    <s v="Wed Dec 17 2014 12:15:00 GMT-0800 (PST)"/>
    <n v="2014"/>
    <x v="204"/>
    <x v="1"/>
    <s v="Medium"/>
  </r>
  <r>
    <n v="2013"/>
    <x v="3"/>
    <x v="121"/>
    <x v="89"/>
    <x v="0"/>
    <s v="automatic"/>
    <s v="5n1an0nu5dn818622"/>
    <s v="ca"/>
    <n v="5"/>
    <x v="690"/>
    <s v="white"/>
    <s v="gray"/>
    <s v="nissan north america inc."/>
    <n v="18400"/>
    <x v="135"/>
    <s v="Tue Dec 16 2014 12:30:00 GMT-0800 (PST)"/>
    <n v="2014"/>
    <x v="172"/>
    <x v="0"/>
    <s v="Low"/>
  </r>
  <r>
    <n v="2013"/>
    <x v="23"/>
    <x v="108"/>
    <x v="118"/>
    <x v="1"/>
    <s v="manual"/>
    <s v="jf1gv8j62dl008418"/>
    <s v="ca"/>
    <n v="35"/>
    <x v="691"/>
    <s v="blue"/>
    <s v="black"/>
    <s v="showcase wholesale auto llc"/>
    <n v="31200"/>
    <x v="266"/>
    <s v="Thu Dec 18 2014 12:30:00 GMT-0800 (PST)"/>
    <n v="2014"/>
    <x v="205"/>
    <x v="2"/>
    <s v="Medium"/>
  </r>
  <r>
    <n v="2013"/>
    <x v="3"/>
    <x v="128"/>
    <x v="106"/>
    <x v="4"/>
    <s v="automatic"/>
    <s v="jn8az2kr6dt300653"/>
    <s v="ca"/>
    <n v="4"/>
    <x v="692"/>
    <s v="silver"/>
    <s v="black"/>
    <s v="jpmorgan chase bank n.a."/>
    <n v="11500"/>
    <x v="98"/>
    <s v="Thu Dec 18 2014 12:00:00 GMT-0800 (PST)"/>
    <n v="2014"/>
    <x v="180"/>
    <x v="0"/>
    <s v="Low"/>
  </r>
  <r>
    <n v="2013"/>
    <x v="22"/>
    <x v="97"/>
    <x v="88"/>
    <x v="11"/>
    <s v="automatic"/>
    <s v="5tdkk3dc0ds344066"/>
    <s v="ca"/>
    <n v="34"/>
    <x v="693"/>
    <s v="burgundy"/>
    <s v="beige"/>
    <s v="the hertz corporation"/>
    <n v="15900"/>
    <x v="216"/>
    <s v="Wed Dec 17 2014 12:30:00 GMT-0800 (PST)"/>
    <n v="2014"/>
    <x v="141"/>
    <x v="2"/>
    <s v="Low"/>
  </r>
  <r>
    <n v="2013"/>
    <x v="3"/>
    <x v="118"/>
    <x v="110"/>
    <x v="1"/>
    <s v="automatic"/>
    <s v="1n4aa5apxdc839917"/>
    <s v="ca"/>
    <n v="1"/>
    <x v="694"/>
    <s v="gray"/>
    <s v="black"/>
    <s v="enterprise vehicle exchange / tra / rental / tulsa"/>
    <n v="16950"/>
    <x v="267"/>
    <s v="Tue Jan 13 2015 13:00:00 GMT-0800 (PST)"/>
    <n v="2015"/>
    <x v="187"/>
    <x v="0"/>
    <s v="Low"/>
  </r>
  <r>
    <n v="2013"/>
    <x v="22"/>
    <x v="105"/>
    <x v="10"/>
    <x v="1"/>
    <s v="automatic"/>
    <s v="4t1bf1fk4du208401"/>
    <s v="ca"/>
    <m/>
    <x v="695"/>
    <s v="black"/>
    <s v="â€”"/>
    <s v="jimmy vasser toyota"/>
    <n v="12550"/>
    <x v="154"/>
    <s v="Wed Dec 17 2014 12:30:00 GMT-0800 (PST)"/>
    <n v="2014"/>
    <x v="206"/>
    <x v="0"/>
    <s v="Low"/>
  </r>
  <r>
    <n v="2013"/>
    <x v="22"/>
    <x v="105"/>
    <x v="60"/>
    <x v="1"/>
    <s v="automatic"/>
    <s v="4t4bf1fk2dr316831"/>
    <s v="ca"/>
    <n v="44"/>
    <x v="696"/>
    <s v="beige"/>
    <s v="beige"/>
    <s v="toyota financial services"/>
    <n v="14950"/>
    <x v="141"/>
    <s v="Tue Dec 23 2014 00:00:00 GMT-0800 (PST)"/>
    <n v="2014"/>
    <x v="150"/>
    <x v="1"/>
    <s v="Low"/>
  </r>
  <r>
    <n v="2013"/>
    <x v="3"/>
    <x v="31"/>
    <x v="97"/>
    <x v="1"/>
    <s v="manual"/>
    <s v="3n1cn7apxdl889033"/>
    <s v="ca"/>
    <n v="43"/>
    <x v="697"/>
    <s v="gray"/>
    <s v="black"/>
    <s v="santander consumer"/>
    <n v="9300"/>
    <x v="74"/>
    <s v="Thu Dec 18 2014 12:00:00 GMT-0800 (PST)"/>
    <n v="2014"/>
    <x v="157"/>
    <x v="1"/>
    <s v="Low"/>
  </r>
  <r>
    <n v="2013"/>
    <x v="3"/>
    <x v="31"/>
    <x v="97"/>
    <x v="1"/>
    <s v="automatic"/>
    <s v="3n1cn7ap3dl864636"/>
    <s v="ca"/>
    <n v="2"/>
    <x v="698"/>
    <s v="gray"/>
    <s v="black"/>
    <s v="hertz/tra"/>
    <n v="9450"/>
    <x v="244"/>
    <s v="Tue Dec 23 2014 13:00:00 GMT-0800 (PST)"/>
    <n v="2014"/>
    <x v="157"/>
    <x v="0"/>
    <s v="Low"/>
  </r>
  <r>
    <n v="2013"/>
    <x v="25"/>
    <x v="137"/>
    <x v="5"/>
    <x v="1"/>
    <s v="automatic"/>
    <s v="wp0aa2a76dl011405"/>
    <s v="ca"/>
    <n v="41"/>
    <x v="699"/>
    <s v="white"/>
    <s v="beige"/>
    <s v="high bid trading co inc"/>
    <n v="54000"/>
    <x v="61"/>
    <s v="Thu Dec 18 2014 12:00:00 GMT-0800 (PST)"/>
    <n v="2014"/>
    <x v="196"/>
    <x v="1"/>
    <s v="High"/>
  </r>
  <r>
    <n v="2013"/>
    <x v="3"/>
    <x v="100"/>
    <x v="105"/>
    <x v="1"/>
    <s v="automatic"/>
    <s v="3n1ab7ap1dl659882"/>
    <s v="ca"/>
    <n v="29"/>
    <x v="700"/>
    <s v="white"/>
    <s v="black"/>
    <s v="jpmorgan chase bank n.a."/>
    <n v="11200"/>
    <x v="251"/>
    <s v="Thu Dec 18 2014 12:00:00 GMT-0800 (PST)"/>
    <n v="2014"/>
    <x v="178"/>
    <x v="2"/>
    <s v="Low"/>
  </r>
  <r>
    <n v="2013"/>
    <x v="22"/>
    <x v="105"/>
    <x v="10"/>
    <x v="1"/>
    <s v="automatic"/>
    <s v="4t1bf1fk5du259552"/>
    <s v="ca"/>
    <n v="38"/>
    <x v="701"/>
    <s v="black"/>
    <s v="black"/>
    <s v="jpmorgan chase bank n.a."/>
    <n v="15200"/>
    <x v="204"/>
    <s v="Thu Dec 18 2014 12:00:00 GMT-0800 (PST)"/>
    <n v="2014"/>
    <x v="206"/>
    <x v="2"/>
    <s v="Low"/>
  </r>
  <r>
    <n v="2013"/>
    <x v="24"/>
    <x v="112"/>
    <x v="5"/>
    <x v="3"/>
    <s v="manual"/>
    <s v="jf1znaa14d1721434"/>
    <s v="ca"/>
    <n v="44"/>
    <x v="702"/>
    <s v="gray"/>
    <s v="black"/>
    <s v="toyota financial services"/>
    <n v="18650"/>
    <x v="268"/>
    <s v="Wed Dec 17 2014 12:30:00 GMT-0800 (PST)"/>
    <n v="2014"/>
    <x v="160"/>
    <x v="1"/>
    <s v="Medium"/>
  </r>
  <r>
    <n v="2013"/>
    <x v="3"/>
    <x v="100"/>
    <x v="119"/>
    <x v="1"/>
    <s v="automatic"/>
    <s v="3n1ab7ap0dl726200"/>
    <s v="ca"/>
    <n v="36"/>
    <x v="703"/>
    <s v="black"/>
    <s v="black"/>
    <s v="avis corporation"/>
    <n v="11000"/>
    <x v="99"/>
    <s v="Tue Dec 16 2014 12:30:00 GMT-0800 (PST)"/>
    <n v="2014"/>
    <x v="207"/>
    <x v="2"/>
    <s v="Low"/>
  </r>
  <r>
    <n v="2013"/>
    <x v="3"/>
    <x v="4"/>
    <x v="51"/>
    <x v="1"/>
    <s v="automatic"/>
    <s v="1n4al3ap6dc163500"/>
    <s v="ca"/>
    <n v="41"/>
    <x v="704"/>
    <s v="white"/>
    <s v="black"/>
    <s v="nissan-infiniti lt"/>
    <n v="14150"/>
    <x v="218"/>
    <s v="Wed Dec 17 2014 12:30:00 GMT-0800 (PST)"/>
    <n v="2014"/>
    <x v="78"/>
    <x v="1"/>
    <s v="Low"/>
  </r>
  <r>
    <n v="2013"/>
    <x v="21"/>
    <x v="94"/>
    <x v="120"/>
    <x v="1"/>
    <s v="automatic"/>
    <s v="1vwbn7a30dc124122"/>
    <s v="ca"/>
    <n v="32"/>
    <x v="705"/>
    <s v="gray"/>
    <s v="black"/>
    <s v="wheels exchange llc"/>
    <n v="20400"/>
    <x v="269"/>
    <s v="Wed Dec 17 2014 12:30:00 GMT-0800 (PST)"/>
    <n v="2014"/>
    <x v="208"/>
    <x v="2"/>
    <s v="Medium"/>
  </r>
  <r>
    <n v="2013"/>
    <x v="3"/>
    <x v="100"/>
    <x v="105"/>
    <x v="1"/>
    <s v="automatic"/>
    <s v="3n1ab7ap8dl643520"/>
    <s v="ca"/>
    <n v="39"/>
    <x v="706"/>
    <s v="white"/>
    <s v="black"/>
    <s v="merchants leasing"/>
    <n v="10350"/>
    <x v="12"/>
    <s v="Wed Dec 17 2014 12:30:00 GMT-0800 (PST)"/>
    <n v="2014"/>
    <x v="178"/>
    <x v="2"/>
    <s v="Low"/>
  </r>
  <r>
    <n v="2013"/>
    <x v="3"/>
    <x v="135"/>
    <x v="105"/>
    <x v="0"/>
    <s v="automatic"/>
    <s v="jn8az1mw6dw316475"/>
    <s v="ca"/>
    <n v="3"/>
    <x v="201"/>
    <s v="gray"/>
    <s v="black"/>
    <s v="the hertz corporation"/>
    <n v="16900"/>
    <x v="270"/>
    <s v="Wed Dec 17 2014 12:30:00 GMT-0800 (PST)"/>
    <n v="2014"/>
    <x v="193"/>
    <x v="0"/>
    <s v="Low"/>
  </r>
  <r>
    <n v="2013"/>
    <x v="3"/>
    <x v="100"/>
    <x v="105"/>
    <x v="1"/>
    <s v="automatic"/>
    <s v="3n1ab7ap6dl699214"/>
    <s v="ca"/>
    <n v="39"/>
    <x v="707"/>
    <s v="gray"/>
    <s v="black"/>
    <s v="jpmorgan chase bank n.a."/>
    <n v="10150"/>
    <x v="12"/>
    <s v="Thu Dec 18 2014 12:00:00 GMT-0800 (PST)"/>
    <n v="2014"/>
    <x v="178"/>
    <x v="2"/>
    <s v="Low"/>
  </r>
  <r>
    <n v="2013"/>
    <x v="3"/>
    <x v="135"/>
    <x v="105"/>
    <x v="0"/>
    <s v="automatic"/>
    <s v="jn8az1mw6dw312782"/>
    <s v="ca"/>
    <n v="39"/>
    <x v="708"/>
    <s v="white"/>
    <s v="beige"/>
    <s v="avis rac/san leandro"/>
    <n v="17600"/>
    <x v="43"/>
    <s v="Wed Dec 17 2014 12:30:00 GMT-0800 (PST)"/>
    <n v="2014"/>
    <x v="193"/>
    <x v="2"/>
    <s v="Medium"/>
  </r>
  <r>
    <n v="2013"/>
    <x v="25"/>
    <x v="125"/>
    <x v="5"/>
    <x v="2"/>
    <s v="automatic"/>
    <s v="wp0ca2a81ds112651"/>
    <s v="ca"/>
    <n v="37"/>
    <x v="709"/>
    <s v="black"/>
    <s v="black"/>
    <s v="remarketing by ge/manheim riverside"/>
    <n v="41200"/>
    <x v="271"/>
    <s v="Tue Dec 30 2014 12:00:00 GMT-0800 (PST)"/>
    <n v="2014"/>
    <x v="209"/>
    <x v="2"/>
    <s v="Medium"/>
  </r>
  <r>
    <n v="2013"/>
    <x v="22"/>
    <x v="95"/>
    <x v="60"/>
    <x v="1"/>
    <s v="automatic"/>
    <s v="5yfbu4ee2dp124615"/>
    <s v="ca"/>
    <m/>
    <x v="710"/>
    <s v="gray"/>
    <s v="gray"/>
    <s v="hertz/tra"/>
    <n v="10900"/>
    <x v="244"/>
    <s v="Tue Dec 16 2014 13:00:00 GMT-0800 (PST)"/>
    <n v="2014"/>
    <x v="139"/>
    <x v="0"/>
    <s v="Low"/>
  </r>
  <r>
    <n v="2013"/>
    <x v="22"/>
    <x v="126"/>
    <x v="60"/>
    <x v="1"/>
    <s v="automatic"/>
    <s v="4t1bd1fk5du078747"/>
    <s v="ca"/>
    <n v="44"/>
    <x v="711"/>
    <s v="gray"/>
    <s v="gray"/>
    <s v="ge fleet services for itself/servicer"/>
    <n v="15700"/>
    <x v="211"/>
    <s v="Tue Dec 16 2014 12:00:00 GMT-0800 (PST)"/>
    <n v="2014"/>
    <x v="210"/>
    <x v="1"/>
    <s v="Low"/>
  </r>
  <r>
    <n v="2013"/>
    <x v="22"/>
    <x v="99"/>
    <x v="60"/>
    <x v="5"/>
    <s v="automatic"/>
    <s v="jtdktud35dd556959"/>
    <s v="ca"/>
    <n v="1"/>
    <x v="712"/>
    <s v="silver"/>
    <s v="black"/>
    <s v="enterprise vehicle exchange / tra / rental / tulsa"/>
    <n v="10450"/>
    <x v="272"/>
    <s v="Tue Dec 23 2014 12:00:00 GMT-0800 (PST)"/>
    <n v="2014"/>
    <x v="211"/>
    <x v="0"/>
    <s v="Low"/>
  </r>
  <r>
    <n v="2013"/>
    <x v="3"/>
    <x v="31"/>
    <x v="97"/>
    <x v="1"/>
    <m/>
    <s v="3n1cn7ap1dl846815"/>
    <s v="ca"/>
    <n v="39"/>
    <x v="713"/>
    <s v="â€”"/>
    <s v="black"/>
    <s v="nissan-infiniti lt"/>
    <n v="9275"/>
    <x v="54"/>
    <s v="Tue Dec 16 2014 12:30:00 GMT-0800 (PST)"/>
    <n v="2014"/>
    <x v="157"/>
    <x v="2"/>
    <s v="Low"/>
  </r>
  <r>
    <n v="2013"/>
    <x v="22"/>
    <x v="95"/>
    <x v="60"/>
    <x v="1"/>
    <s v="automatic"/>
    <s v="5yfbu4ee3dp157851"/>
    <s v="ca"/>
    <n v="32"/>
    <x v="714"/>
    <s v="gray"/>
    <s v="gray"/>
    <s v="toyota financial services/avis budget group-open"/>
    <n v="10750"/>
    <x v="25"/>
    <s v="Tue Dec 23 2014 12:30:00 GMT-0800 (PST)"/>
    <n v="2014"/>
    <x v="139"/>
    <x v="2"/>
    <s v="Low"/>
  </r>
  <r>
    <n v="2013"/>
    <x v="22"/>
    <x v="95"/>
    <x v="60"/>
    <x v="1"/>
    <s v="automatic"/>
    <s v="5yfbu4ee3dp161401"/>
    <s v="ca"/>
    <n v="33"/>
    <x v="715"/>
    <s v="white"/>
    <s v="gray"/>
    <s v="toyota financial services/avis budget group-open"/>
    <n v="11100"/>
    <x v="25"/>
    <s v="Tue Dec 23 2014 12:30:00 GMT-0800 (PST)"/>
    <n v="2014"/>
    <x v="139"/>
    <x v="2"/>
    <s v="Low"/>
  </r>
  <r>
    <n v="2013"/>
    <x v="3"/>
    <x v="100"/>
    <x v="105"/>
    <x v="1"/>
    <s v="automatic"/>
    <s v="3n1ab7ap9dl680169"/>
    <s v="ca"/>
    <n v="39"/>
    <x v="716"/>
    <s v="silver"/>
    <s v="black"/>
    <s v="merchants automotive group"/>
    <n v="10100"/>
    <x v="4"/>
    <s v="Wed Dec 17 2014 12:30:00 GMT-0800 (PST)"/>
    <n v="2014"/>
    <x v="178"/>
    <x v="2"/>
    <s v="Low"/>
  </r>
  <r>
    <n v="2013"/>
    <x v="22"/>
    <x v="106"/>
    <x v="117"/>
    <x v="14"/>
    <s v="automatic"/>
    <s v="3tmlu4en7dm117820"/>
    <s v="ca"/>
    <n v="43"/>
    <x v="717"/>
    <s v="silver"/>
    <s v="gray"/>
    <s v="american road leasing inc"/>
    <n v="27200"/>
    <x v="87"/>
    <s v="Wed Jan 07 2015 12:15:00 GMT-0800 (PST)"/>
    <n v="2015"/>
    <x v="204"/>
    <x v="1"/>
    <s v="Medium"/>
  </r>
  <r>
    <n v="2013"/>
    <x v="22"/>
    <x v="109"/>
    <x v="5"/>
    <x v="0"/>
    <s v="automatic"/>
    <s v="jtebu4bf2dk154432"/>
    <s v="ca"/>
    <m/>
    <x v="718"/>
    <s v="green"/>
    <s v="â€”"/>
    <s v="california auto exchange"/>
    <n v="26300"/>
    <x v="109"/>
    <s v="Thu Dec 18 2014 12:00:00 GMT-0800 (PST)"/>
    <n v="2014"/>
    <x v="156"/>
    <x v="0"/>
    <s v="Medium"/>
  </r>
  <r>
    <n v="2013"/>
    <x v="3"/>
    <x v="31"/>
    <x v="97"/>
    <x v="1"/>
    <s v="automatic"/>
    <s v="3n1cn7apxdl888657"/>
    <s v="ca"/>
    <n v="42"/>
    <x v="719"/>
    <s v="gray"/>
    <s v="black"/>
    <s v="fleet link services inc"/>
    <n v="9825"/>
    <x v="273"/>
    <s v="Thu Dec 18 2014 11:30:00 GMT-0800 (PST)"/>
    <n v="2014"/>
    <x v="157"/>
    <x v="1"/>
    <s v="Low"/>
  </r>
  <r>
    <n v="2013"/>
    <x v="3"/>
    <x v="100"/>
    <x v="89"/>
    <x v="1"/>
    <s v="automatic"/>
    <s v="3n1ab7ap2dl750921"/>
    <s v="ca"/>
    <m/>
    <x v="720"/>
    <s v="silver"/>
    <s v="black"/>
    <s v="palm springs nissan"/>
    <n v="12050"/>
    <x v="138"/>
    <s v="Thu Dec 18 2014 12:00:00 GMT-0800 (PST)"/>
    <n v="2014"/>
    <x v="170"/>
    <x v="0"/>
    <s v="Low"/>
  </r>
  <r>
    <n v="2013"/>
    <x v="22"/>
    <x v="122"/>
    <x v="104"/>
    <x v="5"/>
    <s v="automatic"/>
    <s v="jtdkn3du9d5636594"/>
    <s v="ca"/>
    <n v="36"/>
    <x v="721"/>
    <s v="black"/>
    <s v="gray"/>
    <s v="toyota financial services/avis budget group-open"/>
    <n v="15150"/>
    <x v="152"/>
    <s v="Tue Dec 23 2014 12:30:00 GMT-0800 (PST)"/>
    <n v="2014"/>
    <x v="173"/>
    <x v="2"/>
    <s v="Low"/>
  </r>
  <r>
    <n v="2013"/>
    <x v="3"/>
    <x v="31"/>
    <x v="97"/>
    <x v="1"/>
    <m/>
    <s v="3n1cn7ap0dl846434"/>
    <s v="ca"/>
    <n v="34"/>
    <x v="722"/>
    <s v="silver"/>
    <s v="black"/>
    <s v="merchants leasing"/>
    <n v="9400"/>
    <x v="274"/>
    <s v="Wed Dec 17 2014 12:30:00 GMT-0800 (PST)"/>
    <n v="2014"/>
    <x v="157"/>
    <x v="2"/>
    <s v="Low"/>
  </r>
  <r>
    <n v="2013"/>
    <x v="22"/>
    <x v="106"/>
    <x v="112"/>
    <x v="14"/>
    <s v="automatic"/>
    <s v="3tmku4hn4dm037625"/>
    <s v="ca"/>
    <n v="34"/>
    <x v="723"/>
    <s v="brown"/>
    <s v="gray"/>
    <s v="jpmorgan chase bank n.a."/>
    <n v="24900"/>
    <x v="29"/>
    <s v="Thu Dec 18 2014 12:00:00 GMT-0800 (PST)"/>
    <n v="2014"/>
    <x v="192"/>
    <x v="2"/>
    <s v="Medium"/>
  </r>
  <r>
    <n v="2013"/>
    <x v="22"/>
    <x v="97"/>
    <x v="88"/>
    <x v="11"/>
    <s v="automatic"/>
    <s v="5tdkk3dc7ds334960"/>
    <s v="ca"/>
    <n v="35"/>
    <x v="724"/>
    <s v="white"/>
    <s v="gray"/>
    <s v="avis corporation"/>
    <n v="18250"/>
    <x v="81"/>
    <s v="Thu Dec 18 2014 11:30:00 GMT-0800 (PST)"/>
    <n v="2014"/>
    <x v="141"/>
    <x v="2"/>
    <s v="Medium"/>
  </r>
  <r>
    <n v="2013"/>
    <x v="21"/>
    <x v="110"/>
    <x v="98"/>
    <x v="5"/>
    <s v="automatic"/>
    <s v="3vwfp7at4dm654698"/>
    <s v="ca"/>
    <n v="34"/>
    <x v="725"/>
    <s v="white"/>
    <s v="black"/>
    <s v="avis corporation"/>
    <n v="11500"/>
    <x v="110"/>
    <s v="Thu Dec 18 2014 11:30:00 GMT-0800 (PST)"/>
    <n v="2014"/>
    <x v="158"/>
    <x v="2"/>
    <s v="Low"/>
  </r>
  <r>
    <n v="2013"/>
    <x v="22"/>
    <x v="95"/>
    <x v="72"/>
    <x v="1"/>
    <s v="automatic"/>
    <s v="5yfbu4ee0dp204771"/>
    <s v="ca"/>
    <n v="2"/>
    <x v="726"/>
    <s v="silver"/>
    <s v="gray"/>
    <s v="fox rent a car tra"/>
    <n v="11250"/>
    <x v="275"/>
    <s v="Tue Dec 16 2014 13:00:00 GMT-0800 (PST)"/>
    <n v="2014"/>
    <x v="212"/>
    <x v="0"/>
    <s v="Low"/>
  </r>
  <r>
    <n v="2013"/>
    <x v="3"/>
    <x v="100"/>
    <x v="119"/>
    <x v="1"/>
    <s v="automatic"/>
    <s v="3n1ab7ap9dl679328"/>
    <s v="ca"/>
    <n v="33"/>
    <x v="727"/>
    <s v="black"/>
    <s v="black"/>
    <s v="merchants automotive group"/>
    <n v="10750"/>
    <x v="93"/>
    <s v="Wed Dec 17 2014 12:30:00 GMT-0800 (PST)"/>
    <n v="2014"/>
    <x v="207"/>
    <x v="2"/>
    <s v="Low"/>
  </r>
  <r>
    <n v="2013"/>
    <x v="3"/>
    <x v="101"/>
    <x v="89"/>
    <x v="0"/>
    <s v="automatic"/>
    <s v="jn8as5mv2dw116535"/>
    <s v="ca"/>
    <n v="37"/>
    <x v="728"/>
    <s v="white"/>
    <s v="gray"/>
    <s v="enterprise veh exchange/rental"/>
    <n v="14300"/>
    <x v="141"/>
    <s v="Thu Dec 18 2014 11:30:00 GMT-0800 (PST)"/>
    <n v="2014"/>
    <x v="145"/>
    <x v="2"/>
    <s v="Low"/>
  </r>
  <r>
    <n v="2013"/>
    <x v="2"/>
    <x v="2"/>
    <x v="2"/>
    <x v="1"/>
    <s v="automatic"/>
    <s v="yv1612fs1d2225611"/>
    <s v="ca"/>
    <n v="37"/>
    <x v="729"/>
    <s v="white"/>
    <s v="black"/>
    <s v="volvo car financial service/world omni"/>
    <n v="18550"/>
    <x v="226"/>
    <s v="Thu Dec 18 2014 12:30:00 GMT-0800 (PST)"/>
    <n v="2014"/>
    <x v="2"/>
    <x v="2"/>
    <s v="Medium"/>
  </r>
  <r>
    <n v="2013"/>
    <x v="3"/>
    <x v="31"/>
    <x v="97"/>
    <x v="1"/>
    <s v="automatic"/>
    <s v="3n1cn7ap5dl844212"/>
    <s v="ca"/>
    <n v="37"/>
    <x v="730"/>
    <s v="silver"/>
    <s v="black"/>
    <s v="black/white auto sales"/>
    <n v="10200"/>
    <x v="30"/>
    <s v="Wed Dec 17 2014 12:15:00 GMT-0800 (PST)"/>
    <n v="2014"/>
    <x v="157"/>
    <x v="2"/>
    <s v="Low"/>
  </r>
  <r>
    <n v="2013"/>
    <x v="3"/>
    <x v="135"/>
    <x v="89"/>
    <x v="0"/>
    <s v="automatic"/>
    <s v="jn8az1mw6dw303046"/>
    <s v="ca"/>
    <n v="38"/>
    <x v="731"/>
    <s v="white"/>
    <s v="beige"/>
    <s v="advantage rent a car/hertz"/>
    <n v="22800"/>
    <x v="228"/>
    <s v="Wed Dec 17 2014 12:30:00 GMT-0800 (PST)"/>
    <n v="2014"/>
    <x v="213"/>
    <x v="2"/>
    <s v="Medium"/>
  </r>
  <r>
    <n v="2013"/>
    <x v="3"/>
    <x v="136"/>
    <x v="105"/>
    <x v="0"/>
    <s v="automatic"/>
    <s v="5n1ar2mn1dc619184"/>
    <s v="ca"/>
    <n v="45"/>
    <x v="732"/>
    <s v="white"/>
    <s v="black"/>
    <s v="nissan-infiniti lt"/>
    <n v="21400"/>
    <x v="63"/>
    <s v="Tue Dec 16 2014 12:30:00 GMT-0800 (PST)"/>
    <n v="2014"/>
    <x v="195"/>
    <x v="1"/>
    <s v="Medium"/>
  </r>
  <r>
    <n v="2013"/>
    <x v="21"/>
    <x v="94"/>
    <x v="86"/>
    <x v="1"/>
    <s v="automatic"/>
    <s v="1vwbp7a3xdc068443"/>
    <s v="ca"/>
    <n v="36"/>
    <x v="733"/>
    <s v="silver"/>
    <s v="black"/>
    <s v="avis corporation"/>
    <n v="13250"/>
    <x v="11"/>
    <s v="Thu Jan 22 2015 03:30:00 GMT-0800 (PST)"/>
    <n v="2015"/>
    <x v="138"/>
    <x v="2"/>
    <s v="Low"/>
  </r>
  <r>
    <n v="2013"/>
    <x v="3"/>
    <x v="135"/>
    <x v="93"/>
    <x v="0"/>
    <s v="automatic"/>
    <s v="jn8az1mu6dw209263"/>
    <s v="ca"/>
    <n v="44"/>
    <x v="734"/>
    <s v="gray"/>
    <s v="black"/>
    <s v="nissan motor acceptance corporation"/>
    <n v="24100"/>
    <x v="113"/>
    <s v="Wed Dec 17 2014 12:30:00 GMT-0800 (PST)"/>
    <n v="2014"/>
    <x v="214"/>
    <x v="1"/>
    <s v="Medium"/>
  </r>
  <r>
    <n v="2013"/>
    <x v="3"/>
    <x v="115"/>
    <x v="105"/>
    <x v="11"/>
    <m/>
    <s v="jn8ae2kp7d9060276"/>
    <s v="ca"/>
    <n v="41"/>
    <x v="735"/>
    <s v="gray"/>
    <s v="gray"/>
    <s v="nissan north america inc."/>
    <n v="22300"/>
    <x v="27"/>
    <s v="Tue Dec 16 2014 12:30:00 GMT-0800 (PST)"/>
    <n v="2014"/>
    <x v="215"/>
    <x v="1"/>
    <s v="Medium"/>
  </r>
  <r>
    <n v="2013"/>
    <x v="22"/>
    <x v="105"/>
    <x v="72"/>
    <x v="1"/>
    <s v="automatic"/>
    <s v="4t1bf1fk4du283826"/>
    <s v="ca"/>
    <n v="2"/>
    <x v="736"/>
    <s v="silver"/>
    <s v="black"/>
    <s v="enterprise vehicle exchange / tra / rental / tulsa"/>
    <n v="13350"/>
    <x v="276"/>
    <s v="Tue Dec 16 2014 13:00:00 GMT-0800 (PST)"/>
    <n v="2014"/>
    <x v="216"/>
    <x v="0"/>
    <s v="Low"/>
  </r>
  <r>
    <n v="2013"/>
    <x v="3"/>
    <x v="118"/>
    <x v="102"/>
    <x v="1"/>
    <s v="automatic"/>
    <s v="1n4aa5ap7dc829796"/>
    <s v="ca"/>
    <n v="44"/>
    <x v="737"/>
    <s v="white"/>
    <s v="tan"/>
    <s v="nissan motor acceptance corporation"/>
    <n v="21300"/>
    <x v="185"/>
    <s v="Tue Dec 16 2014 12:30:00 GMT-0800 (PST)"/>
    <n v="2014"/>
    <x v="168"/>
    <x v="1"/>
    <s v="Medium"/>
  </r>
  <r>
    <n v="2012"/>
    <x v="26"/>
    <x v="36"/>
    <x v="121"/>
    <x v="12"/>
    <s v="automatic"/>
    <s v="wbakb8c51cc964387"/>
    <s v="ca"/>
    <n v="38"/>
    <x v="738"/>
    <s v="gray"/>
    <s v="black"/>
    <s v="financial services remarketing (lease)"/>
    <n v="47200"/>
    <x v="277"/>
    <s v="Thu Feb 26 2015 04:30:00 GMT-0800 (PST)"/>
    <n v="2015"/>
    <x v="217"/>
    <x v="2"/>
    <s v="Medium"/>
  </r>
  <r>
    <n v="2012"/>
    <x v="1"/>
    <x v="141"/>
    <x v="122"/>
    <x v="12"/>
    <s v="automatic"/>
    <s v="wbakc6c5xcc395623"/>
    <s v="ca"/>
    <n v="4"/>
    <x v="739"/>
    <s v="gray"/>
    <s v="black"/>
    <s v="financial services remarketing (lease)"/>
    <n v="33900"/>
    <x v="176"/>
    <s v="Thu Dec 18 2014 12:30:00 GMT-0800 (PST)"/>
    <n v="2014"/>
    <x v="218"/>
    <x v="0"/>
    <s v="Medium"/>
  </r>
  <r>
    <n v="2012"/>
    <x v="1"/>
    <x v="14"/>
    <x v="3"/>
    <x v="2"/>
    <s v="automatic"/>
    <s v="wbalz3c5xcdl71530"/>
    <s v="ca"/>
    <n v="38"/>
    <x v="740"/>
    <s v="white"/>
    <s v="black"/>
    <s v="financial services remarketing (lease)"/>
    <n v="48500"/>
    <x v="278"/>
    <s v="Thu Dec 18 2014 12:30:00 GMT-0800 (PST)"/>
    <n v="2014"/>
    <x v="16"/>
    <x v="2"/>
    <s v="High"/>
  </r>
  <r>
    <n v="2012"/>
    <x v="10"/>
    <x v="142"/>
    <x v="5"/>
    <x v="1"/>
    <s v="automatic"/>
    <s v="jh4cu2f43cc007761"/>
    <s v="ca"/>
    <n v="39"/>
    <x v="741"/>
    <s v="black"/>
    <s v="black"/>
    <s v="ahfc/honda lease trust/hvt  inc. eot"/>
    <n v="16450"/>
    <x v="279"/>
    <s v="Thu Dec 18 2014 12:00:00 GMT-0800 (PST)"/>
    <n v="2014"/>
    <x v="219"/>
    <x v="2"/>
    <s v="Low"/>
  </r>
  <r>
    <n v="2012"/>
    <x v="1"/>
    <x v="14"/>
    <x v="3"/>
    <x v="2"/>
    <m/>
    <s v="wbalz3c59cdl71275"/>
    <s v="ca"/>
    <n v="46"/>
    <x v="742"/>
    <s v="gray"/>
    <s v="black"/>
    <s v="financial services remarketing (lease)"/>
    <n v="48200"/>
    <x v="77"/>
    <s v="Thu Feb 12 2015 04:30:00 GMT-0800 (PST)"/>
    <n v="2015"/>
    <x v="16"/>
    <x v="1"/>
    <s v="Medium"/>
  </r>
  <r>
    <n v="2012"/>
    <x v="26"/>
    <x v="36"/>
    <x v="121"/>
    <x v="12"/>
    <s v="automatic"/>
    <s v="wbakb8c53cc964410"/>
    <s v="ca"/>
    <n v="33"/>
    <x v="743"/>
    <s v="beige"/>
    <s v="gray"/>
    <s v="financial services remarketing (lease)"/>
    <n v="49500"/>
    <x v="277"/>
    <s v="Thu Feb 12 2015 04:30:00 GMT-0800 (PST)"/>
    <n v="2015"/>
    <x v="217"/>
    <x v="2"/>
    <s v="Medium"/>
  </r>
  <r>
    <n v="2012"/>
    <x v="5"/>
    <x v="9"/>
    <x v="123"/>
    <x v="1"/>
    <s v="automatic"/>
    <s v="wauggafc1cn055417"/>
    <s v="ca"/>
    <n v="35"/>
    <x v="744"/>
    <s v="â€”"/>
    <s v="beige"/>
    <s v="high bid trading co inc"/>
    <n v="29800"/>
    <x v="266"/>
    <s v="Thu Dec 18 2014 12:00:00 GMT-0800 (PST)"/>
    <n v="2014"/>
    <x v="220"/>
    <x v="2"/>
    <s v="Medium"/>
  </r>
  <r>
    <n v="2012"/>
    <x v="1"/>
    <x v="14"/>
    <x v="3"/>
    <x v="3"/>
    <s v="automatic"/>
    <s v="wbalx3c59cdv77170"/>
    <s v="ca"/>
    <n v="47"/>
    <x v="745"/>
    <s v="black"/>
    <s v="black"/>
    <s v="financial services remarketing (lease)"/>
    <n v="42600"/>
    <x v="280"/>
    <s v="Thu Dec 18 2014 12:30:00 GMT-0800 (PST)"/>
    <n v="2014"/>
    <x v="16"/>
    <x v="1"/>
    <s v="Medium"/>
  </r>
  <r>
    <n v="2012"/>
    <x v="1"/>
    <x v="16"/>
    <x v="14"/>
    <x v="1"/>
    <s v="automatic"/>
    <s v="wbaxg5c54cdx02704"/>
    <s v="ca"/>
    <n v="47"/>
    <x v="746"/>
    <s v="black"/>
    <s v="gray"/>
    <s v="financial services remarketing (lease)"/>
    <n v="29500"/>
    <x v="32"/>
    <s v="Thu Dec 18 2014 12:30:00 GMT-0800 (PST)"/>
    <n v="2014"/>
    <x v="18"/>
    <x v="1"/>
    <s v="Medium"/>
  </r>
  <r>
    <n v="2012"/>
    <x v="1"/>
    <x v="14"/>
    <x v="3"/>
    <x v="2"/>
    <s v="automatic"/>
    <s v="wbalz3c58cdl73048"/>
    <s v="ca"/>
    <n v="48"/>
    <x v="747"/>
    <s v="gray"/>
    <s v="black"/>
    <s v="financial services remarketing (lease)"/>
    <n v="50100"/>
    <x v="281"/>
    <s v="Thu Jan 15 2015 04:30:00 GMT-0800 (PST)"/>
    <n v="2015"/>
    <x v="16"/>
    <x v="1"/>
    <s v="Medium"/>
  </r>
  <r>
    <n v="2012"/>
    <x v="1"/>
    <x v="16"/>
    <x v="14"/>
    <x v="1"/>
    <s v="automatic"/>
    <s v="wbaxg5c55cdx04560"/>
    <s v="ca"/>
    <n v="5"/>
    <x v="748"/>
    <s v="black"/>
    <s v="black"/>
    <s v="financial services remarketing (lease)"/>
    <n v="27600"/>
    <x v="282"/>
    <s v="Thu Dec 18 2014 12:30:00 GMT-0800 (PST)"/>
    <n v="2014"/>
    <x v="18"/>
    <x v="0"/>
    <s v="Medium"/>
  </r>
  <r>
    <n v="2012"/>
    <x v="1"/>
    <x v="14"/>
    <x v="3"/>
    <x v="3"/>
    <s v="automatic"/>
    <s v="wbalx3c52cc528799"/>
    <s v="ca"/>
    <n v="36"/>
    <x v="749"/>
    <s v="white"/>
    <s v="brown"/>
    <s v="l m auto wholesale"/>
    <n v="44800"/>
    <x v="35"/>
    <s v="Thu Dec 18 2014 12:30:00 GMT-0800 (PST)"/>
    <n v="2014"/>
    <x v="16"/>
    <x v="2"/>
    <s v="Medium"/>
  </r>
  <r>
    <n v="2012"/>
    <x v="1"/>
    <x v="143"/>
    <x v="124"/>
    <x v="1"/>
    <s v="automatic"/>
    <s v="wbaka4c54cc613856"/>
    <s v="ca"/>
    <n v="47"/>
    <x v="750"/>
    <s v="black"/>
    <s v="â€”"/>
    <s v="financial services remarketing (lease)"/>
    <n v="40100"/>
    <x v="85"/>
    <s v="Thu Dec 18 2014 12:30:00 GMT-0800 (PST)"/>
    <n v="2014"/>
    <x v="221"/>
    <x v="1"/>
    <s v="Medium"/>
  </r>
  <r>
    <n v="2012"/>
    <x v="1"/>
    <x v="143"/>
    <x v="124"/>
    <x v="1"/>
    <s v="automatic"/>
    <s v="wbaka4c51cds99089"/>
    <s v="ca"/>
    <n v="43"/>
    <x v="751"/>
    <s v="black"/>
    <s v="black"/>
    <s v="financial services remarketing (lease)"/>
    <n v="35600"/>
    <x v="169"/>
    <s v="Thu Jan 15 2015 04:30:00 GMT-0800 (PST)"/>
    <n v="2015"/>
    <x v="221"/>
    <x v="1"/>
    <s v="Medium"/>
  </r>
  <r>
    <n v="2012"/>
    <x v="1"/>
    <x v="1"/>
    <x v="125"/>
    <x v="2"/>
    <s v="automatic"/>
    <s v="wbadx1c56ce570700"/>
    <s v="ca"/>
    <n v="38"/>
    <x v="752"/>
    <s v="black"/>
    <s v="black"/>
    <s v="financial services remarketing (lease)"/>
    <n v="39900"/>
    <x v="283"/>
    <s v="Thu Dec 18 2014 12:30:00 GMT-0800 (PST)"/>
    <n v="2014"/>
    <x v="222"/>
    <x v="2"/>
    <s v="Medium"/>
  </r>
  <r>
    <n v="2012"/>
    <x v="1"/>
    <x v="1"/>
    <x v="126"/>
    <x v="2"/>
    <s v="automatic"/>
    <s v="wbadw7c5xce729000"/>
    <s v="ca"/>
    <n v="31"/>
    <x v="753"/>
    <s v="blue"/>
    <s v="gray"/>
    <s v="financial services remarketing (lease)"/>
    <n v="28200"/>
    <x v="53"/>
    <s v="Thu Jan 29 2015 04:30:00 GMT-0800 (PST)"/>
    <n v="2015"/>
    <x v="223"/>
    <x v="2"/>
    <s v="Medium"/>
  </r>
  <r>
    <n v="2012"/>
    <x v="1"/>
    <x v="14"/>
    <x v="3"/>
    <x v="2"/>
    <s v="automatic"/>
    <s v="wbalz3c5xcdl70913"/>
    <s v="ca"/>
    <n v="36"/>
    <x v="754"/>
    <s v="black"/>
    <s v="â€”"/>
    <s v="financial services remarketing (lease)"/>
    <n v="49700"/>
    <x v="252"/>
    <s v="Thu Dec 18 2014 12:30:00 GMT-0800 (PST)"/>
    <n v="2014"/>
    <x v="16"/>
    <x v="2"/>
    <s v="Medium"/>
  </r>
  <r>
    <n v="2012"/>
    <x v="1"/>
    <x v="144"/>
    <x v="127"/>
    <x v="3"/>
    <s v="automatic"/>
    <s v="wbauc9c56cvm12464"/>
    <s v="ca"/>
    <n v="41"/>
    <x v="755"/>
    <s v="blue"/>
    <s v="â€”"/>
    <s v="financial services remarketing (lease)"/>
    <n v="26900"/>
    <x v="34"/>
    <s v="Thu Dec 18 2014 12:30:00 GMT-0800 (PST)"/>
    <n v="2014"/>
    <x v="224"/>
    <x v="1"/>
    <s v="Medium"/>
  </r>
  <r>
    <n v="2012"/>
    <x v="1"/>
    <x v="14"/>
    <x v="128"/>
    <x v="3"/>
    <s v="automatic"/>
    <s v="wbalw3c56cc891870"/>
    <s v="ca"/>
    <n v="44"/>
    <x v="756"/>
    <s v="black"/>
    <s v="black"/>
    <s v="financial services remarketing (lease)"/>
    <n v="42200"/>
    <x v="194"/>
    <s v="Thu Dec 18 2014 12:30:00 GMT-0800 (PST)"/>
    <n v="2014"/>
    <x v="225"/>
    <x v="1"/>
    <s v="Medium"/>
  </r>
  <r>
    <n v="2012"/>
    <x v="10"/>
    <x v="145"/>
    <x v="5"/>
    <x v="1"/>
    <s v="automatic"/>
    <s v="19uua8f23ca002640"/>
    <s v="ca"/>
    <n v="41"/>
    <x v="757"/>
    <s v="gray"/>
    <s v="black"/>
    <s v="ahfc/honda lease trust/hvt  inc. eot"/>
    <n v="19200"/>
    <x v="269"/>
    <s v="Thu Dec 18 2014 12:00:00 GMT-0800 (PST)"/>
    <n v="2014"/>
    <x v="226"/>
    <x v="1"/>
    <s v="Medium"/>
  </r>
  <r>
    <n v="2012"/>
    <x v="1"/>
    <x v="16"/>
    <x v="129"/>
    <x v="1"/>
    <s v="automatic"/>
    <s v="wbafr7c56cc809633"/>
    <s v="ca"/>
    <n v="22"/>
    <x v="758"/>
    <s v="gray"/>
    <s v="black"/>
    <s v="financial services remarketing (lease)"/>
    <n v="35100"/>
    <x v="284"/>
    <s v="Thu Dec 18 2014 12:30:00 GMT-0800 (PST)"/>
    <n v="2014"/>
    <x v="227"/>
    <x v="2"/>
    <s v="Medium"/>
  </r>
  <r>
    <n v="2012"/>
    <x v="1"/>
    <x v="143"/>
    <x v="124"/>
    <x v="1"/>
    <s v="automatic"/>
    <s v="wbaka4c53cc613637"/>
    <s v="ca"/>
    <n v="33"/>
    <x v="759"/>
    <s v="gray"/>
    <s v="black"/>
    <s v="financial services remarketing (lease)"/>
    <n v="39800"/>
    <x v="238"/>
    <s v="Tue Jan 27 2015 04:30:00 GMT-0800 (PST)"/>
    <n v="2015"/>
    <x v="221"/>
    <x v="2"/>
    <s v="Medium"/>
  </r>
  <r>
    <n v="2012"/>
    <x v="1"/>
    <x v="14"/>
    <x v="3"/>
    <x v="2"/>
    <s v="automatic"/>
    <s v="wbalz3c54cdl72964"/>
    <s v="ca"/>
    <n v="42"/>
    <x v="760"/>
    <s v="black"/>
    <s v="tan"/>
    <s v="financial services remarketing (lease)"/>
    <n v="47000"/>
    <x v="284"/>
    <s v="Thu Dec 18 2014 12:30:00 GMT-0800 (PST)"/>
    <n v="2014"/>
    <x v="16"/>
    <x v="1"/>
    <s v="Medium"/>
  </r>
  <r>
    <n v="2012"/>
    <x v="1"/>
    <x v="1"/>
    <x v="126"/>
    <x v="2"/>
    <s v="automatic"/>
    <s v="wbadw7c58ce728833"/>
    <s v="ca"/>
    <n v="37"/>
    <x v="761"/>
    <s v="blue"/>
    <s v="beige"/>
    <s v="walters auto sales/service inc"/>
    <n v="27700"/>
    <x v="118"/>
    <s v="Thu Dec 18 2014 12:30:00 GMT-0800 (PST)"/>
    <n v="2014"/>
    <x v="223"/>
    <x v="2"/>
    <s v="Medium"/>
  </r>
  <r>
    <n v="2012"/>
    <x v="26"/>
    <x v="36"/>
    <x v="121"/>
    <x v="12"/>
    <s v="automatic"/>
    <s v="wbakb8c54cc964089"/>
    <s v="ca"/>
    <n v="37"/>
    <x v="762"/>
    <s v="black"/>
    <s v="black"/>
    <s v="financial services remarketing (lease)"/>
    <n v="42300"/>
    <x v="285"/>
    <s v="Thu Jan 15 2015 04:30:00 GMT-0800 (PST)"/>
    <n v="2015"/>
    <x v="217"/>
    <x v="2"/>
    <s v="Medium"/>
  </r>
  <r>
    <n v="2012"/>
    <x v="10"/>
    <x v="145"/>
    <x v="5"/>
    <x v="1"/>
    <s v="automatic"/>
    <s v="19uua8f23ca027165"/>
    <s v="ca"/>
    <n v="44"/>
    <x v="763"/>
    <s v="black"/>
    <s v="gray"/>
    <s v="ahfc/honda lease trust/hvt  inc. eot"/>
    <n v="19850"/>
    <x v="286"/>
    <s v="Thu Dec 18 2014 12:00:00 GMT-0800 (PST)"/>
    <n v="2014"/>
    <x v="226"/>
    <x v="1"/>
    <s v="Medium"/>
  </r>
  <r>
    <n v="2012"/>
    <x v="1"/>
    <x v="16"/>
    <x v="14"/>
    <x v="1"/>
    <s v="automatic"/>
    <s v="wbaxg5c56cdw24474"/>
    <s v="ca"/>
    <n v="48"/>
    <x v="764"/>
    <s v="gray"/>
    <s v="â€”"/>
    <s v="financial services remarketing (lease)"/>
    <n v="32000"/>
    <x v="235"/>
    <s v="Thu Jan 29 2015 04:30:00 GMT-0800 (PST)"/>
    <n v="2015"/>
    <x v="18"/>
    <x v="1"/>
    <s v="Medium"/>
  </r>
  <r>
    <n v="2012"/>
    <x v="1"/>
    <x v="143"/>
    <x v="130"/>
    <x v="1"/>
    <s v="automatic"/>
    <s v="wbakb4c53cc576943"/>
    <s v="ca"/>
    <n v="36"/>
    <x v="765"/>
    <s v="white"/>
    <s v="black"/>
    <s v="financial services remarketing (lease)"/>
    <n v="40000"/>
    <x v="15"/>
    <s v="Thu Dec 18 2014 12:30:00 GMT-0800 (PST)"/>
    <n v="2014"/>
    <x v="228"/>
    <x v="2"/>
    <s v="Medium"/>
  </r>
  <r>
    <n v="2012"/>
    <x v="1"/>
    <x v="146"/>
    <x v="28"/>
    <x v="12"/>
    <s v="automatic"/>
    <s v="wbakb8c50cc963182"/>
    <s v="ca"/>
    <n v="37"/>
    <x v="766"/>
    <s v="black"/>
    <s v="black"/>
    <s v="financial services remarketing (lease)"/>
    <n v="45000"/>
    <x v="287"/>
    <s v="Thu Dec 18 2014 12:30:00 GMT-0800 (PST)"/>
    <n v="2014"/>
    <x v="229"/>
    <x v="2"/>
    <s v="Medium"/>
  </r>
  <r>
    <n v="2012"/>
    <x v="1"/>
    <x v="16"/>
    <x v="131"/>
    <x v="1"/>
    <s v="automatic"/>
    <s v="wbaxh5c54cdw07718"/>
    <s v="ca"/>
    <n v="21"/>
    <x v="767"/>
    <s v="black"/>
    <s v="black"/>
    <s v="financial services remarketing (lease)"/>
    <n v="30500"/>
    <x v="56"/>
    <s v="Tue Jan 27 2015 04:30:00 GMT-0800 (PST)"/>
    <n v="2015"/>
    <x v="230"/>
    <x v="2"/>
    <s v="Medium"/>
  </r>
  <r>
    <n v="2012"/>
    <x v="5"/>
    <x v="147"/>
    <x v="19"/>
    <x v="1"/>
    <s v="automatic"/>
    <s v="waukgafl7ca117999"/>
    <s v="ca"/>
    <n v="28"/>
    <x v="768"/>
    <s v="black"/>
    <s v="black"/>
    <s v="fratelli investment group"/>
    <n v="37800"/>
    <x v="169"/>
    <s v="Thu Dec 18 2014 12:00:00 GMT-0800 (PST)"/>
    <n v="2014"/>
    <x v="231"/>
    <x v="2"/>
    <s v="Medium"/>
  </r>
  <r>
    <n v="2012"/>
    <x v="5"/>
    <x v="148"/>
    <x v="132"/>
    <x v="1"/>
    <s v="automatic"/>
    <s v="wauygafc0cn087585"/>
    <s v="ca"/>
    <n v="33"/>
    <x v="769"/>
    <s v="black"/>
    <s v="black"/>
    <s v="south bay hyundai"/>
    <n v="39300"/>
    <x v="283"/>
    <s v="Tue Dec 16 2014 12:30:00 GMT-0800 (PST)"/>
    <n v="2014"/>
    <x v="232"/>
    <x v="2"/>
    <s v="Medium"/>
  </r>
  <r>
    <n v="2012"/>
    <x v="1"/>
    <x v="1"/>
    <x v="133"/>
    <x v="3"/>
    <s v="automatic"/>
    <s v="wbakg7c52ce802266"/>
    <s v="ca"/>
    <n v="45"/>
    <x v="770"/>
    <s v="gray"/>
    <s v="tan"/>
    <s v="financial services remarketing (lease)"/>
    <n v="30200"/>
    <x v="89"/>
    <s v="Thu Dec 18 2014 12:30:00 GMT-0800 (PST)"/>
    <n v="2014"/>
    <x v="233"/>
    <x v="1"/>
    <s v="Medium"/>
  </r>
  <r>
    <n v="2012"/>
    <x v="1"/>
    <x v="16"/>
    <x v="14"/>
    <x v="1"/>
    <s v="automatic"/>
    <s v="wbaxg5c5xcdw24820"/>
    <s v="ca"/>
    <n v="48"/>
    <x v="771"/>
    <s v="gray"/>
    <s v="black"/>
    <s v="financial services remarketing (lease)"/>
    <n v="33100"/>
    <x v="238"/>
    <s v="Thu Dec 18 2014 12:30:00 GMT-0800 (PST)"/>
    <n v="2014"/>
    <x v="18"/>
    <x v="1"/>
    <s v="Medium"/>
  </r>
  <r>
    <n v="2012"/>
    <x v="1"/>
    <x v="16"/>
    <x v="14"/>
    <x v="1"/>
    <s v="automatic"/>
    <s v="wbaxg5c58cdw24170"/>
    <s v="ca"/>
    <n v="43"/>
    <x v="772"/>
    <s v="black"/>
    <s v="black"/>
    <s v="financial services remarketing (lease)"/>
    <n v="34300"/>
    <x v="238"/>
    <s v="Thu Dec 18 2014 12:30:00 GMT-0800 (PST)"/>
    <n v="2014"/>
    <x v="18"/>
    <x v="1"/>
    <s v="Medium"/>
  </r>
  <r>
    <n v="2012"/>
    <x v="1"/>
    <x v="16"/>
    <x v="14"/>
    <x v="1"/>
    <s v="automatic"/>
    <s v="wbaxg5c53cdx03875"/>
    <s v="ca"/>
    <n v="41"/>
    <x v="773"/>
    <s v="white"/>
    <s v="tan"/>
    <s v="financial services remarketing (lease)"/>
    <n v="31000"/>
    <x v="282"/>
    <s v="Thu Jan 15 2015 04:30:00 GMT-0800 (PST)"/>
    <n v="2015"/>
    <x v="18"/>
    <x v="1"/>
    <s v="Medium"/>
  </r>
  <r>
    <n v="2012"/>
    <x v="1"/>
    <x v="14"/>
    <x v="128"/>
    <x v="2"/>
    <s v="automatic"/>
    <s v="wbalw7c59cc618669"/>
    <s v="ca"/>
    <n v="41"/>
    <x v="774"/>
    <s v="white"/>
    <s v="black"/>
    <s v="financial services remarketing (lease)"/>
    <n v="42300"/>
    <x v="70"/>
    <s v="Thu Jan 15 2015 04:30:00 GMT-0800 (PST)"/>
    <n v="2015"/>
    <x v="225"/>
    <x v="1"/>
    <s v="Medium"/>
  </r>
  <r>
    <n v="2012"/>
    <x v="1"/>
    <x v="1"/>
    <x v="126"/>
    <x v="1"/>
    <s v="automatic"/>
    <s v="wba3a5c59cf259549"/>
    <s v="ca"/>
    <n v="45"/>
    <x v="775"/>
    <s v="brown"/>
    <s v="black"/>
    <s v="financial services remarketing (lease)"/>
    <n v="24600"/>
    <x v="107"/>
    <s v="Thu Dec 18 2014 12:30:00 GMT-0800 (PST)"/>
    <n v="2014"/>
    <x v="223"/>
    <x v="1"/>
    <s v="Medium"/>
  </r>
  <r>
    <n v="2012"/>
    <x v="1"/>
    <x v="16"/>
    <x v="14"/>
    <x v="1"/>
    <s v="automatic"/>
    <s v="wbaxg5c54cdx02654"/>
    <s v="ca"/>
    <n v="44"/>
    <x v="776"/>
    <s v="blue"/>
    <s v="â€”"/>
    <s v="financial services remarketing (lease)"/>
    <n v="33800"/>
    <x v="198"/>
    <s v="Thu Dec 18 2014 12:30:00 GMT-0800 (PST)"/>
    <n v="2014"/>
    <x v="18"/>
    <x v="1"/>
    <s v="Medium"/>
  </r>
  <r>
    <n v="2012"/>
    <x v="5"/>
    <x v="149"/>
    <x v="134"/>
    <x v="3"/>
    <s v="automatic"/>
    <s v="waulfafr6ca037394"/>
    <s v="ca"/>
    <n v="38"/>
    <x v="777"/>
    <s v="white"/>
    <s v="black"/>
    <s v="porsche of downtown la"/>
    <n v="25000"/>
    <x v="56"/>
    <s v="Thu Dec 18 2014 12:30:00 GMT-0800 (PST)"/>
    <n v="2014"/>
    <x v="234"/>
    <x v="2"/>
    <s v="Medium"/>
  </r>
  <r>
    <n v="2012"/>
    <x v="1"/>
    <x v="16"/>
    <x v="14"/>
    <x v="1"/>
    <s v="automatic"/>
    <s v="wbaxg5c53cdw24139"/>
    <s v="ca"/>
    <n v="42"/>
    <x v="778"/>
    <s v="gray"/>
    <s v="black"/>
    <s v="financial services remarketing (lease)"/>
    <n v="28900"/>
    <x v="266"/>
    <s v="Thu Jan 15 2015 04:30:00 GMT-0800 (PST)"/>
    <n v="2015"/>
    <x v="18"/>
    <x v="1"/>
    <s v="Medium"/>
  </r>
  <r>
    <n v="2012"/>
    <x v="1"/>
    <x v="16"/>
    <x v="14"/>
    <x v="1"/>
    <s v="automatic"/>
    <s v="wbaxg5c53cdw24979"/>
    <s v="ca"/>
    <n v="44"/>
    <x v="779"/>
    <s v="white"/>
    <s v="â€”"/>
    <s v="financial services remarketing (lease)"/>
    <n v="25500"/>
    <x v="53"/>
    <s v="Thu Jan 29 2015 04:30:00 GMT-0800 (PST)"/>
    <n v="2015"/>
    <x v="18"/>
    <x v="1"/>
    <s v="Medium"/>
  </r>
  <r>
    <n v="2012"/>
    <x v="10"/>
    <x v="145"/>
    <x v="5"/>
    <x v="1"/>
    <s v="automatic"/>
    <s v="19uua8f26ca035583"/>
    <s v="ca"/>
    <n v="37"/>
    <x v="780"/>
    <s v="silver"/>
    <s v="black"/>
    <s v="ahfc/honda lease trust/hvt  inc."/>
    <n v="19700"/>
    <x v="288"/>
    <s v="Thu Dec 18 2014 12:00:00 GMT-0800 (PST)"/>
    <n v="2014"/>
    <x v="226"/>
    <x v="2"/>
    <s v="Medium"/>
  </r>
  <r>
    <n v="2012"/>
    <x v="1"/>
    <x v="16"/>
    <x v="14"/>
    <x v="1"/>
    <s v="automatic"/>
    <s v="wbaxg5c57cdw24497"/>
    <s v="ca"/>
    <n v="43"/>
    <x v="781"/>
    <s v="black"/>
    <s v="black"/>
    <s v="financial services remarketing (lease)"/>
    <n v="33300"/>
    <x v="238"/>
    <s v="Thu Dec 18 2014 12:30:00 GMT-0800 (PST)"/>
    <n v="2014"/>
    <x v="18"/>
    <x v="1"/>
    <s v="Medium"/>
  </r>
  <r>
    <n v="2012"/>
    <x v="1"/>
    <x v="1"/>
    <x v="133"/>
    <x v="3"/>
    <s v="automatic"/>
    <s v="wbakg7c50ce802444"/>
    <s v="ca"/>
    <n v="45"/>
    <x v="782"/>
    <s v="gray"/>
    <s v="â€”"/>
    <s v="financial services remarketing (lease)"/>
    <n v="31800"/>
    <x v="289"/>
    <s v="Thu Dec 18 2014 12:30:00 GMT-0800 (PST)"/>
    <n v="2014"/>
    <x v="233"/>
    <x v="1"/>
    <s v="Medium"/>
  </r>
  <r>
    <n v="2012"/>
    <x v="1"/>
    <x v="16"/>
    <x v="129"/>
    <x v="1"/>
    <s v="automatic"/>
    <s v="wbafr7c59cc808346"/>
    <s v="ca"/>
    <n v="27"/>
    <x v="783"/>
    <s v="gray"/>
    <s v="black"/>
    <s v="financial services remarketing (lease)"/>
    <n v="34200"/>
    <x v="290"/>
    <s v="Thu Dec 18 2014 12:30:00 GMT-0800 (PST)"/>
    <n v="2014"/>
    <x v="227"/>
    <x v="2"/>
    <s v="Medium"/>
  </r>
  <r>
    <n v="2012"/>
    <x v="1"/>
    <x v="144"/>
    <x v="135"/>
    <x v="2"/>
    <s v="automatic"/>
    <s v="wbaun1c59cvh84475"/>
    <s v="ca"/>
    <n v="44"/>
    <x v="784"/>
    <s v="blue"/>
    <s v="brown"/>
    <s v="financial services remarketing (lease)"/>
    <n v="23300"/>
    <x v="105"/>
    <s v="Thu Jan 29 2015 04:30:00 GMT-0800 (PST)"/>
    <n v="2015"/>
    <x v="235"/>
    <x v="1"/>
    <s v="Medium"/>
  </r>
  <r>
    <n v="2012"/>
    <x v="10"/>
    <x v="142"/>
    <x v="136"/>
    <x v="1"/>
    <s v="automatic"/>
    <s v="jh4cu2f8xcc014175"/>
    <s v="ca"/>
    <n v="37"/>
    <x v="785"/>
    <s v="white"/>
    <s v="black"/>
    <s v="ahfc/honda lease trust/hvt  inc. eot"/>
    <n v="18100"/>
    <x v="228"/>
    <s v="Thu Dec 18 2014 12:00:00 GMT-0800 (PST)"/>
    <n v="2014"/>
    <x v="236"/>
    <x v="2"/>
    <s v="Medium"/>
  </r>
  <r>
    <n v="2012"/>
    <x v="1"/>
    <x v="1"/>
    <x v="126"/>
    <x v="2"/>
    <s v="automatic"/>
    <s v="wbadw7c56ce729432"/>
    <s v="ca"/>
    <n v="48"/>
    <x v="786"/>
    <s v="gray"/>
    <s v="gray"/>
    <s v="financial services remarketing (lease)"/>
    <n v="30700"/>
    <x v="291"/>
    <s v="Thu Dec 18 2014 12:30:00 GMT-0800 (PST)"/>
    <n v="2014"/>
    <x v="223"/>
    <x v="1"/>
    <s v="Medium"/>
  </r>
  <r>
    <n v="2012"/>
    <x v="1"/>
    <x v="1"/>
    <x v="126"/>
    <x v="2"/>
    <s v="automatic"/>
    <s v="wbadw7c58ce728380"/>
    <s v="ca"/>
    <n v="42"/>
    <x v="787"/>
    <s v="gray"/>
    <s v="black"/>
    <s v="financial services remarketing (lease)"/>
    <n v="28300"/>
    <x v="34"/>
    <s v="Thu Dec 18 2014 12:30:00 GMT-0800 (PST)"/>
    <n v="2014"/>
    <x v="223"/>
    <x v="1"/>
    <s v="Medium"/>
  </r>
  <r>
    <n v="2012"/>
    <x v="10"/>
    <x v="142"/>
    <x v="136"/>
    <x v="1"/>
    <s v="automatic"/>
    <s v="jh4cu2f87cc007412"/>
    <s v="ca"/>
    <n v="45"/>
    <x v="788"/>
    <s v="red"/>
    <s v="black"/>
    <s v="ahfc/honda lease trust/hvt  inc. eot"/>
    <n v="17700"/>
    <x v="155"/>
    <s v="Thu Dec 18 2014 12:00:00 GMT-0800 (PST)"/>
    <n v="2014"/>
    <x v="236"/>
    <x v="1"/>
    <s v="Medium"/>
  </r>
  <r>
    <n v="2012"/>
    <x v="1"/>
    <x v="141"/>
    <x v="137"/>
    <x v="12"/>
    <s v="automatic"/>
    <s v="wbaka8c54ccy37992"/>
    <s v="ca"/>
    <n v="49"/>
    <x v="789"/>
    <s v="white"/>
    <s v="gray"/>
    <s v="financial services remarketing (lease)"/>
    <n v="31300"/>
    <x v="66"/>
    <s v="Thu Dec 18 2014 12:30:00 GMT-0800 (PST)"/>
    <n v="2014"/>
    <x v="237"/>
    <x v="1"/>
    <s v="Medium"/>
  </r>
  <r>
    <n v="2012"/>
    <x v="1"/>
    <x v="146"/>
    <x v="28"/>
    <x v="12"/>
    <s v="automatic"/>
    <s v="wbakb8c56cc963431"/>
    <s v="ca"/>
    <n v="34"/>
    <x v="790"/>
    <s v="white"/>
    <s v="gray"/>
    <s v="financial services remarketing (lease)"/>
    <n v="47000"/>
    <x v="219"/>
    <s v="Thu Dec 18 2014 12:30:00 GMT-0800 (PST)"/>
    <n v="2014"/>
    <x v="229"/>
    <x v="2"/>
    <s v="Medium"/>
  </r>
  <r>
    <n v="2012"/>
    <x v="1"/>
    <x v="1"/>
    <x v="126"/>
    <x v="2"/>
    <s v="automatic"/>
    <s v="wbadw7c57ce729732"/>
    <s v="ca"/>
    <n v="36"/>
    <x v="791"/>
    <s v="blue"/>
    <s v="off-white"/>
    <s v="financial services remarketing (lease)"/>
    <n v="27500"/>
    <x v="87"/>
    <s v="Thu Jan 29 2015 04:30:00 GMT-0800 (PST)"/>
    <n v="2015"/>
    <x v="223"/>
    <x v="2"/>
    <s v="Medium"/>
  </r>
  <r>
    <n v="2012"/>
    <x v="1"/>
    <x v="1"/>
    <x v="126"/>
    <x v="2"/>
    <s v="automatic"/>
    <s v="wbadw7c52ce729136"/>
    <s v="ca"/>
    <n v="35"/>
    <x v="792"/>
    <s v="silver"/>
    <s v="off-white"/>
    <s v="financial services remarketing (lease)"/>
    <n v="27800"/>
    <x v="34"/>
    <s v="Thu Dec 18 2014 12:30:00 GMT-0800 (PST)"/>
    <n v="2014"/>
    <x v="223"/>
    <x v="2"/>
    <s v="Medium"/>
  </r>
  <r>
    <n v="2012"/>
    <x v="1"/>
    <x v="1"/>
    <x v="133"/>
    <x v="2"/>
    <s v="automatic"/>
    <s v="wbadx7c54ce744332"/>
    <s v="ca"/>
    <n v="43"/>
    <x v="793"/>
    <s v="black"/>
    <s v="â€”"/>
    <s v="financial services remarketing (lease)"/>
    <n v="29800"/>
    <x v="291"/>
    <s v="Thu Dec 18 2014 12:30:00 GMT-0800 (PST)"/>
    <n v="2014"/>
    <x v="233"/>
    <x v="1"/>
    <s v="Medium"/>
  </r>
  <r>
    <n v="2012"/>
    <x v="26"/>
    <x v="36"/>
    <x v="121"/>
    <x v="12"/>
    <s v="automatic"/>
    <s v="wbakb8c59cc448049"/>
    <s v="ca"/>
    <n v="48"/>
    <x v="794"/>
    <s v="â€”"/>
    <s v="gray"/>
    <s v="financial services remarketing (lease)"/>
    <n v="58100"/>
    <x v="292"/>
    <s v="Thu Jan 15 2015 04:30:00 GMT-0800 (PST)"/>
    <n v="2015"/>
    <x v="217"/>
    <x v="1"/>
    <s v="High"/>
  </r>
  <r>
    <n v="2012"/>
    <x v="1"/>
    <x v="141"/>
    <x v="137"/>
    <x v="12"/>
    <s v="automatic"/>
    <s v="wbaka8c59cds99963"/>
    <s v="ca"/>
    <n v="39"/>
    <x v="795"/>
    <s v="blue"/>
    <s v="gray"/>
    <s v="financial services remarketing (lease)"/>
    <n v="34800"/>
    <x v="200"/>
    <s v="Thu Dec 18 2014 12:30:00 GMT-0800 (PST)"/>
    <n v="2014"/>
    <x v="237"/>
    <x v="2"/>
    <s v="Medium"/>
  </r>
  <r>
    <n v="2012"/>
    <x v="1"/>
    <x v="14"/>
    <x v="3"/>
    <x v="2"/>
    <s v="automatic"/>
    <s v="wbalz3c59cdl72460"/>
    <s v="ca"/>
    <n v="38"/>
    <x v="796"/>
    <s v="white"/>
    <s v="â€”"/>
    <s v="financial services remarketing (lease)"/>
    <n v="50000"/>
    <x v="293"/>
    <s v="Thu Dec 18 2014 12:30:00 GMT-0800 (PST)"/>
    <n v="2014"/>
    <x v="16"/>
    <x v="2"/>
    <s v="High"/>
  </r>
  <r>
    <n v="2012"/>
    <x v="1"/>
    <x v="143"/>
    <x v="130"/>
    <x v="1"/>
    <s v="automatic"/>
    <s v="wbakb4c5xcc575577"/>
    <s v="ca"/>
    <n v="39"/>
    <x v="797"/>
    <s v="black"/>
    <s v="black"/>
    <s v="financial services remarketing (lease)"/>
    <n v="41800"/>
    <x v="283"/>
    <s v="Thu Dec 18 2014 12:30:00 GMT-0800 (PST)"/>
    <n v="2014"/>
    <x v="228"/>
    <x v="2"/>
    <s v="Medium"/>
  </r>
  <r>
    <n v="2012"/>
    <x v="10"/>
    <x v="145"/>
    <x v="5"/>
    <x v="1"/>
    <s v="automatic"/>
    <s v="19uua8f24ca004980"/>
    <s v="ca"/>
    <n v="42"/>
    <x v="798"/>
    <s v="black"/>
    <s v="beige"/>
    <s v="ahfc/honda lease trust/hvt  inc. eot"/>
    <n v="18900"/>
    <x v="126"/>
    <s v="Thu Dec 18 2014 12:00:00 GMT-0800 (PST)"/>
    <n v="2014"/>
    <x v="226"/>
    <x v="1"/>
    <s v="Medium"/>
  </r>
  <r>
    <n v="2012"/>
    <x v="26"/>
    <x v="36"/>
    <x v="121"/>
    <x v="12"/>
    <s v="automatic"/>
    <s v="wbakb8c58cc962863"/>
    <s v="ca"/>
    <n v="49"/>
    <x v="799"/>
    <s v="blue"/>
    <s v="tan"/>
    <s v="financial services remarketing (lease)"/>
    <n v="45200"/>
    <x v="28"/>
    <s v="Thu Jan 29 2015 04:30:00 GMT-0800 (PST)"/>
    <n v="2015"/>
    <x v="217"/>
    <x v="1"/>
    <s v="Medium"/>
  </r>
  <r>
    <n v="2012"/>
    <x v="1"/>
    <x v="14"/>
    <x v="128"/>
    <x v="2"/>
    <s v="automatic"/>
    <s v="wbalw7c58cc618677"/>
    <s v="ca"/>
    <n v="41"/>
    <x v="800"/>
    <s v="black"/>
    <s v="â€”"/>
    <s v="financial services remarketing (lease)"/>
    <n v="41400"/>
    <x v="15"/>
    <s v="Thu Jan 15 2015 04:30:00 GMT-0800 (PST)"/>
    <n v="2015"/>
    <x v="225"/>
    <x v="1"/>
    <s v="Medium"/>
  </r>
  <r>
    <n v="2012"/>
    <x v="10"/>
    <x v="142"/>
    <x v="5"/>
    <x v="1"/>
    <s v="automatic"/>
    <s v="jh4cu2f48cc010509"/>
    <s v="ca"/>
    <n v="42"/>
    <x v="801"/>
    <s v="gray"/>
    <s v="black"/>
    <s v="ahfc/honda lease trust/hvt  inc. eot"/>
    <n v="16800"/>
    <x v="134"/>
    <s v="Thu Dec 18 2014 12:00:00 GMT-0800 (PST)"/>
    <n v="2014"/>
    <x v="219"/>
    <x v="1"/>
    <s v="Medium"/>
  </r>
  <r>
    <n v="2012"/>
    <x v="1"/>
    <x v="144"/>
    <x v="135"/>
    <x v="3"/>
    <s v="manual"/>
    <s v="wbaup9c54cvf46588"/>
    <s v="ca"/>
    <n v="29"/>
    <x v="802"/>
    <s v="blue"/>
    <s v="gray"/>
    <s v="financial services remarketing (lease)"/>
    <n v="18100"/>
    <x v="135"/>
    <s v="Thu Dec 18 2014 12:30:00 GMT-0800 (PST)"/>
    <n v="2014"/>
    <x v="235"/>
    <x v="2"/>
    <s v="Low"/>
  </r>
  <r>
    <n v="2012"/>
    <x v="1"/>
    <x v="143"/>
    <x v="130"/>
    <x v="1"/>
    <s v="automatic"/>
    <s v="wbakb4c5xcc576244"/>
    <s v="ca"/>
    <n v="36"/>
    <x v="803"/>
    <s v="white"/>
    <s v="gray"/>
    <s v="financial services remarketing (lease)"/>
    <n v="43200"/>
    <x v="194"/>
    <s v="Thu Jan 15 2015 04:30:00 GMT-0800 (PST)"/>
    <n v="2015"/>
    <x v="228"/>
    <x v="2"/>
    <s v="Medium"/>
  </r>
  <r>
    <n v="2012"/>
    <x v="10"/>
    <x v="150"/>
    <x v="22"/>
    <x v="0"/>
    <m/>
    <s v="5j8tb2h54ca000490"/>
    <s v="ca"/>
    <n v="4"/>
    <x v="804"/>
    <s v="gray"/>
    <s v="beige"/>
    <s v="ahfc/honda lease trust/hvt  inc. eot"/>
    <n v="22700"/>
    <x v="114"/>
    <s v="Thu Dec 18 2014 12:00:00 GMT-0800 (PST)"/>
    <n v="2014"/>
    <x v="238"/>
    <x v="0"/>
    <s v="Medium"/>
  </r>
  <r>
    <n v="2012"/>
    <x v="1"/>
    <x v="151"/>
    <x v="5"/>
    <x v="2"/>
    <s v="automatic"/>
    <s v="wbsdx9c50ce784530"/>
    <s v="ca"/>
    <n v="35"/>
    <x v="805"/>
    <s v="black"/>
    <s v="black"/>
    <s v="financial services remarketing (lease)"/>
    <n v="42000"/>
    <x v="280"/>
    <s v="Thu Dec 18 2014 12:30:00 GMT-0800 (PST)"/>
    <n v="2014"/>
    <x v="239"/>
    <x v="2"/>
    <s v="Medium"/>
  </r>
  <r>
    <n v="2012"/>
    <x v="1"/>
    <x v="1"/>
    <x v="126"/>
    <x v="1"/>
    <s v="automatic"/>
    <s v="wba3a5c5xcfj88779"/>
    <s v="ca"/>
    <n v="44"/>
    <x v="806"/>
    <s v="gray"/>
    <s v="â€”"/>
    <s v="financial services remarketing (lease)"/>
    <n v="26600"/>
    <x v="86"/>
    <s v="Thu Jan 15 2015 04:30:00 GMT-0800 (PST)"/>
    <n v="2015"/>
    <x v="223"/>
    <x v="1"/>
    <s v="Medium"/>
  </r>
  <r>
    <n v="2012"/>
    <x v="1"/>
    <x v="16"/>
    <x v="138"/>
    <x v="1"/>
    <s v="automatic"/>
    <s v="wbafr9c5xcdv58413"/>
    <s v="ca"/>
    <n v="47"/>
    <x v="807"/>
    <s v="black"/>
    <s v="black"/>
    <s v="financial services remarketing (lease)"/>
    <n v="40200"/>
    <x v="280"/>
    <s v="Thu Dec 18 2014 12:30:00 GMT-0800 (PST)"/>
    <n v="2014"/>
    <x v="240"/>
    <x v="1"/>
    <s v="Medium"/>
  </r>
  <r>
    <n v="2012"/>
    <x v="1"/>
    <x v="14"/>
    <x v="3"/>
    <x v="2"/>
    <s v="automatic"/>
    <s v="wbalz3c58cdl71784"/>
    <s v="ca"/>
    <n v="4"/>
    <x v="808"/>
    <s v="gray"/>
    <s v="black"/>
    <s v="financial services remarketing (lease)"/>
    <n v="48600"/>
    <x v="252"/>
    <s v="Thu Dec 18 2014 12:30:00 GMT-0800 (PST)"/>
    <n v="2014"/>
    <x v="16"/>
    <x v="0"/>
    <s v="Medium"/>
  </r>
  <r>
    <n v="2012"/>
    <x v="1"/>
    <x v="1"/>
    <x v="126"/>
    <x v="3"/>
    <s v="automatic"/>
    <s v="wbake5c54ce755722"/>
    <s v="ca"/>
    <n v="47"/>
    <x v="809"/>
    <s v="black"/>
    <s v="black"/>
    <s v="financial services remarketing (lease)"/>
    <n v="22300"/>
    <x v="105"/>
    <s v="Thu Dec 18 2014 12:30:00 GMT-0800 (PST)"/>
    <n v="2014"/>
    <x v="223"/>
    <x v="1"/>
    <s v="Medium"/>
  </r>
  <r>
    <n v="2012"/>
    <x v="1"/>
    <x v="146"/>
    <x v="28"/>
    <x v="12"/>
    <s v="automatic"/>
    <s v="wbakb8c56cc964045"/>
    <s v="ca"/>
    <n v="49"/>
    <x v="810"/>
    <s v="gray"/>
    <s v="black"/>
    <s v="financial services remarketing (lease)"/>
    <n v="49000"/>
    <x v="281"/>
    <s v="Thu Dec 18 2014 12:30:00 GMT-0800 (PST)"/>
    <n v="2014"/>
    <x v="229"/>
    <x v="1"/>
    <s v="Medium"/>
  </r>
  <r>
    <n v="2012"/>
    <x v="1"/>
    <x v="14"/>
    <x v="128"/>
    <x v="2"/>
    <s v="automatic"/>
    <s v="wbalw7c56cc618502"/>
    <s v="ca"/>
    <n v="48"/>
    <x v="811"/>
    <s v="gray"/>
    <s v="black"/>
    <s v="financial services remarketing (lease)"/>
    <n v="43000"/>
    <x v="28"/>
    <s v="Thu Dec 18 2014 12:30:00 GMT-0800 (PST)"/>
    <n v="2014"/>
    <x v="225"/>
    <x v="1"/>
    <s v="Medium"/>
  </r>
  <r>
    <n v="2012"/>
    <x v="1"/>
    <x v="14"/>
    <x v="139"/>
    <x v="2"/>
    <s v="automatic"/>
    <s v="wbalz5c56cc619497"/>
    <s v="ca"/>
    <n v="33"/>
    <x v="812"/>
    <s v="gray"/>
    <s v="black"/>
    <s v="financial services remarketing (lease)"/>
    <n v="47000"/>
    <x v="217"/>
    <s v="Thu Dec 18 2014 12:30:00 GMT-0800 (PST)"/>
    <n v="2014"/>
    <x v="241"/>
    <x v="2"/>
    <s v="Medium"/>
  </r>
  <r>
    <n v="2012"/>
    <x v="1"/>
    <x v="14"/>
    <x v="3"/>
    <x v="2"/>
    <s v="automatic"/>
    <s v="wbalz3c55cdl70821"/>
    <s v="ca"/>
    <n v="44"/>
    <x v="813"/>
    <s v="white"/>
    <s v="â€”"/>
    <s v="financial services remarketing (lease)"/>
    <n v="43500"/>
    <x v="294"/>
    <s v="Thu Dec 18 2014 12:30:00 GMT-0800 (PST)"/>
    <n v="2014"/>
    <x v="16"/>
    <x v="1"/>
    <s v="Medium"/>
  </r>
  <r>
    <n v="2012"/>
    <x v="1"/>
    <x v="14"/>
    <x v="3"/>
    <x v="2"/>
    <s v="automatic"/>
    <s v="wbalz3c54cdl72186"/>
    <s v="ca"/>
    <n v="45"/>
    <x v="814"/>
    <s v="white"/>
    <s v="â€”"/>
    <s v="financial services remarketing (lease)"/>
    <n v="50400"/>
    <x v="295"/>
    <s v="Thu Dec 18 2014 12:30:00 GMT-0800 (PST)"/>
    <n v="2014"/>
    <x v="16"/>
    <x v="1"/>
    <s v="High"/>
  </r>
  <r>
    <n v="2012"/>
    <x v="1"/>
    <x v="141"/>
    <x v="137"/>
    <x v="12"/>
    <s v="automatic"/>
    <s v="wbaka8c51ccy37982"/>
    <s v="ca"/>
    <n v="4"/>
    <x v="815"/>
    <s v="gray"/>
    <s v="blue"/>
    <s v="financial services remarketing (lease)"/>
    <n v="34000"/>
    <x v="200"/>
    <s v="Thu Dec 18 2014 12:30:00 GMT-0800 (PST)"/>
    <n v="2014"/>
    <x v="237"/>
    <x v="0"/>
    <s v="Medium"/>
  </r>
  <r>
    <n v="2012"/>
    <x v="1"/>
    <x v="144"/>
    <x v="135"/>
    <x v="2"/>
    <s v="automatic"/>
    <s v="wbaun1c57cvr00222"/>
    <s v="ca"/>
    <n v="35"/>
    <x v="816"/>
    <s v="black"/>
    <s v="black"/>
    <s v="financial services remarketing (lease)"/>
    <n v="24100"/>
    <x v="200"/>
    <s v="Thu Dec 18 2014 12:30:00 GMT-0800 (PST)"/>
    <n v="2014"/>
    <x v="235"/>
    <x v="2"/>
    <s v="Medium"/>
  </r>
  <r>
    <n v="2012"/>
    <x v="17"/>
    <x v="152"/>
    <x v="89"/>
    <x v="5"/>
    <s v="manual"/>
    <s v="wmwsx3c58ct408212"/>
    <s v="ca"/>
    <n v="42"/>
    <x v="817"/>
    <s v="gray"/>
    <s v="black"/>
    <s v="mckenna audi/mckenna bmw"/>
    <n v="13700"/>
    <x v="229"/>
    <s v="Wed Dec 17 2014 12:30:00 GMT-0800 (PST)"/>
    <n v="2014"/>
    <x v="242"/>
    <x v="1"/>
    <s v="Low"/>
  </r>
  <r>
    <n v="2012"/>
    <x v="5"/>
    <x v="149"/>
    <x v="134"/>
    <x v="3"/>
    <s v="automatic"/>
    <s v="waulfafr6ca006081"/>
    <s v="ca"/>
    <n v="41"/>
    <x v="818"/>
    <s v="white"/>
    <s v="black"/>
    <s v="aaero sweet company"/>
    <n v="24700"/>
    <x v="90"/>
    <s v="Tue Dec 23 2014 12:00:00 GMT-0800 (PST)"/>
    <n v="2014"/>
    <x v="234"/>
    <x v="1"/>
    <s v="Medium"/>
  </r>
  <r>
    <n v="2012"/>
    <x v="1"/>
    <x v="16"/>
    <x v="14"/>
    <x v="1"/>
    <s v="automatic"/>
    <s v="wbaxg5c5xcc594269"/>
    <s v="ca"/>
    <n v="34"/>
    <x v="819"/>
    <s v="gray"/>
    <s v="â€”"/>
    <s v="financial services remarketing (lease)"/>
    <n v="29700"/>
    <x v="59"/>
    <s v="Thu Jan 29 2015 04:30:00 GMT-0800 (PST)"/>
    <n v="2015"/>
    <x v="18"/>
    <x v="2"/>
    <s v="Medium"/>
  </r>
  <r>
    <n v="2012"/>
    <x v="1"/>
    <x v="1"/>
    <x v="126"/>
    <x v="1"/>
    <m/>
    <s v="wba3c1c50ca696789"/>
    <s v="ca"/>
    <n v="2"/>
    <x v="820"/>
    <s v="white"/>
    <s v="beige"/>
    <s v="gm financial"/>
    <n v="25300"/>
    <x v="247"/>
    <s v="Wed Dec 17 2014 11:00:00 GMT-0800 (PST)"/>
    <n v="2014"/>
    <x v="223"/>
    <x v="0"/>
    <s v="Low"/>
  </r>
  <r>
    <n v="2012"/>
    <x v="1"/>
    <x v="16"/>
    <x v="14"/>
    <x v="1"/>
    <s v="automatic"/>
    <s v="wbaxg5c55cdw85315"/>
    <s v="ca"/>
    <n v="42"/>
    <x v="821"/>
    <s v="black"/>
    <s v="black"/>
    <s v="financial services remarketing (lease)"/>
    <n v="29900"/>
    <x v="296"/>
    <s v="Thu Jan 29 2015 04:30:00 GMT-0800 (PST)"/>
    <n v="2015"/>
    <x v="18"/>
    <x v="1"/>
    <s v="Medium"/>
  </r>
  <r>
    <n v="2012"/>
    <x v="1"/>
    <x v="151"/>
    <x v="5"/>
    <x v="2"/>
    <s v="automatic"/>
    <s v="wbsdx9c56ce784810"/>
    <s v="ca"/>
    <n v="47"/>
    <x v="822"/>
    <s v="â€”"/>
    <s v="black"/>
    <s v="financial services remarketing (lease)"/>
    <n v="42800"/>
    <x v="294"/>
    <s v="Thu Dec 18 2014 12:30:00 GMT-0800 (PST)"/>
    <n v="2014"/>
    <x v="239"/>
    <x v="1"/>
    <s v="Medium"/>
  </r>
  <r>
    <n v="2012"/>
    <x v="1"/>
    <x v="143"/>
    <x v="124"/>
    <x v="1"/>
    <s v="automatic"/>
    <s v="wbaka4c52cds99120"/>
    <s v="ca"/>
    <n v="46"/>
    <x v="823"/>
    <s v="white"/>
    <s v="black"/>
    <s v="financial services remarketing (lease)"/>
    <n v="33900"/>
    <x v="198"/>
    <s v="Thu Dec 18 2014 12:30:00 GMT-0800 (PST)"/>
    <n v="2014"/>
    <x v="221"/>
    <x v="1"/>
    <s v="Medium"/>
  </r>
  <r>
    <n v="2012"/>
    <x v="1"/>
    <x v="1"/>
    <x v="133"/>
    <x v="3"/>
    <s v="manual"/>
    <s v="wbakg7c55ce263223"/>
    <s v="ca"/>
    <n v="42"/>
    <x v="824"/>
    <s v="gray"/>
    <s v="gray"/>
    <s v="financial services remarketing (lease)"/>
    <n v="31300"/>
    <x v="198"/>
    <s v="Thu Dec 18 2014 12:30:00 GMT-0800 (PST)"/>
    <n v="2014"/>
    <x v="233"/>
    <x v="1"/>
    <s v="Medium"/>
  </r>
  <r>
    <n v="2012"/>
    <x v="1"/>
    <x v="1"/>
    <x v="126"/>
    <x v="2"/>
    <s v="automatic"/>
    <s v="wbadw7c53ce729632"/>
    <s v="ca"/>
    <n v="49"/>
    <x v="825"/>
    <s v="gray"/>
    <s v="black"/>
    <s v="financial services remarketing (lease)"/>
    <n v="28000"/>
    <x v="34"/>
    <s v="Thu Dec 18 2014 12:30:00 GMT-0800 (PST)"/>
    <n v="2014"/>
    <x v="223"/>
    <x v="1"/>
    <s v="Medium"/>
  </r>
  <r>
    <n v="2012"/>
    <x v="1"/>
    <x v="16"/>
    <x v="129"/>
    <x v="1"/>
    <s v="automatic"/>
    <s v="wbafr7c52cc807958"/>
    <s v="ca"/>
    <n v="43"/>
    <x v="826"/>
    <s v="white"/>
    <s v="black"/>
    <s v="the car exchange"/>
    <n v="34000"/>
    <x v="22"/>
    <s v="Thu Dec 18 2014 12:30:00 GMT-0800 (PST)"/>
    <n v="2014"/>
    <x v="227"/>
    <x v="1"/>
    <s v="Medium"/>
  </r>
  <r>
    <n v="2012"/>
    <x v="1"/>
    <x v="1"/>
    <x v="126"/>
    <x v="1"/>
    <s v="automatic"/>
    <s v="wba3a5c5xcf346666"/>
    <s v="ca"/>
    <n v="41"/>
    <x v="827"/>
    <s v="black"/>
    <s v="black"/>
    <s v="financial services remarketing (lease)"/>
    <n v="23900"/>
    <x v="102"/>
    <s v="Thu Dec 18 2014 12:30:00 GMT-0800 (PST)"/>
    <n v="2014"/>
    <x v="223"/>
    <x v="1"/>
    <s v="Medium"/>
  </r>
  <r>
    <n v="2012"/>
    <x v="1"/>
    <x v="14"/>
    <x v="3"/>
    <x v="2"/>
    <s v="automatic"/>
    <s v="wbalz3c54cdl72740"/>
    <s v="ca"/>
    <n v="44"/>
    <x v="828"/>
    <s v="white"/>
    <s v="â€”"/>
    <s v="financial services remarketing (lease)"/>
    <n v="49400"/>
    <x v="203"/>
    <s v="Thu Dec 18 2014 12:30:00 GMT-0800 (PST)"/>
    <n v="2014"/>
    <x v="16"/>
    <x v="1"/>
    <s v="High"/>
  </r>
  <r>
    <n v="2012"/>
    <x v="1"/>
    <x v="144"/>
    <x v="135"/>
    <x v="2"/>
    <s v="automatic"/>
    <s v="wbaun1c54cvh84268"/>
    <s v="ca"/>
    <n v="46"/>
    <x v="829"/>
    <s v="white"/>
    <s v="â€”"/>
    <s v="financial services remarketing (lease)"/>
    <n v="25000"/>
    <x v="85"/>
    <s v="Thu Dec 18 2014 12:30:00 GMT-0800 (PST)"/>
    <n v="2014"/>
    <x v="235"/>
    <x v="1"/>
    <s v="Medium"/>
  </r>
  <r>
    <n v="2012"/>
    <x v="1"/>
    <x v="1"/>
    <x v="133"/>
    <x v="3"/>
    <s v="manual"/>
    <s v="wbakg7c55ce263156"/>
    <s v="ca"/>
    <n v="47"/>
    <x v="830"/>
    <s v="black"/>
    <s v="beige"/>
    <s v="financial services remarketing (lease)"/>
    <n v="32600"/>
    <x v="238"/>
    <s v="Thu Dec 18 2014 12:30:00 GMT-0800 (PST)"/>
    <n v="2014"/>
    <x v="233"/>
    <x v="1"/>
    <s v="Medium"/>
  </r>
  <r>
    <n v="2012"/>
    <x v="1"/>
    <x v="14"/>
    <x v="3"/>
    <x v="2"/>
    <s v="automatic"/>
    <s v="wbalz3c52cdl70551"/>
    <s v="ca"/>
    <n v="49"/>
    <x v="831"/>
    <s v="gray"/>
    <s v="â€”"/>
    <s v="financial services remarketing (lease)"/>
    <n v="49200"/>
    <x v="284"/>
    <s v="Thu Feb 12 2015 04:30:00 GMT-0800 (PST)"/>
    <n v="2015"/>
    <x v="16"/>
    <x v="1"/>
    <s v="Medium"/>
  </r>
  <r>
    <n v="2012"/>
    <x v="1"/>
    <x v="141"/>
    <x v="137"/>
    <x v="12"/>
    <s v="automatic"/>
    <s v="wbaka8c59ccy37616"/>
    <s v="ca"/>
    <n v="35"/>
    <x v="499"/>
    <s v="black"/>
    <s v="black"/>
    <s v="financial services remarketing (lease)"/>
    <n v="33500"/>
    <x v="198"/>
    <s v="Thu Dec 18 2014 12:30:00 GMT-0800 (PST)"/>
    <n v="2014"/>
    <x v="237"/>
    <x v="2"/>
    <s v="Medium"/>
  </r>
  <r>
    <n v="2012"/>
    <x v="1"/>
    <x v="14"/>
    <x v="3"/>
    <x v="2"/>
    <s v="automatic"/>
    <s v="wbalz3c58cdl70649"/>
    <s v="ca"/>
    <n v="36"/>
    <x v="832"/>
    <s v="black"/>
    <s v="black"/>
    <s v="financial services remarketing (lease)"/>
    <n v="45100"/>
    <x v="297"/>
    <s v="Thu Jan 29 2015 04:30:00 GMT-0800 (PST)"/>
    <n v="2015"/>
    <x v="16"/>
    <x v="2"/>
    <s v="Medium"/>
  </r>
  <r>
    <n v="2012"/>
    <x v="1"/>
    <x v="151"/>
    <x v="5"/>
    <x v="2"/>
    <s v="automatic"/>
    <s v="wbsdx9c5xce784602"/>
    <s v="ca"/>
    <n v="42"/>
    <x v="833"/>
    <s v="silver"/>
    <s v="black"/>
    <s v="high bid trading co inc"/>
    <n v="40000"/>
    <x v="47"/>
    <s v="Thu Dec 18 2014 12:00:00 GMT-0800 (PST)"/>
    <n v="2014"/>
    <x v="239"/>
    <x v="1"/>
    <s v="Medium"/>
  </r>
  <r>
    <n v="2012"/>
    <x v="1"/>
    <x v="143"/>
    <x v="130"/>
    <x v="1"/>
    <s v="automatic"/>
    <s v="wbakb4c55cc576684"/>
    <s v="ca"/>
    <n v="44"/>
    <x v="834"/>
    <s v="black"/>
    <s v="gray"/>
    <s v="financial services remarketing (lease)"/>
    <n v="40500"/>
    <x v="15"/>
    <s v="Thu Dec 18 2014 12:30:00 GMT-0800 (PST)"/>
    <n v="2014"/>
    <x v="228"/>
    <x v="1"/>
    <s v="Medium"/>
  </r>
  <r>
    <n v="2012"/>
    <x v="10"/>
    <x v="142"/>
    <x v="136"/>
    <x v="1"/>
    <s v="automatic"/>
    <s v="jh4cu2f82cc009116"/>
    <s v="ca"/>
    <n v="39"/>
    <x v="835"/>
    <s v="black"/>
    <s v="black"/>
    <s v="ahfc/honda lease trust/hvt  inc. eot"/>
    <n v="17300"/>
    <x v="298"/>
    <s v="Thu Dec 18 2014 12:00:00 GMT-0800 (PST)"/>
    <n v="2014"/>
    <x v="236"/>
    <x v="2"/>
    <s v="Low"/>
  </r>
  <r>
    <n v="2012"/>
    <x v="10"/>
    <x v="145"/>
    <x v="22"/>
    <x v="1"/>
    <s v="automatic"/>
    <s v="19uua8f59ca015354"/>
    <s v="ca"/>
    <n v="47"/>
    <x v="836"/>
    <s v="black"/>
    <s v="black"/>
    <s v="ahfc/honda lease trust/hvt  inc. eot"/>
    <n v="19700"/>
    <x v="43"/>
    <s v="Thu Dec 18 2014 12:00:00 GMT-0800 (PST)"/>
    <n v="2014"/>
    <x v="243"/>
    <x v="1"/>
    <s v="Medium"/>
  </r>
  <r>
    <n v="2012"/>
    <x v="26"/>
    <x v="36"/>
    <x v="121"/>
    <x v="12"/>
    <s v="automatic"/>
    <s v="wbakb8c50cc964249"/>
    <s v="ca"/>
    <n v="4"/>
    <x v="837"/>
    <s v="gray"/>
    <s v="gray"/>
    <s v="financial services remarketing (lease)"/>
    <n v="46100"/>
    <x v="171"/>
    <s v="Thu Jan 15 2015 04:30:00 GMT-0800 (PST)"/>
    <n v="2015"/>
    <x v="217"/>
    <x v="0"/>
    <s v="Medium"/>
  </r>
  <r>
    <n v="2012"/>
    <x v="1"/>
    <x v="16"/>
    <x v="129"/>
    <x v="1"/>
    <s v="automatic"/>
    <s v="wbafr7c57cc808572"/>
    <s v="ca"/>
    <n v="39"/>
    <x v="838"/>
    <s v="gray"/>
    <s v="black"/>
    <s v="financial services remarketing (lease)"/>
    <n v="33700"/>
    <x v="23"/>
    <s v="Thu Jan 15 2015 04:30:00 GMT-0800 (PST)"/>
    <n v="2015"/>
    <x v="227"/>
    <x v="2"/>
    <s v="Medium"/>
  </r>
  <r>
    <n v="2012"/>
    <x v="1"/>
    <x v="1"/>
    <x v="126"/>
    <x v="3"/>
    <s v="automatic"/>
    <s v="wbake5c58ce755738"/>
    <s v="ca"/>
    <n v="28"/>
    <x v="839"/>
    <s v="black"/>
    <s v="black"/>
    <s v="financial services remarketing (lease)"/>
    <n v="23000"/>
    <x v="185"/>
    <s v="Thu Feb 12 2015 04:30:00 GMT-0800 (PST)"/>
    <n v="2015"/>
    <x v="223"/>
    <x v="2"/>
    <s v="Medium"/>
  </r>
  <r>
    <n v="2012"/>
    <x v="10"/>
    <x v="150"/>
    <x v="22"/>
    <x v="0"/>
    <s v="automatic"/>
    <s v="5j8tb2h51ca002472"/>
    <s v="ca"/>
    <n v="37"/>
    <x v="840"/>
    <s v="white"/>
    <s v="gray"/>
    <s v="lexus of thousand oaks"/>
    <n v="23200"/>
    <x v="63"/>
    <s v="Tue Dec 16 2014 12:30:00 GMT-0800 (PST)"/>
    <n v="2014"/>
    <x v="238"/>
    <x v="2"/>
    <s v="Medium"/>
  </r>
  <r>
    <n v="2012"/>
    <x v="1"/>
    <x v="14"/>
    <x v="3"/>
    <x v="2"/>
    <m/>
    <s v="wbalz3c53cdl72437"/>
    <s v="ca"/>
    <n v="46"/>
    <x v="841"/>
    <s v="gray"/>
    <s v="black"/>
    <s v="financial services remarketing (lease)"/>
    <n v="43300"/>
    <x v="299"/>
    <s v="Thu Jan 29 2015 04:30:00 GMT-0800 (PST)"/>
    <n v="2015"/>
    <x v="16"/>
    <x v="1"/>
    <s v="Medium"/>
  </r>
  <r>
    <n v="2012"/>
    <x v="10"/>
    <x v="142"/>
    <x v="5"/>
    <x v="1"/>
    <s v="automatic"/>
    <s v="jh4cu2f47cc007861"/>
    <s v="ca"/>
    <n v="42"/>
    <x v="842"/>
    <s v="black"/>
    <s v="beige"/>
    <s v="ahfc/honda lease trust/hvt  inc. eot"/>
    <n v="17950"/>
    <x v="52"/>
    <s v="Thu Dec 18 2014 12:00:00 GMT-0800 (PST)"/>
    <n v="2014"/>
    <x v="219"/>
    <x v="1"/>
    <s v="Medium"/>
  </r>
  <r>
    <n v="2012"/>
    <x v="1"/>
    <x v="16"/>
    <x v="129"/>
    <x v="1"/>
    <s v="automatic"/>
    <s v="wbafr7c50cc808946"/>
    <s v="ca"/>
    <n v="38"/>
    <x v="843"/>
    <s v="gray"/>
    <s v="black"/>
    <s v="financial services remarketing (lease)"/>
    <n v="31300"/>
    <x v="22"/>
    <s v="Thu Jan 29 2015 04:30:00 GMT-0800 (PST)"/>
    <n v="2015"/>
    <x v="227"/>
    <x v="2"/>
    <s v="Medium"/>
  </r>
  <r>
    <n v="2012"/>
    <x v="1"/>
    <x v="1"/>
    <x v="126"/>
    <x v="3"/>
    <s v="automatic"/>
    <s v="wbake5c56ce755978"/>
    <s v="ca"/>
    <n v="27"/>
    <x v="844"/>
    <s v="white"/>
    <s v="black"/>
    <s v="financial services remarketing (lease)"/>
    <n v="23000"/>
    <x v="62"/>
    <s v="Tue Dec 16 2014 12:30:00 GMT-0800 (PST)"/>
    <n v="2014"/>
    <x v="223"/>
    <x v="2"/>
    <s v="Medium"/>
  </r>
  <r>
    <n v="2012"/>
    <x v="1"/>
    <x v="1"/>
    <x v="126"/>
    <x v="2"/>
    <s v="automatic"/>
    <s v="wbadw7c57ce728676"/>
    <s v="ca"/>
    <n v="28"/>
    <x v="259"/>
    <s v="black"/>
    <s v="â€”"/>
    <s v="financial services remarketing (lease)"/>
    <n v="29400"/>
    <x v="212"/>
    <s v="Thu Feb 12 2015 04:30:00 GMT-0800 (PST)"/>
    <n v="2015"/>
    <x v="223"/>
    <x v="2"/>
    <s v="Medium"/>
  </r>
  <r>
    <n v="2012"/>
    <x v="10"/>
    <x v="145"/>
    <x v="5"/>
    <x v="1"/>
    <s v="automatic"/>
    <s v="19uua8f24ca015137"/>
    <s v="ca"/>
    <n v="24"/>
    <x v="845"/>
    <s v="gray"/>
    <s v="black"/>
    <s v="ahfc/honda lease trust/hvt  inc. eot"/>
    <n v="18700"/>
    <x v="170"/>
    <s v="Thu Dec 18 2014 12:00:00 GMT-0800 (PST)"/>
    <n v="2014"/>
    <x v="226"/>
    <x v="2"/>
    <s v="Low"/>
  </r>
  <r>
    <n v="2012"/>
    <x v="1"/>
    <x v="1"/>
    <x v="126"/>
    <x v="2"/>
    <s v="automatic"/>
    <s v="wbadw7c59ce728503"/>
    <s v="ca"/>
    <n v="49"/>
    <x v="846"/>
    <s v="gray"/>
    <s v="tan"/>
    <s v="financial services remarketing (lease)"/>
    <n v="28900"/>
    <x v="182"/>
    <s v="Thu Dec 18 2014 12:30:00 GMT-0800 (PST)"/>
    <n v="2014"/>
    <x v="223"/>
    <x v="1"/>
    <s v="Medium"/>
  </r>
  <r>
    <n v="2012"/>
    <x v="1"/>
    <x v="146"/>
    <x v="28"/>
    <x v="12"/>
    <s v="automatic"/>
    <s v="wbakb8c58cc965083"/>
    <s v="ca"/>
    <n v="46"/>
    <x v="847"/>
    <s v="gray"/>
    <s v="gray"/>
    <s v="financial services remarketing (lease)"/>
    <n v="45200"/>
    <x v="277"/>
    <s v="Thu Dec 18 2014 12:30:00 GMT-0800 (PST)"/>
    <n v="2014"/>
    <x v="229"/>
    <x v="1"/>
    <s v="Medium"/>
  </r>
  <r>
    <n v="2012"/>
    <x v="1"/>
    <x v="14"/>
    <x v="3"/>
    <x v="2"/>
    <s v="automatic"/>
    <s v="wbalz3c53cdl72602"/>
    <s v="ca"/>
    <n v="49"/>
    <x v="848"/>
    <s v="silver"/>
    <s v="tan"/>
    <s v="financial services remarketing (lease)"/>
    <n v="48700"/>
    <x v="300"/>
    <s v="Thu Jan 15 2015 04:30:00 GMT-0800 (PST)"/>
    <n v="2015"/>
    <x v="16"/>
    <x v="1"/>
    <s v="Medium"/>
  </r>
  <r>
    <n v="2012"/>
    <x v="1"/>
    <x v="16"/>
    <x v="129"/>
    <x v="1"/>
    <s v="automatic"/>
    <s v="wbafr7c58cc808323"/>
    <s v="ca"/>
    <n v="46"/>
    <x v="849"/>
    <s v="white"/>
    <s v="black"/>
    <s v="financial services remarketing (lease)"/>
    <n v="32800"/>
    <x v="301"/>
    <s v="Thu Dec 18 2014 12:30:00 GMT-0800 (PST)"/>
    <n v="2014"/>
    <x v="227"/>
    <x v="1"/>
    <s v="Medium"/>
  </r>
  <r>
    <n v="2012"/>
    <x v="10"/>
    <x v="153"/>
    <x v="22"/>
    <x v="5"/>
    <s v="automatic"/>
    <s v="2hnyb1h40ch500373"/>
    <s v="ca"/>
    <n v="36"/>
    <x v="850"/>
    <s v="black"/>
    <s v="black"/>
    <s v="ahfc/honda lease trust/hvt  inc. eot"/>
    <n v="28200"/>
    <x v="302"/>
    <s v="Thu Dec 18 2014 12:00:00 GMT-0800 (PST)"/>
    <n v="2014"/>
    <x v="244"/>
    <x v="2"/>
    <s v="Medium"/>
  </r>
  <r>
    <n v="2012"/>
    <x v="1"/>
    <x v="1"/>
    <x v="126"/>
    <x v="2"/>
    <s v="automatic"/>
    <s v="wbadw7c51ce728303"/>
    <s v="ca"/>
    <n v="29"/>
    <x v="851"/>
    <s v="black"/>
    <s v="black"/>
    <s v="financial services remarketing (lease)"/>
    <n v="26300"/>
    <x v="85"/>
    <s v="Tue Feb 03 2015 04:30:00 GMT-0800 (PST)"/>
    <n v="2015"/>
    <x v="223"/>
    <x v="2"/>
    <s v="Medium"/>
  </r>
  <r>
    <n v="2012"/>
    <x v="1"/>
    <x v="1"/>
    <x v="126"/>
    <x v="1"/>
    <s v="automatic"/>
    <s v="wba3a5c54cf341740"/>
    <s v="ca"/>
    <n v="48"/>
    <x v="852"/>
    <s v="white"/>
    <s v="â€”"/>
    <s v="financial services remarketing (lease)"/>
    <n v="26900"/>
    <x v="59"/>
    <s v="Thu Dec 18 2014 12:30:00 GMT-0800 (PST)"/>
    <n v="2014"/>
    <x v="223"/>
    <x v="1"/>
    <s v="Medium"/>
  </r>
  <r>
    <n v="2012"/>
    <x v="5"/>
    <x v="7"/>
    <x v="134"/>
    <x v="1"/>
    <s v="automatic"/>
    <s v="waubfaflxcn004222"/>
    <s v="ca"/>
    <n v="38"/>
    <x v="853"/>
    <s v="black"/>
    <s v="black"/>
    <s v="high bid trading co inc"/>
    <n v="22900"/>
    <x v="92"/>
    <s v="Thu Dec 18 2014 12:00:00 GMT-0800 (PST)"/>
    <n v="2014"/>
    <x v="245"/>
    <x v="2"/>
    <s v="Medium"/>
  </r>
  <r>
    <n v="2012"/>
    <x v="1"/>
    <x v="144"/>
    <x v="135"/>
    <x v="2"/>
    <s v="automatic"/>
    <s v="wbaun1c54cvh84416"/>
    <s v="ca"/>
    <n v="43"/>
    <x v="854"/>
    <s v="blue"/>
    <s v="â€”"/>
    <s v="financial services remarketing (lease)"/>
    <n v="23200"/>
    <x v="105"/>
    <s v="Thu Dec 18 2014 12:30:00 GMT-0800 (PST)"/>
    <n v="2014"/>
    <x v="235"/>
    <x v="1"/>
    <s v="Medium"/>
  </r>
  <r>
    <n v="2012"/>
    <x v="10"/>
    <x v="142"/>
    <x v="136"/>
    <x v="1"/>
    <s v="automatic"/>
    <s v="jh4cu2f80cc007347"/>
    <s v="ca"/>
    <n v="41"/>
    <x v="855"/>
    <s v="gray"/>
    <s v="black"/>
    <s v="ahfc/honda lease trust/hvt  inc. eot"/>
    <n v="18150"/>
    <x v="303"/>
    <s v="Thu Dec 18 2014 12:00:00 GMT-0800 (PST)"/>
    <n v="2014"/>
    <x v="236"/>
    <x v="1"/>
    <s v="Medium"/>
  </r>
  <r>
    <n v="2012"/>
    <x v="1"/>
    <x v="16"/>
    <x v="129"/>
    <x v="1"/>
    <s v="automatic"/>
    <s v="wbafr7c50cc808722"/>
    <s v="ca"/>
    <n v="44"/>
    <x v="856"/>
    <s v="white"/>
    <s v="tan"/>
    <s v="financial services remarketing (lease)"/>
    <n v="30600"/>
    <x v="235"/>
    <s v="Thu Dec 18 2014 12:30:00 GMT-0800 (PST)"/>
    <n v="2014"/>
    <x v="227"/>
    <x v="1"/>
    <s v="Medium"/>
  </r>
  <r>
    <n v="2012"/>
    <x v="1"/>
    <x v="16"/>
    <x v="14"/>
    <x v="1"/>
    <s v="automatic"/>
    <s v="wbaxg5c54cdy30327"/>
    <s v="ca"/>
    <n v="35"/>
    <x v="857"/>
    <s v="gray"/>
    <s v="black"/>
    <s v="walters auto sales/service inc"/>
    <n v="26000"/>
    <x v="107"/>
    <s v="Tue Dec 16 2014 12:30:00 GMT-0800 (PST)"/>
    <n v="2014"/>
    <x v="18"/>
    <x v="2"/>
    <s v="Medium"/>
  </r>
  <r>
    <n v="2012"/>
    <x v="1"/>
    <x v="1"/>
    <x v="125"/>
    <x v="2"/>
    <s v="automatic"/>
    <s v="wbadx1c57ce570754"/>
    <s v="ca"/>
    <n v="36"/>
    <x v="858"/>
    <s v="black"/>
    <s v="black"/>
    <s v="financial services remarketing (lease)"/>
    <n v="33800"/>
    <x v="198"/>
    <s v="Thu Jan 15 2015 04:30:00 GMT-0800 (PST)"/>
    <n v="2015"/>
    <x v="222"/>
    <x v="2"/>
    <s v="Medium"/>
  </r>
  <r>
    <n v="2012"/>
    <x v="1"/>
    <x v="16"/>
    <x v="14"/>
    <x v="1"/>
    <s v="automatic"/>
    <s v="wbaxg5c59cdx05260"/>
    <s v="ca"/>
    <n v="38"/>
    <x v="859"/>
    <s v="white"/>
    <s v="tan"/>
    <s v="l m auto wholesale"/>
    <n v="31600"/>
    <x v="59"/>
    <s v="Thu Dec 18 2014 12:30:00 GMT-0800 (PST)"/>
    <n v="2014"/>
    <x v="18"/>
    <x v="2"/>
    <s v="Medium"/>
  </r>
  <r>
    <n v="2012"/>
    <x v="1"/>
    <x v="14"/>
    <x v="3"/>
    <x v="2"/>
    <s v="automatic"/>
    <s v="wbalz3c58cdl73387"/>
    <s v="ca"/>
    <n v="34"/>
    <x v="860"/>
    <s v="black"/>
    <s v="black"/>
    <s v="financial services remarketing (lease)"/>
    <n v="40900"/>
    <x v="283"/>
    <s v="Thu Feb 26 2015 04:30:00 GMT-0800 (PST)"/>
    <n v="2015"/>
    <x v="16"/>
    <x v="2"/>
    <s v="Medium"/>
  </r>
  <r>
    <n v="2012"/>
    <x v="1"/>
    <x v="16"/>
    <x v="14"/>
    <x v="1"/>
    <s v="automatic"/>
    <s v="wbaxg5c53cdx03584"/>
    <s v="ca"/>
    <n v="38"/>
    <x v="861"/>
    <s v="white"/>
    <s v="black"/>
    <s v="financial services remarketing (lease)"/>
    <n v="26500"/>
    <x v="59"/>
    <s v="Thu Dec 18 2014 12:30:00 GMT-0800 (PST)"/>
    <n v="2014"/>
    <x v="18"/>
    <x v="2"/>
    <s v="Medium"/>
  </r>
  <r>
    <n v="2012"/>
    <x v="1"/>
    <x v="14"/>
    <x v="3"/>
    <x v="2"/>
    <s v="automatic"/>
    <s v="wbalz3c5xcdl71009"/>
    <s v="ca"/>
    <n v="34"/>
    <x v="862"/>
    <s v="black"/>
    <s v="â€”"/>
    <s v="financial services remarketing (lease)"/>
    <n v="48700"/>
    <x v="284"/>
    <s v="Thu Jan 15 2015 04:30:00 GMT-0800 (PST)"/>
    <n v="2015"/>
    <x v="16"/>
    <x v="2"/>
    <s v="Medium"/>
  </r>
  <r>
    <n v="2012"/>
    <x v="5"/>
    <x v="9"/>
    <x v="123"/>
    <x v="1"/>
    <s v="automatic"/>
    <s v="waubgafc0cn029580"/>
    <s v="ca"/>
    <n v="36"/>
    <x v="863"/>
    <s v="black"/>
    <s v="black"/>
    <s v="ars/executive car leasing co"/>
    <n v="33900"/>
    <x v="304"/>
    <s v="Thu Dec 18 2014 12:00:00 GMT-0800 (PST)"/>
    <n v="2014"/>
    <x v="220"/>
    <x v="2"/>
    <s v="Medium"/>
  </r>
  <r>
    <n v="2012"/>
    <x v="1"/>
    <x v="14"/>
    <x v="128"/>
    <x v="2"/>
    <s v="automatic"/>
    <s v="wbalw7c50cc618639"/>
    <s v="ca"/>
    <n v="37"/>
    <x v="864"/>
    <s v="blue"/>
    <s v="beige"/>
    <s v="high bid trading co inc"/>
    <n v="42800"/>
    <x v="305"/>
    <s v="Wed Dec 17 2014 12:15:00 GMT-0800 (PST)"/>
    <n v="2014"/>
    <x v="225"/>
    <x v="2"/>
    <s v="Medium"/>
  </r>
  <r>
    <n v="2012"/>
    <x v="10"/>
    <x v="145"/>
    <x v="22"/>
    <x v="1"/>
    <s v="automatic"/>
    <s v="19uua8f58ca025292"/>
    <s v="ca"/>
    <n v="34"/>
    <x v="865"/>
    <s v="black"/>
    <s v="black"/>
    <s v="ahfc/honda lease trust/hvt  inc."/>
    <n v="21900"/>
    <x v="29"/>
    <s v="Thu Dec 18 2014 12:00:00 GMT-0800 (PST)"/>
    <n v="2014"/>
    <x v="243"/>
    <x v="2"/>
    <s v="Medium"/>
  </r>
  <r>
    <n v="2012"/>
    <x v="1"/>
    <x v="1"/>
    <x v="126"/>
    <x v="2"/>
    <s v="automatic"/>
    <s v="wbadw7c5xce729224"/>
    <s v="ca"/>
    <n v="43"/>
    <x v="866"/>
    <s v="white"/>
    <s v="black"/>
    <s v="financial services remarketing (lease)"/>
    <n v="28600"/>
    <x v="1"/>
    <s v="Thu Dec 18 2014 12:30:00 GMT-0800 (PST)"/>
    <n v="2014"/>
    <x v="223"/>
    <x v="1"/>
    <s v="Medium"/>
  </r>
  <r>
    <n v="2012"/>
    <x v="1"/>
    <x v="1"/>
    <x v="126"/>
    <x v="3"/>
    <s v="automatic"/>
    <s v="wbake5c56ce755835"/>
    <s v="ca"/>
    <n v="29"/>
    <x v="867"/>
    <s v="white"/>
    <s v="â€”"/>
    <s v="financial services remarketing (lease)"/>
    <n v="20000"/>
    <x v="226"/>
    <s v="Thu Dec 18 2014 12:30:00 GMT-0800 (PST)"/>
    <n v="2014"/>
    <x v="223"/>
    <x v="2"/>
    <s v="Medium"/>
  </r>
  <r>
    <n v="2012"/>
    <x v="1"/>
    <x v="14"/>
    <x v="3"/>
    <x v="3"/>
    <s v="automatic"/>
    <s v="wbalx3c51cc528390"/>
    <s v="ca"/>
    <n v="42"/>
    <x v="868"/>
    <s v="gray"/>
    <s v="black"/>
    <s v="financial services remarketing (lease)"/>
    <n v="43200"/>
    <x v="294"/>
    <s v="Thu Dec 18 2014 12:30:00 GMT-0800 (PST)"/>
    <n v="2014"/>
    <x v="16"/>
    <x v="1"/>
    <s v="Medium"/>
  </r>
  <r>
    <n v="2012"/>
    <x v="1"/>
    <x v="143"/>
    <x v="124"/>
    <x v="1"/>
    <s v="automatic"/>
    <s v="wbaka4c50cds99049"/>
    <s v="ca"/>
    <n v="41"/>
    <x v="869"/>
    <s v="blue"/>
    <s v="black"/>
    <s v="financial services remarketing (lease)"/>
    <n v="38200"/>
    <x v="230"/>
    <s v="Thu Feb 12 2015 04:30:00 GMT-0800 (PST)"/>
    <n v="2015"/>
    <x v="221"/>
    <x v="1"/>
    <s v="Medium"/>
  </r>
  <r>
    <n v="2012"/>
    <x v="10"/>
    <x v="142"/>
    <x v="5"/>
    <x v="1"/>
    <s v="automatic"/>
    <s v="jh4cu2f49cc003956"/>
    <s v="ca"/>
    <n v="19"/>
    <x v="870"/>
    <s v="gray"/>
    <s v="gray"/>
    <s v="ag leaseplan"/>
    <n v="17150"/>
    <x v="180"/>
    <s v="Wed Jan 21 2015 04:30:00 GMT-0800 (PST)"/>
    <n v="2015"/>
    <x v="219"/>
    <x v="0"/>
    <s v="Low"/>
  </r>
  <r>
    <n v="2012"/>
    <x v="10"/>
    <x v="142"/>
    <x v="5"/>
    <x v="1"/>
    <s v="automatic"/>
    <s v="jh4cu2f64cc008869"/>
    <s v="ca"/>
    <n v="33"/>
    <x v="871"/>
    <s v="white"/>
    <s v="tan"/>
    <s v="ahfc/honda lease trust/hvt  inc. eot"/>
    <n v="20500"/>
    <x v="306"/>
    <s v="Thu Dec 18 2014 12:00:00 GMT-0800 (PST)"/>
    <n v="2014"/>
    <x v="219"/>
    <x v="2"/>
    <s v="Medium"/>
  </r>
  <r>
    <n v="2012"/>
    <x v="5"/>
    <x v="154"/>
    <x v="140"/>
    <x v="3"/>
    <s v="automatic"/>
    <s v="wuaauafg1cn002532"/>
    <s v="ca"/>
    <n v="39"/>
    <x v="872"/>
    <s v="gray"/>
    <s v="black"/>
    <s v="the hertz corporation"/>
    <n v="91000"/>
    <x v="307"/>
    <s v="Wed Feb 11 2015 04:30:00 GMT-0800 (PST)"/>
    <n v="2015"/>
    <x v="246"/>
    <x v="2"/>
    <s v="High"/>
  </r>
  <r>
    <n v="2012"/>
    <x v="1"/>
    <x v="1"/>
    <x v="126"/>
    <x v="1"/>
    <s v="automatic"/>
    <s v="wba3a5c57cf340727"/>
    <s v="ca"/>
    <n v="47"/>
    <x v="873"/>
    <s v="white"/>
    <s v="â€”"/>
    <s v="financial services remarketing (lease)"/>
    <n v="23300"/>
    <x v="97"/>
    <s v="Thu Dec 18 2014 12:30:00 GMT-0800 (PST)"/>
    <n v="2014"/>
    <x v="223"/>
    <x v="1"/>
    <s v="Medium"/>
  </r>
  <r>
    <n v="2012"/>
    <x v="1"/>
    <x v="1"/>
    <x v="126"/>
    <x v="3"/>
    <s v="automatic"/>
    <s v="wbake3c53ce769664"/>
    <s v="ca"/>
    <n v="4"/>
    <x v="874"/>
    <s v="black"/>
    <s v="black"/>
    <s v="financial services remarketing (lease)"/>
    <n v="21900"/>
    <x v="29"/>
    <s v="Thu Jan 15 2015 04:30:00 GMT-0800 (PST)"/>
    <n v="2015"/>
    <x v="223"/>
    <x v="0"/>
    <s v="Medium"/>
  </r>
  <r>
    <n v="2012"/>
    <x v="10"/>
    <x v="142"/>
    <x v="5"/>
    <x v="1"/>
    <s v="automatic"/>
    <s v="jh4cu2f44cc006621"/>
    <s v="ca"/>
    <n v="45"/>
    <x v="875"/>
    <s v="white"/>
    <s v="gray"/>
    <s v="ahfc/honda lease trust/hvt  inc. eot"/>
    <n v="17450"/>
    <x v="303"/>
    <s v="Thu Dec 18 2014 12:00:00 GMT-0800 (PST)"/>
    <n v="2014"/>
    <x v="219"/>
    <x v="1"/>
    <s v="Medium"/>
  </r>
  <r>
    <n v="2012"/>
    <x v="1"/>
    <x v="1"/>
    <x v="126"/>
    <x v="3"/>
    <s v="automatic"/>
    <s v="wbake5c53ce755730"/>
    <s v="ca"/>
    <n v="44"/>
    <x v="876"/>
    <s v="white"/>
    <s v="off-white"/>
    <s v="financial services remarketing (lease)"/>
    <n v="20900"/>
    <x v="40"/>
    <s v="Thu Dec 18 2014 12:30:00 GMT-0800 (PST)"/>
    <n v="2014"/>
    <x v="223"/>
    <x v="1"/>
    <s v="Medium"/>
  </r>
  <r>
    <n v="2012"/>
    <x v="1"/>
    <x v="143"/>
    <x v="124"/>
    <x v="1"/>
    <s v="automatic"/>
    <s v="wbaka4c51cds99397"/>
    <s v="ca"/>
    <n v="46"/>
    <x v="877"/>
    <s v="black"/>
    <s v="black"/>
    <s v="financial services remarketing (lease)"/>
    <n v="34000"/>
    <x v="308"/>
    <s v="Thu Dec 18 2014 12:30:00 GMT-0800 (PST)"/>
    <n v="2014"/>
    <x v="221"/>
    <x v="1"/>
    <s v="Medium"/>
  </r>
  <r>
    <n v="2012"/>
    <x v="1"/>
    <x v="146"/>
    <x v="28"/>
    <x v="12"/>
    <s v="automatic"/>
    <s v="wbakb8c5xcc964159"/>
    <s v="ca"/>
    <n v="39"/>
    <x v="878"/>
    <s v="white"/>
    <s v="black"/>
    <s v="financial services remarketing (lease)"/>
    <n v="45600"/>
    <x v="284"/>
    <s v="Thu Dec 18 2014 12:30:00 GMT-0800 (PST)"/>
    <n v="2014"/>
    <x v="229"/>
    <x v="2"/>
    <s v="Medium"/>
  </r>
  <r>
    <n v="2012"/>
    <x v="1"/>
    <x v="16"/>
    <x v="14"/>
    <x v="1"/>
    <s v="automatic"/>
    <s v="wbaxg5c5xcdw92356"/>
    <s v="ca"/>
    <n v="42"/>
    <x v="879"/>
    <s v="white"/>
    <s v="black"/>
    <s v="high bid trading co inc"/>
    <n v="28400"/>
    <x v="87"/>
    <s v="Thu Dec 18 2014 12:00:00 GMT-0800 (PST)"/>
    <n v="2014"/>
    <x v="18"/>
    <x v="1"/>
    <s v="Medium"/>
  </r>
  <r>
    <n v="2012"/>
    <x v="5"/>
    <x v="9"/>
    <x v="123"/>
    <x v="1"/>
    <s v="automatic"/>
    <s v="wauggafc6cn169316"/>
    <s v="ca"/>
    <n v="42"/>
    <x v="880"/>
    <s v="black"/>
    <s v="black"/>
    <s v="trade in solutions irvine"/>
    <n v="28400"/>
    <x v="1"/>
    <s v="Tue Jan 06 2015 12:30:00 GMT-0800 (PST)"/>
    <n v="2015"/>
    <x v="220"/>
    <x v="1"/>
    <s v="Medium"/>
  </r>
  <r>
    <n v="2012"/>
    <x v="1"/>
    <x v="1"/>
    <x v="126"/>
    <x v="1"/>
    <s v="automatic"/>
    <s v="wba3a5c51cf256869"/>
    <s v="ca"/>
    <n v="28"/>
    <x v="881"/>
    <s v="gray"/>
    <s v="black"/>
    <s v="walters auto sales/service inc"/>
    <n v="22000"/>
    <x v="114"/>
    <s v="Tue Dec 23 2014 12:30:00 GMT-0800 (PST)"/>
    <n v="2014"/>
    <x v="223"/>
    <x v="2"/>
    <s v="Medium"/>
  </r>
  <r>
    <n v="2012"/>
    <x v="1"/>
    <x v="14"/>
    <x v="3"/>
    <x v="2"/>
    <s v="automatic"/>
    <s v="wbalz3c53cdl70302"/>
    <s v="ca"/>
    <n v="34"/>
    <x v="882"/>
    <s v="black"/>
    <s v="â€”"/>
    <s v="financial services remarketing (lease)"/>
    <n v="43000"/>
    <x v="309"/>
    <s v="Thu Jan 29 2015 04:30:00 GMT-0800 (PST)"/>
    <n v="2015"/>
    <x v="16"/>
    <x v="2"/>
    <s v="Medium"/>
  </r>
  <r>
    <n v="2012"/>
    <x v="1"/>
    <x v="146"/>
    <x v="28"/>
    <x v="12"/>
    <s v="automatic"/>
    <s v="wbakb8c53cc963094"/>
    <s v="ca"/>
    <n v="47"/>
    <x v="883"/>
    <s v="blue"/>
    <s v="gray"/>
    <s v="financial services remarketing (lease)"/>
    <n v="45700"/>
    <x v="287"/>
    <s v="Thu Jan 15 2015 12:30:00 GMT-0800 (PST)"/>
    <n v="2015"/>
    <x v="229"/>
    <x v="1"/>
    <s v="Medium"/>
  </r>
  <r>
    <n v="2012"/>
    <x v="1"/>
    <x v="146"/>
    <x v="28"/>
    <x v="12"/>
    <s v="automatic"/>
    <s v="wbakb8c52cc962471"/>
    <s v="ca"/>
    <n v="41"/>
    <x v="884"/>
    <s v="black"/>
    <s v="black"/>
    <s v="financial services remarketing (lease)"/>
    <n v="38800"/>
    <x v="271"/>
    <s v="Thu Dec 18 2014 12:30:00 GMT-0800 (PST)"/>
    <n v="2014"/>
    <x v="229"/>
    <x v="1"/>
    <s v="Medium"/>
  </r>
  <r>
    <n v="2012"/>
    <x v="1"/>
    <x v="1"/>
    <x v="126"/>
    <x v="2"/>
    <s v="automatic"/>
    <s v="wbadw7c57ce728595"/>
    <s v="ca"/>
    <n v="43"/>
    <x v="885"/>
    <s v="blue"/>
    <s v="brown"/>
    <s v="financial services remarketing (lease)"/>
    <n v="29000"/>
    <x v="266"/>
    <s v="Thu Dec 18 2014 12:30:00 GMT-0800 (PST)"/>
    <n v="2014"/>
    <x v="223"/>
    <x v="1"/>
    <s v="Medium"/>
  </r>
  <r>
    <n v="2012"/>
    <x v="10"/>
    <x v="41"/>
    <x v="22"/>
    <x v="0"/>
    <s v="automatic"/>
    <s v="2hnyd2h34ch534405"/>
    <s v="ca"/>
    <n v="47"/>
    <x v="886"/>
    <s v="brown"/>
    <s v="beige"/>
    <s v="desert auto trade"/>
    <n v="29300"/>
    <x v="234"/>
    <s v="Tue Dec 16 2014 12:30:00 GMT-0800 (PST)"/>
    <n v="2014"/>
    <x v="247"/>
    <x v="1"/>
    <s v="Medium"/>
  </r>
  <r>
    <n v="2012"/>
    <x v="26"/>
    <x v="36"/>
    <x v="121"/>
    <x v="12"/>
    <s v="automatic"/>
    <s v="wbakc8c50cc435719"/>
    <s v="ca"/>
    <n v="24"/>
    <x v="887"/>
    <s v="â€”"/>
    <s v="black"/>
    <s v="bmw of bakersfield"/>
    <n v="41800"/>
    <x v="308"/>
    <s v="Thu Feb 12 2015 04:30:00 GMT-0800 (PST)"/>
    <n v="2015"/>
    <x v="217"/>
    <x v="2"/>
    <s v="Medium"/>
  </r>
  <r>
    <n v="2012"/>
    <x v="1"/>
    <x v="155"/>
    <x v="141"/>
    <x v="0"/>
    <s v="automatic"/>
    <s v="5uxwx5c52cl721643"/>
    <s v="ca"/>
    <n v="37"/>
    <x v="888"/>
    <s v="black"/>
    <s v="red"/>
    <s v="l m auto wholesale"/>
    <n v="27700"/>
    <x v="34"/>
    <s v="Thu Dec 18 2014 12:30:00 GMT-0800 (PST)"/>
    <n v="2014"/>
    <x v="248"/>
    <x v="2"/>
    <s v="Medium"/>
  </r>
  <r>
    <n v="2012"/>
    <x v="1"/>
    <x v="14"/>
    <x v="3"/>
    <x v="2"/>
    <s v="automatic"/>
    <s v="wbalz3c53cdl73376"/>
    <s v="ca"/>
    <n v="37"/>
    <x v="889"/>
    <s v="white"/>
    <s v="black"/>
    <s v="financial services remarketing (lease)"/>
    <n v="49800"/>
    <x v="310"/>
    <s v="Thu Dec 18 2014 12:30:00 GMT-0800 (PST)"/>
    <n v="2014"/>
    <x v="16"/>
    <x v="2"/>
    <s v="High"/>
  </r>
  <r>
    <n v="2012"/>
    <x v="10"/>
    <x v="142"/>
    <x v="5"/>
    <x v="1"/>
    <s v="automatic"/>
    <s v="jh4cu2f42cc009324"/>
    <s v="ca"/>
    <n v="27"/>
    <x v="890"/>
    <s v="black"/>
    <s v="beige"/>
    <s v="ahfc/honda lease trust/hvt  inc. eot"/>
    <n v="16900"/>
    <x v="111"/>
    <s v="Thu Dec 18 2014 12:00:00 GMT-0800 (PST)"/>
    <n v="2014"/>
    <x v="219"/>
    <x v="2"/>
    <s v="Low"/>
  </r>
  <r>
    <n v="2012"/>
    <x v="1"/>
    <x v="16"/>
    <x v="14"/>
    <x v="1"/>
    <s v="automatic"/>
    <s v="wbaxg5c51cdy28437"/>
    <s v="ca"/>
    <n v="44"/>
    <x v="891"/>
    <s v="black"/>
    <s v="black"/>
    <s v="high bid trading co inc"/>
    <n v="29900"/>
    <x v="2"/>
    <s v="Thu Dec 18 2014 12:00:00 GMT-0800 (PST)"/>
    <n v="2014"/>
    <x v="18"/>
    <x v="1"/>
    <s v="Medium"/>
  </r>
  <r>
    <n v="2012"/>
    <x v="1"/>
    <x v="143"/>
    <x v="130"/>
    <x v="1"/>
    <s v="automatic"/>
    <s v="wbakb4c58cc576081"/>
    <s v="ca"/>
    <n v="38"/>
    <x v="892"/>
    <s v="gray"/>
    <s v="black"/>
    <s v="financial services remarketing (lease)"/>
    <n v="38700"/>
    <x v="311"/>
    <s v="Thu Dec 18 2014 12:30:00 GMT-0800 (PST)"/>
    <n v="2014"/>
    <x v="228"/>
    <x v="2"/>
    <s v="Medium"/>
  </r>
  <r>
    <n v="2012"/>
    <x v="17"/>
    <x v="72"/>
    <x v="5"/>
    <x v="5"/>
    <s v="automatic"/>
    <s v="wmwzf3c57ct189809"/>
    <s v="ca"/>
    <n v="38"/>
    <x v="893"/>
    <s v="red"/>
    <s v="black"/>
    <s v="high bid trading co inc"/>
    <n v="14250"/>
    <x v="149"/>
    <s v="Wed Dec 17 2014 12:15:00 GMT-0800 (PST)"/>
    <n v="2014"/>
    <x v="98"/>
    <x v="2"/>
    <s v="Low"/>
  </r>
  <r>
    <n v="2012"/>
    <x v="1"/>
    <x v="1"/>
    <x v="126"/>
    <x v="1"/>
    <s v="automatic"/>
    <s v="wba3a5c50cfj88662"/>
    <s v="ca"/>
    <m/>
    <x v="894"/>
    <s v="gray"/>
    <s v="â€”"/>
    <s v="onemain rem/manheim san francisco bay"/>
    <n v="22400"/>
    <x v="8"/>
    <s v="Wed Dec 17 2014 00:00:00 GMT-0800 (PST)"/>
    <n v="2014"/>
    <x v="223"/>
    <x v="0"/>
    <s v="Low"/>
  </r>
  <r>
    <n v="2012"/>
    <x v="1"/>
    <x v="14"/>
    <x v="3"/>
    <x v="2"/>
    <s v="automatic"/>
    <s v="wbalz3c58cdl72739"/>
    <s v="ca"/>
    <n v="43"/>
    <x v="895"/>
    <s v="white"/>
    <s v="â€”"/>
    <s v="financial services remarketing (lease)"/>
    <n v="48200"/>
    <x v="312"/>
    <s v="Thu Dec 18 2014 12:30:00 GMT-0800 (PST)"/>
    <n v="2014"/>
    <x v="16"/>
    <x v="1"/>
    <s v="Medium"/>
  </r>
  <r>
    <n v="2012"/>
    <x v="1"/>
    <x v="146"/>
    <x v="28"/>
    <x v="12"/>
    <s v="automatic"/>
    <s v="wbakb8c51cc965121"/>
    <s v="ca"/>
    <n v="34"/>
    <x v="896"/>
    <s v="white"/>
    <s v="gray"/>
    <s v="financial services remarketing (lease)"/>
    <n v="39800"/>
    <x v="283"/>
    <s v="Thu Dec 18 2014 12:30:00 GMT-0800 (PST)"/>
    <n v="2014"/>
    <x v="229"/>
    <x v="2"/>
    <s v="Medium"/>
  </r>
  <r>
    <n v="2012"/>
    <x v="1"/>
    <x v="1"/>
    <x v="126"/>
    <x v="2"/>
    <s v="automatic"/>
    <s v="wbadw7c57ce728838"/>
    <s v="ca"/>
    <n v="47"/>
    <x v="897"/>
    <s v="blue"/>
    <s v="black"/>
    <s v="financial services remarketing (lease)"/>
    <n v="30300"/>
    <x v="313"/>
    <s v="Thu Dec 18 2014 12:30:00 GMT-0800 (PST)"/>
    <n v="2014"/>
    <x v="223"/>
    <x v="1"/>
    <s v="Medium"/>
  </r>
  <r>
    <n v="2012"/>
    <x v="1"/>
    <x v="14"/>
    <x v="3"/>
    <x v="2"/>
    <s v="automatic"/>
    <s v="wbalz3c55cdl72357"/>
    <s v="ca"/>
    <n v="39"/>
    <x v="898"/>
    <s v="white"/>
    <s v="â€”"/>
    <s v="financial services remarketing (lease)"/>
    <n v="49100"/>
    <x v="203"/>
    <s v="Thu Dec 18 2014 12:30:00 GMT-0800 (PST)"/>
    <n v="2014"/>
    <x v="16"/>
    <x v="2"/>
    <s v="High"/>
  </r>
  <r>
    <n v="2012"/>
    <x v="1"/>
    <x v="144"/>
    <x v="135"/>
    <x v="2"/>
    <s v="automatic"/>
    <s v="wbaun1c5xcvr00070"/>
    <s v="ca"/>
    <n v="47"/>
    <x v="899"/>
    <s v="black"/>
    <s v="black"/>
    <s v="financial services remarketing (lease)"/>
    <n v="23500"/>
    <x v="114"/>
    <s v="Thu Dec 18 2014 12:30:00 GMT-0800 (PST)"/>
    <n v="2014"/>
    <x v="235"/>
    <x v="1"/>
    <s v="Medium"/>
  </r>
  <r>
    <n v="2012"/>
    <x v="1"/>
    <x v="155"/>
    <x v="141"/>
    <x v="0"/>
    <s v="automatic"/>
    <s v="5uxwx5c56cl725811"/>
    <s v="ca"/>
    <n v="42"/>
    <x v="900"/>
    <s v="gray"/>
    <s v="gray"/>
    <s v="financial services remarketing (lease)"/>
    <n v="25700"/>
    <x v="266"/>
    <s v="Thu Jan 15 2015 04:30:00 GMT-0800 (PST)"/>
    <n v="2015"/>
    <x v="248"/>
    <x v="1"/>
    <s v="Medium"/>
  </r>
  <r>
    <n v="2012"/>
    <x v="1"/>
    <x v="141"/>
    <x v="137"/>
    <x v="12"/>
    <s v="automatic"/>
    <s v="wbaka8c58cdx01066"/>
    <s v="ca"/>
    <n v="19"/>
    <x v="901"/>
    <s v="black"/>
    <s v="black"/>
    <s v="financial services remarketing (lease)"/>
    <n v="33300"/>
    <x v="289"/>
    <s v="Tue Dec 16 2014 12:30:00 GMT-0800 (PST)"/>
    <n v="2014"/>
    <x v="237"/>
    <x v="0"/>
    <s v="Medium"/>
  </r>
  <r>
    <n v="2012"/>
    <x v="10"/>
    <x v="145"/>
    <x v="22"/>
    <x v="1"/>
    <s v="automatic"/>
    <s v="19uua8f55ca013536"/>
    <s v="ca"/>
    <n v="37"/>
    <x v="902"/>
    <s v="black"/>
    <s v="black"/>
    <s v="ahfc/honda lease trust/hvt  inc. eot"/>
    <n v="19000"/>
    <x v="135"/>
    <s v="Thu Dec 18 2014 12:00:00 GMT-0800 (PST)"/>
    <n v="2014"/>
    <x v="243"/>
    <x v="2"/>
    <s v="Low"/>
  </r>
  <r>
    <n v="2012"/>
    <x v="5"/>
    <x v="21"/>
    <x v="19"/>
    <x v="3"/>
    <s v="automatic"/>
    <s v="waucvafr9ca017644"/>
    <s v="ca"/>
    <n v="37"/>
    <x v="903"/>
    <s v="black"/>
    <s v="black"/>
    <s v="high bid trading co inc"/>
    <n v="35700"/>
    <x v="230"/>
    <s v="Thu Dec 18 2014 12:00:00 GMT-0800 (PST)"/>
    <n v="2014"/>
    <x v="23"/>
    <x v="2"/>
    <s v="Medium"/>
  </r>
  <r>
    <n v="2012"/>
    <x v="5"/>
    <x v="13"/>
    <x v="142"/>
    <x v="0"/>
    <s v="automatic"/>
    <s v="wa1dkafp9ca031827"/>
    <s v="ca"/>
    <n v="41"/>
    <x v="904"/>
    <s v="black"/>
    <s v="black"/>
    <s v="high bid trading co inc"/>
    <n v="31800"/>
    <x v="313"/>
    <s v="Thu Dec 18 2014 12:00:00 GMT-0800 (PST)"/>
    <n v="2014"/>
    <x v="249"/>
    <x v="1"/>
    <s v="Medium"/>
  </r>
  <r>
    <n v="2012"/>
    <x v="1"/>
    <x v="141"/>
    <x v="122"/>
    <x v="12"/>
    <s v="automatic"/>
    <s v="wbakc6c56cc396445"/>
    <s v="ca"/>
    <n v="47"/>
    <x v="905"/>
    <s v="beige"/>
    <s v="gray"/>
    <s v="financial services remarketing (lease)"/>
    <n v="42800"/>
    <x v="70"/>
    <s v="Thu Dec 18 2014 12:30:00 GMT-0800 (PST)"/>
    <n v="2014"/>
    <x v="218"/>
    <x v="1"/>
    <s v="Medium"/>
  </r>
  <r>
    <n v="2012"/>
    <x v="1"/>
    <x v="146"/>
    <x v="28"/>
    <x v="12"/>
    <s v="automatic"/>
    <s v="wbakb8c59cc964427"/>
    <s v="ca"/>
    <n v="42"/>
    <x v="906"/>
    <s v="white"/>
    <s v="black"/>
    <s v="financial services remarketing (lease)"/>
    <n v="41800"/>
    <x v="314"/>
    <s v="Thu Dec 18 2014 12:30:00 GMT-0800 (PST)"/>
    <n v="2014"/>
    <x v="229"/>
    <x v="1"/>
    <s v="Medium"/>
  </r>
  <r>
    <n v="2012"/>
    <x v="10"/>
    <x v="41"/>
    <x v="143"/>
    <x v="0"/>
    <s v="automatic"/>
    <s v="2hnyd2h46ch518845"/>
    <s v="ca"/>
    <n v="41"/>
    <x v="907"/>
    <s v="white"/>
    <s v="beige"/>
    <s v="trade in solutions irvine"/>
    <n v="29200"/>
    <x v="235"/>
    <s v="Tue Dec 16 2014 12:30:00 GMT-0800 (PST)"/>
    <n v="2014"/>
    <x v="250"/>
    <x v="1"/>
    <s v="Medium"/>
  </r>
  <r>
    <n v="2012"/>
    <x v="1"/>
    <x v="143"/>
    <x v="124"/>
    <x v="1"/>
    <s v="automatic"/>
    <s v="wbaka4c55cc613607"/>
    <s v="ca"/>
    <n v="43"/>
    <x v="908"/>
    <s v="black"/>
    <s v="black"/>
    <s v="financial services remarketing (lease)"/>
    <n v="33100"/>
    <x v="66"/>
    <s v="Thu Jan 29 2015 04:30:00 GMT-0800 (PST)"/>
    <n v="2015"/>
    <x v="221"/>
    <x v="1"/>
    <s v="Medium"/>
  </r>
  <r>
    <n v="2012"/>
    <x v="1"/>
    <x v="16"/>
    <x v="138"/>
    <x v="1"/>
    <s v="automatic"/>
    <s v="wbafr9c52cdv58955"/>
    <s v="ca"/>
    <n v="4"/>
    <x v="909"/>
    <s v="gray"/>
    <s v="gray"/>
    <s v="financial services remarketing (lease)"/>
    <n v="38400"/>
    <x v="230"/>
    <s v="Thu Jan 15 2015 04:30:00 GMT-0800 (PST)"/>
    <n v="2015"/>
    <x v="240"/>
    <x v="0"/>
    <s v="Medium"/>
  </r>
  <r>
    <n v="2012"/>
    <x v="5"/>
    <x v="9"/>
    <x v="123"/>
    <x v="1"/>
    <s v="automatic"/>
    <s v="waubgafc5cn004304"/>
    <s v="ca"/>
    <n v="41"/>
    <x v="910"/>
    <s v="white"/>
    <s v="brown"/>
    <s v="fratelli investment group"/>
    <n v="28500"/>
    <x v="177"/>
    <s v="Thu Dec 18 2014 12:00:00 GMT-0800 (PST)"/>
    <n v="2014"/>
    <x v="220"/>
    <x v="1"/>
    <s v="Medium"/>
  </r>
  <r>
    <n v="2012"/>
    <x v="1"/>
    <x v="146"/>
    <x v="28"/>
    <x v="12"/>
    <s v="automatic"/>
    <s v="wbakb8c52cc963717"/>
    <s v="ca"/>
    <n v="38"/>
    <x v="911"/>
    <s v="blue"/>
    <s v="beige"/>
    <s v="autobahn west enterprises inc"/>
    <n v="41600"/>
    <x v="15"/>
    <s v="Thu Dec 18 2014 12:30:00 GMT-0800 (PST)"/>
    <n v="2014"/>
    <x v="229"/>
    <x v="2"/>
    <s v="Medium"/>
  </r>
  <r>
    <n v="2012"/>
    <x v="1"/>
    <x v="143"/>
    <x v="130"/>
    <x v="1"/>
    <s v="automatic"/>
    <s v="wbakb4c5xcc576390"/>
    <s v="ca"/>
    <n v="45"/>
    <x v="912"/>
    <s v="black"/>
    <s v="black"/>
    <s v="financial services remarketing (lease)"/>
    <n v="40700"/>
    <x v="283"/>
    <s v="Thu Dec 18 2014 12:30:00 GMT-0800 (PST)"/>
    <n v="2014"/>
    <x v="228"/>
    <x v="1"/>
    <s v="Medium"/>
  </r>
  <r>
    <n v="2012"/>
    <x v="1"/>
    <x v="16"/>
    <x v="129"/>
    <x v="1"/>
    <s v="automatic"/>
    <s v="wbafr7c54cc808772"/>
    <s v="ca"/>
    <n v="44"/>
    <x v="913"/>
    <s v="black"/>
    <s v="black"/>
    <s v="financial services remarketing (lease)"/>
    <n v="33500"/>
    <x v="23"/>
    <s v="Thu Dec 18 2014 12:30:00 GMT-0800 (PST)"/>
    <n v="2014"/>
    <x v="227"/>
    <x v="1"/>
    <s v="Medium"/>
  </r>
  <r>
    <n v="2012"/>
    <x v="10"/>
    <x v="142"/>
    <x v="136"/>
    <x v="1"/>
    <s v="automatic"/>
    <s v="jh4cu2f82cc003672"/>
    <s v="ca"/>
    <n v="46"/>
    <x v="914"/>
    <s v="black"/>
    <s v="black"/>
    <s v="high bid trading co inc"/>
    <n v="15650"/>
    <x v="173"/>
    <s v="Wed Dec 17 2014 12:15:00 GMT-0800 (PST)"/>
    <n v="2014"/>
    <x v="236"/>
    <x v="1"/>
    <s v="Low"/>
  </r>
  <r>
    <n v="2012"/>
    <x v="1"/>
    <x v="1"/>
    <x v="126"/>
    <x v="3"/>
    <s v="automatic"/>
    <s v="wbake5c5xce755675"/>
    <s v="ca"/>
    <n v="39"/>
    <x v="915"/>
    <s v="white"/>
    <s v="â€”"/>
    <s v="financial services remarketing (lease)"/>
    <n v="21600"/>
    <x v="105"/>
    <s v="Thu Dec 18 2014 12:30:00 GMT-0800 (PST)"/>
    <n v="2014"/>
    <x v="223"/>
    <x v="2"/>
    <s v="Medium"/>
  </r>
  <r>
    <n v="2012"/>
    <x v="5"/>
    <x v="7"/>
    <x v="134"/>
    <x v="1"/>
    <s v="automatic"/>
    <s v="waubfafl7ca093223"/>
    <s v="ca"/>
    <n v="38"/>
    <x v="418"/>
    <s v="blue"/>
    <s v="black"/>
    <s v="california auto exchange"/>
    <n v="19500"/>
    <x v="120"/>
    <s v="Wed Dec 17 2014 12:30:00 GMT-0800 (PST)"/>
    <n v="2014"/>
    <x v="245"/>
    <x v="2"/>
    <s v="Medium"/>
  </r>
  <r>
    <n v="2012"/>
    <x v="1"/>
    <x v="1"/>
    <x v="126"/>
    <x v="1"/>
    <s v="automatic"/>
    <s v="wba3a5c54cf341317"/>
    <s v="ca"/>
    <n v="41"/>
    <x v="916"/>
    <s v="white"/>
    <s v="â€”"/>
    <s v="financial services remarketing (lease)"/>
    <n v="25700"/>
    <x v="47"/>
    <s v="Thu Jan 15 2015 04:30:00 GMT-0800 (PST)"/>
    <n v="2015"/>
    <x v="223"/>
    <x v="1"/>
    <s v="Medium"/>
  </r>
  <r>
    <n v="2012"/>
    <x v="1"/>
    <x v="1"/>
    <x v="126"/>
    <x v="2"/>
    <s v="automatic"/>
    <s v="wbadw7c50ce729202"/>
    <s v="ca"/>
    <n v="27"/>
    <x v="917"/>
    <s v="gray"/>
    <s v="gray"/>
    <s v="financial services remarketing (lease)"/>
    <n v="28800"/>
    <x v="56"/>
    <s v="Thu Jan 15 2015 04:30:00 GMT-0800 (PST)"/>
    <n v="2015"/>
    <x v="223"/>
    <x v="2"/>
    <s v="Medium"/>
  </r>
  <r>
    <n v="2012"/>
    <x v="1"/>
    <x v="14"/>
    <x v="3"/>
    <x v="2"/>
    <s v="automatic"/>
    <s v="wbalz3c5xcdl71849"/>
    <s v="ca"/>
    <n v="28"/>
    <x v="918"/>
    <s v="gray"/>
    <s v="black"/>
    <s v="financial services remarketing (lease)"/>
    <n v="46400"/>
    <x v="315"/>
    <s v="Thu Jan 15 2015 04:30:00 GMT-0800 (PST)"/>
    <n v="2015"/>
    <x v="16"/>
    <x v="2"/>
    <s v="Medium"/>
  </r>
  <r>
    <n v="2012"/>
    <x v="10"/>
    <x v="153"/>
    <x v="22"/>
    <x v="5"/>
    <s v="automatic"/>
    <s v="2hnyb1h47ch500760"/>
    <s v="ca"/>
    <n v="37"/>
    <x v="919"/>
    <s v="black"/>
    <s v="â€”"/>
    <s v="high bid trading co inc"/>
    <n v="27000"/>
    <x v="59"/>
    <s v="Wed Dec 17 2014 12:15:00 GMT-0800 (PST)"/>
    <n v="2014"/>
    <x v="244"/>
    <x v="2"/>
    <s v="Medium"/>
  </r>
  <r>
    <n v="2012"/>
    <x v="5"/>
    <x v="7"/>
    <x v="134"/>
    <x v="1"/>
    <s v="automatic"/>
    <s v="waubfafl9cn004681"/>
    <s v="ca"/>
    <n v="38"/>
    <x v="920"/>
    <s v="blue"/>
    <s v="gray"/>
    <s v="fratelli investment group"/>
    <n v="18650"/>
    <x v="24"/>
    <s v="Thu Dec 18 2014 12:00:00 GMT-0800 (PST)"/>
    <n v="2014"/>
    <x v="245"/>
    <x v="2"/>
    <s v="Medium"/>
  </r>
  <r>
    <n v="2012"/>
    <x v="1"/>
    <x v="14"/>
    <x v="128"/>
    <x v="2"/>
    <s v="automatic"/>
    <s v="wbalw7c54cc618689"/>
    <s v="ca"/>
    <n v="42"/>
    <x v="921"/>
    <s v="white"/>
    <s v="â€”"/>
    <s v="financial services remarketing (lease)"/>
    <n v="44200"/>
    <x v="171"/>
    <s v="Thu Dec 18 2014 12:30:00 GMT-0800 (PST)"/>
    <n v="2014"/>
    <x v="225"/>
    <x v="1"/>
    <s v="Medium"/>
  </r>
  <r>
    <n v="2012"/>
    <x v="1"/>
    <x v="1"/>
    <x v="126"/>
    <x v="2"/>
    <s v="automatic"/>
    <s v="wbadw7c50ce728518"/>
    <s v="ca"/>
    <n v="47"/>
    <x v="922"/>
    <s v="white"/>
    <s v="tan"/>
    <s v="financial services remarketing (lease)"/>
    <n v="27800"/>
    <x v="316"/>
    <s v="Thu Dec 18 2014 12:30:00 GMT-0800 (PST)"/>
    <n v="2014"/>
    <x v="223"/>
    <x v="1"/>
    <s v="Medium"/>
  </r>
  <r>
    <n v="2012"/>
    <x v="1"/>
    <x v="16"/>
    <x v="14"/>
    <x v="1"/>
    <s v="automatic"/>
    <s v="wbaxg5c56cdw24135"/>
    <s v="ca"/>
    <n v="46"/>
    <x v="923"/>
    <s v="blue"/>
    <s v="gray"/>
    <s v="financial services remarketing (lease)"/>
    <n v="31500"/>
    <x v="291"/>
    <s v="Thu Dec 18 2014 12:30:00 GMT-0800 (PST)"/>
    <n v="2014"/>
    <x v="18"/>
    <x v="1"/>
    <s v="Medium"/>
  </r>
  <r>
    <n v="2012"/>
    <x v="1"/>
    <x v="16"/>
    <x v="144"/>
    <x v="1"/>
    <s v="automatic"/>
    <s v="wbafu7c52cdu59166"/>
    <s v="ca"/>
    <n v="33"/>
    <x v="924"/>
    <s v="gray"/>
    <s v="gray"/>
    <s v="financial services remarketing (lease)"/>
    <n v="35800"/>
    <x v="196"/>
    <s v="Thu Dec 18 2014 12:30:00 GMT-0800 (PST)"/>
    <n v="2014"/>
    <x v="251"/>
    <x v="2"/>
    <s v="Medium"/>
  </r>
  <r>
    <n v="2012"/>
    <x v="1"/>
    <x v="14"/>
    <x v="128"/>
    <x v="3"/>
    <s v="automatic"/>
    <s v="wbalw3c59cc891863"/>
    <s v="ca"/>
    <n v="41"/>
    <x v="925"/>
    <s v="white"/>
    <s v="white"/>
    <s v="high bid trading co inc"/>
    <n v="40500"/>
    <x v="194"/>
    <s v="Thu Dec 18 2014 12:00:00 GMT-0800 (PST)"/>
    <n v="2014"/>
    <x v="225"/>
    <x v="1"/>
    <s v="Medium"/>
  </r>
  <r>
    <n v="2012"/>
    <x v="1"/>
    <x v="146"/>
    <x v="28"/>
    <x v="12"/>
    <s v="automatic"/>
    <s v="wbakb8c54cc963069"/>
    <s v="ca"/>
    <n v="49"/>
    <x v="926"/>
    <s v="black"/>
    <s v="black"/>
    <s v="financial services remarketing (lease)"/>
    <n v="40800"/>
    <x v="280"/>
    <s v="Thu Dec 18 2014 12:30:00 GMT-0800 (PST)"/>
    <n v="2014"/>
    <x v="229"/>
    <x v="1"/>
    <s v="Medium"/>
  </r>
  <r>
    <n v="2012"/>
    <x v="10"/>
    <x v="41"/>
    <x v="5"/>
    <x v="0"/>
    <s v="automatic"/>
    <s v="2hnyd2h22ch514452"/>
    <s v="ca"/>
    <n v="36"/>
    <x v="927"/>
    <s v="gray"/>
    <s v="black"/>
    <s v="ahfc/honda lease trust/hvt  inc. eot"/>
    <n v="26600"/>
    <x v="90"/>
    <s v="Thu Dec 18 2014 12:00:00 GMT-0800 (PST)"/>
    <n v="2014"/>
    <x v="252"/>
    <x v="2"/>
    <s v="Medium"/>
  </r>
  <r>
    <n v="2012"/>
    <x v="1"/>
    <x v="16"/>
    <x v="129"/>
    <x v="1"/>
    <s v="automatic"/>
    <s v="wbafr7c5xcc808193"/>
    <s v="ca"/>
    <n v="28"/>
    <x v="928"/>
    <s v="black"/>
    <s v="black"/>
    <s v="financial services remarketing (lease)"/>
    <n v="33700"/>
    <x v="22"/>
    <s v="Thu Dec 18 2014 12:30:00 GMT-0800 (PST)"/>
    <n v="2014"/>
    <x v="227"/>
    <x v="2"/>
    <s v="Medium"/>
  </r>
  <r>
    <n v="2012"/>
    <x v="1"/>
    <x v="14"/>
    <x v="3"/>
    <x v="2"/>
    <s v="automatic"/>
    <s v="wbalz3c55cdl71077"/>
    <s v="ca"/>
    <n v="48"/>
    <x v="929"/>
    <s v="silver"/>
    <s v="â€”"/>
    <s v="financial services remarketing (lease)"/>
    <n v="49400"/>
    <x v="55"/>
    <s v="Thu Dec 18 2014 12:30:00 GMT-0800 (PST)"/>
    <n v="2014"/>
    <x v="16"/>
    <x v="1"/>
    <s v="Medium"/>
  </r>
  <r>
    <n v="2012"/>
    <x v="27"/>
    <x v="156"/>
    <x v="10"/>
    <x v="1"/>
    <s v="automatic"/>
    <s v="1c3cdzab3cn322875"/>
    <s v="ca"/>
    <n v="35"/>
    <x v="930"/>
    <s v="gray"/>
    <s v="black"/>
    <s v="dtg operations inc"/>
    <n v="7875"/>
    <x v="317"/>
    <s v="Tue Dec 16 2014 12:30:00 GMT-0800 (PST)"/>
    <n v="2014"/>
    <x v="253"/>
    <x v="2"/>
    <s v="Low"/>
  </r>
  <r>
    <n v="2012"/>
    <x v="6"/>
    <x v="157"/>
    <x v="145"/>
    <x v="13"/>
    <m/>
    <s v="1fbss3bl8cdb20464"/>
    <s v="ca"/>
    <n v="2"/>
    <x v="931"/>
    <s v="white"/>
    <s v="gray"/>
    <s v="enterprise vehicle exchange / tra / rental / tulsa"/>
    <n v="16150"/>
    <x v="245"/>
    <s v="Thu Dec 18 2014 11:30:00 GMT-0800 (PST)"/>
    <n v="2014"/>
    <x v="254"/>
    <x v="0"/>
    <s v="Low"/>
  </r>
  <r>
    <n v="2012"/>
    <x v="6"/>
    <x v="158"/>
    <x v="38"/>
    <x v="0"/>
    <s v="automatic"/>
    <s v="1fmcu0eg0ckb55384"/>
    <s v="ca"/>
    <n v="35"/>
    <x v="932"/>
    <s v="gray"/>
    <s v="beige"/>
    <s v="ford motor credit company llc pd"/>
    <n v="15450"/>
    <x v="13"/>
    <s v="Thu Dec 18 2014 12:00:00 GMT-0800 (PST)"/>
    <n v="2014"/>
    <x v="255"/>
    <x v="2"/>
    <s v="Low"/>
  </r>
  <r>
    <n v="2012"/>
    <x v="27"/>
    <x v="156"/>
    <x v="10"/>
    <x v="1"/>
    <s v="automatic"/>
    <s v="1c3cdzab7cn259165"/>
    <s v="ca"/>
    <n v="35"/>
    <x v="933"/>
    <s v="black"/>
    <s v="black"/>
    <s v="dtg operations inc"/>
    <n v="8975"/>
    <x v="125"/>
    <s v="Thu Dec 18 2014 11:30:00 GMT-0800 (PST)"/>
    <n v="2014"/>
    <x v="253"/>
    <x v="2"/>
    <s v="Low"/>
  </r>
  <r>
    <n v="2012"/>
    <x v="6"/>
    <x v="159"/>
    <x v="146"/>
    <x v="0"/>
    <s v="automatic"/>
    <s v="2fmdk3jc5cba41602"/>
    <s v="ca"/>
    <n v="46"/>
    <x v="934"/>
    <s v="gray"/>
    <s v="black"/>
    <s v="ford motor credit company llc pd"/>
    <n v="20700"/>
    <x v="164"/>
    <s v="Thu Dec 18 2014 12:00:00 GMT-0800 (PST)"/>
    <n v="2014"/>
    <x v="256"/>
    <x v="1"/>
    <s v="Medium"/>
  </r>
  <r>
    <n v="2012"/>
    <x v="1"/>
    <x v="19"/>
    <x v="147"/>
    <x v="0"/>
    <s v="automatic"/>
    <s v="5uxzv4c56cl763245"/>
    <s v="ca"/>
    <n v="38"/>
    <x v="935"/>
    <s v="black"/>
    <s v="gray"/>
    <s v="financial services remarketing (lease)"/>
    <n v="36100"/>
    <x v="67"/>
    <s v="Thu Dec 18 2014 12:30:00 GMT-0800 (PST)"/>
    <n v="2014"/>
    <x v="257"/>
    <x v="2"/>
    <s v="Medium"/>
  </r>
  <r>
    <n v="2012"/>
    <x v="9"/>
    <x v="43"/>
    <x v="5"/>
    <x v="0"/>
    <s v="automatic"/>
    <s v="3gyfnge34cs551059"/>
    <s v="ca"/>
    <n v="35"/>
    <x v="936"/>
    <s v="black"/>
    <s v="gray"/>
    <s v="us bank"/>
    <n v="16350"/>
    <x v="318"/>
    <s v="Thu Dec 18 2014 12:30:00 GMT-0800 (PST)"/>
    <n v="2014"/>
    <x v="258"/>
    <x v="2"/>
    <s v="Low"/>
  </r>
  <r>
    <n v="2012"/>
    <x v="4"/>
    <x v="42"/>
    <x v="8"/>
    <x v="6"/>
    <s v="automatic"/>
    <s v="3gcpcse06cg246240"/>
    <s v="ca"/>
    <n v="28"/>
    <x v="937"/>
    <s v="silver"/>
    <s v="black"/>
    <s v="california republic bank"/>
    <n v="23300"/>
    <x v="106"/>
    <s v="Wed Dec 17 2014 12:30:00 GMT-0800 (PST)"/>
    <n v="2014"/>
    <x v="44"/>
    <x v="2"/>
    <s v="Medium"/>
  </r>
  <r>
    <n v="2012"/>
    <x v="6"/>
    <x v="159"/>
    <x v="146"/>
    <x v="0"/>
    <s v="automatic"/>
    <s v="2fmdk4jc4cba12890"/>
    <s v="ca"/>
    <n v="46"/>
    <x v="938"/>
    <s v="white"/>
    <s v="gray"/>
    <s v="ford motor credit company llc pd"/>
    <n v="19800"/>
    <x v="319"/>
    <s v="Thu Dec 18 2014 12:00:00 GMT-0800 (PST)"/>
    <n v="2014"/>
    <x v="256"/>
    <x v="1"/>
    <s v="Medium"/>
  </r>
  <r>
    <n v="2012"/>
    <x v="6"/>
    <x v="160"/>
    <x v="148"/>
    <x v="5"/>
    <s v="automatic"/>
    <s v="1fahp3n21cl330426"/>
    <s v="ca"/>
    <n v="3"/>
    <x v="939"/>
    <s v="red"/>
    <s v="black"/>
    <s v="remarketing by ge/chase lease remarketing co"/>
    <n v="12900"/>
    <x v="180"/>
    <s v="Wed Dec 17 2014 12:30:00 GMT-0800 (PST)"/>
    <n v="2014"/>
    <x v="259"/>
    <x v="0"/>
    <s v="Low"/>
  </r>
  <r>
    <n v="2012"/>
    <x v="6"/>
    <x v="161"/>
    <x v="38"/>
    <x v="4"/>
    <m/>
    <s v="2fmgk5dc5cbd10752"/>
    <s v="ca"/>
    <m/>
    <x v="940"/>
    <s v="silver"/>
    <s v="â€”"/>
    <s v="onemain rem/manheim southern california"/>
    <n v="19350"/>
    <x v="320"/>
    <s v="Thu Dec 18 2014 12:00:00 GMT-0800 (PST)"/>
    <n v="2014"/>
    <x v="260"/>
    <x v="0"/>
    <s v="Low"/>
  </r>
  <r>
    <n v="2012"/>
    <x v="1"/>
    <x v="162"/>
    <x v="27"/>
    <x v="2"/>
    <s v="automatic"/>
    <s v="wball5c57ce716603"/>
    <s v="ca"/>
    <n v="45"/>
    <x v="941"/>
    <s v="black"/>
    <s v="black"/>
    <s v="financial services remarketing (lease)"/>
    <n v="31000"/>
    <x v="89"/>
    <s v="Thu Jan 15 2015 04:30:00 GMT-0800 (PST)"/>
    <n v="2015"/>
    <x v="261"/>
    <x v="1"/>
    <s v="Medium"/>
  </r>
  <r>
    <n v="2012"/>
    <x v="1"/>
    <x v="19"/>
    <x v="149"/>
    <x v="0"/>
    <s v="automatic"/>
    <s v="5uxzw0c51cl663432"/>
    <s v="ca"/>
    <n v="36"/>
    <x v="942"/>
    <s v="black"/>
    <s v="beige"/>
    <s v="financial services remarketing (lease)"/>
    <n v="36400"/>
    <x v="23"/>
    <s v="Thu Jan 29 2015 04:30:00 GMT-0800 (PST)"/>
    <n v="2015"/>
    <x v="262"/>
    <x v="2"/>
    <s v="Medium"/>
  </r>
  <r>
    <n v="2012"/>
    <x v="4"/>
    <x v="6"/>
    <x v="150"/>
    <x v="1"/>
    <s v="automatic"/>
    <s v="1g1pe5sc1c7112914"/>
    <s v="ca"/>
    <n v="39"/>
    <x v="943"/>
    <s v="white"/>
    <s v="gray"/>
    <s v="hoehn honda"/>
    <n v="7950"/>
    <x v="54"/>
    <s v="Wed Dec 17 2014 12:30:00 GMT-0800 (PST)"/>
    <n v="2014"/>
    <x v="263"/>
    <x v="2"/>
    <s v="Low"/>
  </r>
  <r>
    <n v="2012"/>
    <x v="4"/>
    <x v="163"/>
    <x v="12"/>
    <x v="0"/>
    <s v="automatic"/>
    <s v="1gnkveed2cj170787"/>
    <s v="ca"/>
    <n v="4"/>
    <x v="944"/>
    <s v="white"/>
    <s v="gray"/>
    <s v="merchants automotive group"/>
    <n v="16600"/>
    <x v="134"/>
    <s v="Wed Dec 17 2014 12:30:00 GMT-0800 (PST)"/>
    <n v="2014"/>
    <x v="264"/>
    <x v="0"/>
    <s v="Medium"/>
  </r>
  <r>
    <n v="2012"/>
    <x v="4"/>
    <x v="29"/>
    <x v="151"/>
    <x v="1"/>
    <s v="automatic"/>
    <s v="1g1za5e0xcf381988"/>
    <s v="ca"/>
    <n v="29"/>
    <x v="945"/>
    <s v="black"/>
    <s v="gray"/>
    <s v="the hertz corporation"/>
    <n v="8425"/>
    <x v="274"/>
    <s v="Tue Dec 16 2014 12:30:00 GMT-0800 (PST)"/>
    <n v="2014"/>
    <x v="265"/>
    <x v="2"/>
    <s v="Low"/>
  </r>
  <r>
    <n v="2012"/>
    <x v="6"/>
    <x v="160"/>
    <x v="148"/>
    <x v="5"/>
    <s v="automatic"/>
    <s v="1fahp3n22cl337238"/>
    <s v="ca"/>
    <n v="39"/>
    <x v="946"/>
    <s v="black"/>
    <s v="black"/>
    <s v="ford motor credit company llc pd"/>
    <n v="12900"/>
    <x v="141"/>
    <s v="Thu Dec 18 2014 12:00:00 GMT-0800 (PST)"/>
    <n v="2014"/>
    <x v="259"/>
    <x v="2"/>
    <s v="Low"/>
  </r>
  <r>
    <n v="2012"/>
    <x v="6"/>
    <x v="160"/>
    <x v="10"/>
    <x v="1"/>
    <s v="automatic"/>
    <s v="1fahp3f21cl196273"/>
    <s v="ca"/>
    <n v="3"/>
    <x v="947"/>
    <s v="red"/>
    <s v="black"/>
    <s v="remarketing by ge/chase lease remarketing co"/>
    <n v="8150"/>
    <x v="21"/>
    <s v="Wed Dec 17 2014 12:30:00 GMT-0800 (PST)"/>
    <n v="2014"/>
    <x v="266"/>
    <x v="0"/>
    <s v="Low"/>
  </r>
  <r>
    <n v="2012"/>
    <x v="4"/>
    <x v="40"/>
    <x v="32"/>
    <x v="6"/>
    <s v="automatic"/>
    <s v="1gc1kvcg7cf125051"/>
    <s v="ca"/>
    <n v="29"/>
    <x v="948"/>
    <s v="white"/>
    <s v="â€”"/>
    <s v="merchants automotive group"/>
    <n v="24900"/>
    <x v="107"/>
    <s v="Wed Dec 17 2014 12:30:00 GMT-0800 (PST)"/>
    <n v="2014"/>
    <x v="42"/>
    <x v="2"/>
    <s v="Medium"/>
  </r>
  <r>
    <n v="2012"/>
    <x v="6"/>
    <x v="164"/>
    <x v="152"/>
    <x v="6"/>
    <s v="automatic"/>
    <s v="1ft8w3bt7cea57572"/>
    <s v="ca"/>
    <n v="42"/>
    <x v="949"/>
    <s v="gray"/>
    <s v="black"/>
    <s v="us bank"/>
    <n v="41800"/>
    <x v="321"/>
    <s v="Tue Dec 16 2014 12:30:00 GMT-0800 (PST)"/>
    <n v="2014"/>
    <x v="267"/>
    <x v="1"/>
    <s v="Medium"/>
  </r>
  <r>
    <n v="2012"/>
    <x v="8"/>
    <x v="37"/>
    <x v="29"/>
    <x v="0"/>
    <s v="automatic"/>
    <s v="5gakrced3cj124033"/>
    <s v="ca"/>
    <n v="37"/>
    <x v="950"/>
    <s v="silver"/>
    <s v="black"/>
    <s v="fiserv/usb dealer services northstar exchange"/>
    <n v="25800"/>
    <x v="88"/>
    <s v="Tue Dec 16 2014 12:30:00 GMT-0800 (PST)"/>
    <n v="2014"/>
    <x v="39"/>
    <x v="2"/>
    <s v="Medium"/>
  </r>
  <r>
    <n v="2012"/>
    <x v="6"/>
    <x v="165"/>
    <x v="153"/>
    <x v="5"/>
    <s v="automatic"/>
    <s v="3fadp4fj9cm137823"/>
    <s v="ca"/>
    <n v="25"/>
    <x v="951"/>
    <s v="white"/>
    <s v="black"/>
    <s v="star ford lincoln"/>
    <n v="9250"/>
    <x v="201"/>
    <s v="Tue Dec 16 2014 12:30:00 GMT-0800 (PST)"/>
    <n v="2014"/>
    <x v="268"/>
    <x v="2"/>
    <s v="Low"/>
  </r>
  <r>
    <n v="2012"/>
    <x v="4"/>
    <x v="6"/>
    <x v="150"/>
    <x v="1"/>
    <s v="automatic"/>
    <s v="1g1pe5sc8c7272918"/>
    <s v="ca"/>
    <n v="27"/>
    <x v="952"/>
    <s v="white"/>
    <s v="black"/>
    <s v="jpmorgan chase bank n.a."/>
    <n v="8300"/>
    <x v="96"/>
    <s v="Thu Dec 18 2014 12:00:00 GMT-0800 (PST)"/>
    <n v="2014"/>
    <x v="263"/>
    <x v="2"/>
    <s v="Low"/>
  </r>
  <r>
    <n v="2012"/>
    <x v="6"/>
    <x v="158"/>
    <x v="38"/>
    <x v="0"/>
    <m/>
    <s v="1fmcu9eg8ckb92798"/>
    <s v="ca"/>
    <n v="2"/>
    <x v="953"/>
    <s v="white"/>
    <s v="beige"/>
    <s v="hertz damaged liquidation"/>
    <n v="15200"/>
    <x v="214"/>
    <s v="Tue Dec 23 2014 13:00:00 GMT-0800 (PST)"/>
    <n v="2014"/>
    <x v="255"/>
    <x v="0"/>
    <s v="Low"/>
  </r>
  <r>
    <n v="2012"/>
    <x v="28"/>
    <x v="166"/>
    <x v="42"/>
    <x v="5"/>
    <s v="manual"/>
    <s v="3c3cffbr5ct382578"/>
    <s v="ca"/>
    <n v="28"/>
    <x v="954"/>
    <s v="black"/>
    <s v="black"/>
    <s v="nvp remarketing"/>
    <n v="8575"/>
    <x v="184"/>
    <s v="Tue Dec 16 2014 12:00:00 GMT-0800 (PST)"/>
    <n v="2014"/>
    <x v="269"/>
    <x v="2"/>
    <s v="Low"/>
  </r>
  <r>
    <n v="2012"/>
    <x v="1"/>
    <x v="19"/>
    <x v="147"/>
    <x v="0"/>
    <s v="automatic"/>
    <s v="5uxzv4c51cl889822"/>
    <s v="ca"/>
    <n v="33"/>
    <x v="955"/>
    <s v="black"/>
    <s v="black"/>
    <s v="myrddin fleet services"/>
    <n v="30200"/>
    <x v="1"/>
    <s v="Thu Dec 18 2014 12:30:00 GMT-0800 (PST)"/>
    <n v="2014"/>
    <x v="257"/>
    <x v="2"/>
    <s v="Medium"/>
  </r>
  <r>
    <n v="2012"/>
    <x v="29"/>
    <x v="167"/>
    <x v="0"/>
    <x v="1"/>
    <s v="automatic"/>
    <s v="1c3ccbab5cn208287"/>
    <s v="ca"/>
    <n v="21"/>
    <x v="956"/>
    <s v="black"/>
    <s v="black"/>
    <s v="dtg operations inc"/>
    <n v="8750"/>
    <x v="179"/>
    <s v="Tue Dec 16 2014 12:30:00 GMT-0800 (PST)"/>
    <n v="2014"/>
    <x v="270"/>
    <x v="2"/>
    <s v="Low"/>
  </r>
  <r>
    <n v="2012"/>
    <x v="6"/>
    <x v="160"/>
    <x v="146"/>
    <x v="5"/>
    <s v="automatic"/>
    <s v="1fahp3m26cl436775"/>
    <s v="ca"/>
    <n v="39"/>
    <x v="957"/>
    <s v="white"/>
    <s v="black"/>
    <s v="mars auto"/>
    <n v="8700"/>
    <x v="275"/>
    <s v="Tue Dec 16 2014 12:30:00 GMT-0800 (PST)"/>
    <n v="2014"/>
    <x v="271"/>
    <x v="2"/>
    <s v="Low"/>
  </r>
  <r>
    <n v="2012"/>
    <x v="6"/>
    <x v="165"/>
    <x v="10"/>
    <x v="5"/>
    <s v="manual"/>
    <s v="3fadp4ej1cm105661"/>
    <s v="ca"/>
    <n v="37"/>
    <x v="958"/>
    <s v="red"/>
    <s v="black"/>
    <s v="ford motor credit company llc pd"/>
    <n v="8700"/>
    <x v="275"/>
    <s v="Thu Dec 18 2014 12:00:00 GMT-0800 (PST)"/>
    <n v="2014"/>
    <x v="272"/>
    <x v="2"/>
    <s v="Low"/>
  </r>
  <r>
    <n v="2012"/>
    <x v="6"/>
    <x v="159"/>
    <x v="146"/>
    <x v="0"/>
    <s v="automatic"/>
    <s v="2fmdk3jc3cba19503"/>
    <s v="ca"/>
    <n v="48"/>
    <x v="959"/>
    <s v="burgundy"/>
    <s v="â€”"/>
    <s v="walters auto sales/service inc"/>
    <n v="19850"/>
    <x v="185"/>
    <s v="Tue Dec 23 2014 12:30:00 GMT-0800 (PST)"/>
    <n v="2014"/>
    <x v="256"/>
    <x v="1"/>
    <s v="Medium"/>
  </r>
  <r>
    <n v="2012"/>
    <x v="6"/>
    <x v="159"/>
    <x v="146"/>
    <x v="0"/>
    <s v="automatic"/>
    <s v="2fmdk3jc6cba33928"/>
    <s v="ca"/>
    <n v="41"/>
    <x v="960"/>
    <s v="blue"/>
    <s v="black"/>
    <s v="ford motor credit company llc pd"/>
    <n v="19550"/>
    <x v="249"/>
    <s v="Thu Dec 18 2014 12:00:00 GMT-0800 (PST)"/>
    <n v="2014"/>
    <x v="256"/>
    <x v="1"/>
    <s v="Medium"/>
  </r>
  <r>
    <n v="2012"/>
    <x v="6"/>
    <x v="158"/>
    <x v="154"/>
    <x v="0"/>
    <s v="automatic"/>
    <s v="1fmcu0c7xckb67643"/>
    <s v="ca"/>
    <n v="45"/>
    <x v="961"/>
    <s v="blue"/>
    <s v="gray"/>
    <s v="ford motor credit company llc pd"/>
    <n v="9250"/>
    <x v="263"/>
    <s v="Thu Dec 18 2014 12:00:00 GMT-0800 (PST)"/>
    <n v="2014"/>
    <x v="273"/>
    <x v="1"/>
    <s v="Low"/>
  </r>
  <r>
    <n v="2012"/>
    <x v="27"/>
    <x v="168"/>
    <x v="155"/>
    <x v="0"/>
    <s v="automatic"/>
    <s v="3c4pdcbgxct207887"/>
    <s v="ca"/>
    <n v="19"/>
    <x v="962"/>
    <s v="silver"/>
    <s v="black"/>
    <s v="wheels exchange llc"/>
    <n v="12350"/>
    <x v="241"/>
    <s v="Wed Jan 07 2015 12:30:00 GMT-0800 (PST)"/>
    <n v="2015"/>
    <x v="274"/>
    <x v="0"/>
    <s v="Low"/>
  </r>
  <r>
    <n v="2012"/>
    <x v="6"/>
    <x v="159"/>
    <x v="10"/>
    <x v="0"/>
    <s v="automatic"/>
    <s v="2fmdk3gc4cba60486"/>
    <s v="ca"/>
    <n v="45"/>
    <x v="963"/>
    <s v="silver"/>
    <s v="black"/>
    <s v="ford motor credit company llc pd"/>
    <n v="12900"/>
    <x v="138"/>
    <s v="Thu Dec 18 2014 12:00:00 GMT-0800 (PST)"/>
    <n v="2014"/>
    <x v="275"/>
    <x v="1"/>
    <s v="Low"/>
  </r>
  <r>
    <n v="2012"/>
    <x v="6"/>
    <x v="160"/>
    <x v="146"/>
    <x v="1"/>
    <s v="automatic"/>
    <s v="1fahp3h27cl120201"/>
    <s v="ca"/>
    <n v="37"/>
    <x v="964"/>
    <s v="red"/>
    <s v="tan"/>
    <s v="wells fargo dealer services"/>
    <n v="7475"/>
    <x v="54"/>
    <s v="Thu Dec 18 2014 12:00:00 GMT-0800 (PST)"/>
    <n v="2014"/>
    <x v="271"/>
    <x v="2"/>
    <s v="Low"/>
  </r>
  <r>
    <n v="2012"/>
    <x v="1"/>
    <x v="162"/>
    <x v="27"/>
    <x v="2"/>
    <s v="automatic"/>
    <s v="wball5c56ce716642"/>
    <s v="ca"/>
    <n v="37"/>
    <x v="965"/>
    <s v="black"/>
    <s v="black"/>
    <s v="financial services remarketing (lease)"/>
    <n v="30300"/>
    <x v="34"/>
    <s v="Thu Dec 18 2014 12:30:00 GMT-0800 (PST)"/>
    <n v="2014"/>
    <x v="261"/>
    <x v="2"/>
    <s v="Medium"/>
  </r>
  <r>
    <n v="2012"/>
    <x v="27"/>
    <x v="169"/>
    <x v="156"/>
    <x v="1"/>
    <s v="automatic"/>
    <s v="2c3cdxej5ch103303"/>
    <s v="ca"/>
    <n v="37"/>
    <x v="966"/>
    <s v="black"/>
    <s v="black"/>
    <s v="high bid trading co inc"/>
    <n v="31600"/>
    <x v="238"/>
    <s v="Wed Dec 17 2014 12:15:00 GMT-0800 (PST)"/>
    <n v="2014"/>
    <x v="276"/>
    <x v="2"/>
    <s v="Medium"/>
  </r>
  <r>
    <n v="2012"/>
    <x v="6"/>
    <x v="161"/>
    <x v="10"/>
    <x v="4"/>
    <s v="automatic"/>
    <s v="2fmgk5bcxcbd20762"/>
    <s v="ca"/>
    <n v="36"/>
    <x v="967"/>
    <s v="gray"/>
    <s v="gray"/>
    <s v="ford motor credit company llc"/>
    <n v="16500"/>
    <x v="115"/>
    <s v="Thu Dec 18 2014 12:00:00 GMT-0800 (PST)"/>
    <n v="2014"/>
    <x v="277"/>
    <x v="2"/>
    <s v="Low"/>
  </r>
  <r>
    <n v="2012"/>
    <x v="6"/>
    <x v="161"/>
    <x v="38"/>
    <x v="4"/>
    <s v="automatic"/>
    <s v="2fmhk6dt5cbd09627"/>
    <s v="ca"/>
    <n v="39"/>
    <x v="968"/>
    <s v="black"/>
    <s v="black"/>
    <s v="ford motor credit company llc pd"/>
    <n v="23800"/>
    <x v="322"/>
    <s v="Thu Dec 18 2014 12:00:00 GMT-0800 (PST)"/>
    <n v="2014"/>
    <x v="260"/>
    <x v="2"/>
    <s v="Medium"/>
  </r>
  <r>
    <n v="2012"/>
    <x v="1"/>
    <x v="19"/>
    <x v="157"/>
    <x v="0"/>
    <s v="automatic"/>
    <s v="5uxzv8c51cl423542"/>
    <s v="ca"/>
    <n v="43"/>
    <x v="969"/>
    <s v="gray"/>
    <s v="black"/>
    <s v="ge fleet services for itself/servicer"/>
    <n v="36500"/>
    <x v="230"/>
    <s v="Tue Dec 16 2014 12:00:00 GMT-0800 (PST)"/>
    <n v="2014"/>
    <x v="278"/>
    <x v="1"/>
    <s v="Medium"/>
  </r>
  <r>
    <n v="2012"/>
    <x v="6"/>
    <x v="170"/>
    <x v="158"/>
    <x v="12"/>
    <s v="automatic"/>
    <s v="1fdne3bl8cda87395"/>
    <s v="ca"/>
    <n v="35"/>
    <x v="970"/>
    <s v="white"/>
    <s v="gray"/>
    <s v="vpsi  inc"/>
    <n v="12200"/>
    <x v="251"/>
    <s v="Wed Dec 17 2014 12:30:00 GMT-0800 (PST)"/>
    <n v="2014"/>
    <x v="279"/>
    <x v="2"/>
    <s v="Low"/>
  </r>
  <r>
    <n v="2012"/>
    <x v="4"/>
    <x v="6"/>
    <x v="12"/>
    <x v="1"/>
    <s v="manual"/>
    <s v="1g1pd5sh5c7328067"/>
    <s v="ca"/>
    <n v="31"/>
    <x v="971"/>
    <s v="silver"/>
    <s v="black"/>
    <s v="balboa thrift &amp; loan association"/>
    <n v="8050"/>
    <x v="153"/>
    <s v="Wed Dec 17 2014 12:30:00 GMT-0800 (PST)"/>
    <n v="2014"/>
    <x v="280"/>
    <x v="2"/>
    <s v="Low"/>
  </r>
  <r>
    <n v="2012"/>
    <x v="1"/>
    <x v="19"/>
    <x v="149"/>
    <x v="0"/>
    <s v="automatic"/>
    <s v="5uxzw0c59cl664537"/>
    <s v="ca"/>
    <n v="38"/>
    <x v="972"/>
    <s v="gray"/>
    <s v="black"/>
    <s v="financial services remarketing (lease)"/>
    <n v="38600"/>
    <x v="280"/>
    <s v="Thu Dec 18 2014 12:30:00 GMT-0800 (PST)"/>
    <n v="2014"/>
    <x v="262"/>
    <x v="2"/>
    <s v="Medium"/>
  </r>
  <r>
    <n v="2012"/>
    <x v="4"/>
    <x v="8"/>
    <x v="8"/>
    <x v="2"/>
    <s v="automatic"/>
    <s v="2g1fc3d31c9123218"/>
    <s v="ca"/>
    <n v="29"/>
    <x v="973"/>
    <s v="silver"/>
    <s v="gray"/>
    <s v="tdaf remarketing"/>
    <n v="16900"/>
    <x v="117"/>
    <s v="Tue Dec 16 2014 12:30:00 GMT-0800 (PST)"/>
    <n v="2014"/>
    <x v="8"/>
    <x v="2"/>
    <s v="Low"/>
  </r>
  <r>
    <n v="2012"/>
    <x v="4"/>
    <x v="171"/>
    <x v="8"/>
    <x v="0"/>
    <s v="automatic"/>
    <s v="2gnfleek0c6316896"/>
    <s v="ca"/>
    <n v="35"/>
    <x v="974"/>
    <s v="silver"/>
    <s v="black"/>
    <s v="wheels exchange llc"/>
    <n v="12500"/>
    <x v="162"/>
    <s v="Wed Dec 17 2014 12:30:00 GMT-0800 (PST)"/>
    <n v="2014"/>
    <x v="281"/>
    <x v="2"/>
    <s v="Low"/>
  </r>
  <r>
    <n v="2012"/>
    <x v="29"/>
    <x v="172"/>
    <x v="159"/>
    <x v="1"/>
    <s v="automatic"/>
    <s v="2c3ccabg6ch183090"/>
    <s v="ca"/>
    <n v="43"/>
    <x v="729"/>
    <s v="gray"/>
    <s v="black"/>
    <s v="orange county's credit union"/>
    <n v="21300"/>
    <x v="114"/>
    <s v="Wed Dec 17 2014 12:05:00 GMT-0800 (PST)"/>
    <n v="2014"/>
    <x v="282"/>
    <x v="1"/>
    <s v="Medium"/>
  </r>
  <r>
    <n v="2012"/>
    <x v="6"/>
    <x v="173"/>
    <x v="160"/>
    <x v="18"/>
    <m/>
    <s v="1ftew1cm9ckd05952"/>
    <s v="ca"/>
    <n v="46"/>
    <x v="975"/>
    <s v="gray"/>
    <s v="gray"/>
    <s v="ford motor credit company llc pd"/>
    <n v="19700"/>
    <x v="269"/>
    <s v="Thu Dec 18 2014 12:00:00 GMT-0800 (PST)"/>
    <n v="2014"/>
    <x v="283"/>
    <x v="1"/>
    <s v="Medium"/>
  </r>
  <r>
    <n v="2012"/>
    <x v="6"/>
    <x v="174"/>
    <x v="5"/>
    <x v="0"/>
    <s v="automatic"/>
    <s v="1fmhk7b83cga31940"/>
    <s v="ca"/>
    <n v="19"/>
    <x v="976"/>
    <s v="black"/>
    <s v="tan"/>
    <s v="galpin ford studio rentals"/>
    <n v="16550"/>
    <x v="323"/>
    <s v="Tue Dec 16 2014 12:30:00 GMT-0800 (PST)"/>
    <n v="2014"/>
    <x v="284"/>
    <x v="0"/>
    <s v="Medium"/>
  </r>
  <r>
    <n v="2012"/>
    <x v="6"/>
    <x v="158"/>
    <x v="38"/>
    <x v="0"/>
    <s v="automatic"/>
    <s v="1fmcu0eg8cka50169"/>
    <s v="ca"/>
    <n v="24"/>
    <x v="977"/>
    <s v="gray"/>
    <s v="black"/>
    <s v="premium auto wholesale"/>
    <n v="16000"/>
    <x v="180"/>
    <s v="Thu Jan 08 2015 12:00:00 GMT-0800 (PST)"/>
    <n v="2015"/>
    <x v="255"/>
    <x v="2"/>
    <s v="Low"/>
  </r>
  <r>
    <n v="2012"/>
    <x v="1"/>
    <x v="19"/>
    <x v="149"/>
    <x v="0"/>
    <m/>
    <s v="5uxzw0c57cl671289"/>
    <s v="ca"/>
    <n v="4"/>
    <x v="978"/>
    <s v="gray"/>
    <s v="â€”"/>
    <s v="bmw of riverside"/>
    <n v="33200"/>
    <x v="212"/>
    <s v="Tue Jun 16 2015 05:30:00 GMT-0700 (PDT)"/>
    <n v="2015"/>
    <x v="262"/>
    <x v="0"/>
    <s v="Medium"/>
  </r>
  <r>
    <n v="2012"/>
    <x v="28"/>
    <x v="166"/>
    <x v="161"/>
    <x v="2"/>
    <s v="manual"/>
    <s v="3c3cffdr3ct355098"/>
    <s v="ca"/>
    <n v="43"/>
    <x v="979"/>
    <s v="green"/>
    <s v="black"/>
    <s v="san diego sports cars"/>
    <n v="8725"/>
    <x v="36"/>
    <s v="Wed Dec 17 2014 12:15:00 GMT-0800 (PST)"/>
    <n v="2014"/>
    <x v="285"/>
    <x v="1"/>
    <s v="Low"/>
  </r>
  <r>
    <n v="2012"/>
    <x v="1"/>
    <x v="155"/>
    <x v="141"/>
    <x v="0"/>
    <s v="automatic"/>
    <s v="5uxwx5c50cl724217"/>
    <s v="ca"/>
    <n v="45"/>
    <x v="980"/>
    <s v="gray"/>
    <s v="black"/>
    <s v="financial services remarketing (lease)"/>
    <n v="25600"/>
    <x v="109"/>
    <s v="Thu Dec 18 2014 12:30:00 GMT-0800 (PST)"/>
    <n v="2014"/>
    <x v="248"/>
    <x v="1"/>
    <s v="Medium"/>
  </r>
  <r>
    <n v="2012"/>
    <x v="4"/>
    <x v="29"/>
    <x v="151"/>
    <x v="1"/>
    <s v="automatic"/>
    <s v="1g1za5e04cf380576"/>
    <s v="ca"/>
    <n v="4"/>
    <x v="981"/>
    <s v="white"/>
    <s v="gray"/>
    <s v="the hertz corporation/gm"/>
    <n v="8925"/>
    <x v="36"/>
    <s v="Tue Dec 16 2014 12:30:00 GMT-0800 (PST)"/>
    <n v="2014"/>
    <x v="265"/>
    <x v="0"/>
    <s v="Low"/>
  </r>
  <r>
    <n v="2012"/>
    <x v="8"/>
    <x v="37"/>
    <x v="29"/>
    <x v="0"/>
    <s v="automatic"/>
    <s v="5gakrced0cj149925"/>
    <s v="ca"/>
    <n v="41"/>
    <x v="982"/>
    <s v="beige"/>
    <s v="beige"/>
    <s v="fiserv/usb dealer services northstar exchange"/>
    <n v="24100"/>
    <x v="114"/>
    <s v="Tue Dec 16 2014 12:30:00 GMT-0800 (PST)"/>
    <n v="2014"/>
    <x v="39"/>
    <x v="1"/>
    <s v="Medium"/>
  </r>
  <r>
    <n v="2012"/>
    <x v="4"/>
    <x v="175"/>
    <x v="162"/>
    <x v="0"/>
    <s v="automatic"/>
    <s v="3gnfl4e53cs609522"/>
    <s v="ca"/>
    <n v="3"/>
    <x v="983"/>
    <s v="silver"/>
    <s v="black"/>
    <s v="the hertz corporation/gm"/>
    <n v="11900"/>
    <x v="110"/>
    <s v="Tue Dec 16 2014 12:30:00 GMT-0800 (PST)"/>
    <n v="2014"/>
    <x v="286"/>
    <x v="0"/>
    <s v="Low"/>
  </r>
  <r>
    <n v="2012"/>
    <x v="4"/>
    <x v="15"/>
    <x v="150"/>
    <x v="1"/>
    <s v="automatic"/>
    <s v="2g1wg5e30c1116290"/>
    <s v="ca"/>
    <n v="41"/>
    <x v="984"/>
    <s v="white"/>
    <s v="black"/>
    <s v="cig financial"/>
    <n v="9350"/>
    <x v="30"/>
    <s v="Wed Dec 17 2014 12:30:00 GMT-0800 (PST)"/>
    <n v="2014"/>
    <x v="287"/>
    <x v="1"/>
    <s v="Low"/>
  </r>
  <r>
    <n v="2012"/>
    <x v="4"/>
    <x v="40"/>
    <x v="32"/>
    <x v="6"/>
    <s v="automatic"/>
    <s v="1gc1kvcg3cf136273"/>
    <s v="ca"/>
    <n v="29"/>
    <x v="985"/>
    <s v="white"/>
    <s v="black"/>
    <s v="merchants automotive group"/>
    <n v="22600"/>
    <x v="63"/>
    <s v="Wed Dec 17 2014 12:30:00 GMT-0800 (PST)"/>
    <n v="2014"/>
    <x v="42"/>
    <x v="2"/>
    <s v="Medium"/>
  </r>
  <r>
    <n v="2012"/>
    <x v="9"/>
    <x v="176"/>
    <x v="23"/>
    <x v="0"/>
    <s v="automatic"/>
    <s v="1gys3bef3cr133032"/>
    <s v="ca"/>
    <n v="36"/>
    <x v="986"/>
    <s v="black"/>
    <s v="black"/>
    <s v="fiserv/usb dealer services northstar exchange"/>
    <n v="36600"/>
    <x v="230"/>
    <s v="Thu Dec 18 2014 12:30:00 GMT-0800 (PST)"/>
    <n v="2014"/>
    <x v="288"/>
    <x v="2"/>
    <s v="Medium"/>
  </r>
  <r>
    <n v="2012"/>
    <x v="6"/>
    <x v="158"/>
    <x v="38"/>
    <x v="0"/>
    <s v="automatic"/>
    <s v="1fmcu0e7xckc08558"/>
    <s v="ca"/>
    <n v="47"/>
    <x v="987"/>
    <s v="white"/>
    <s v="beige"/>
    <s v="ford motor credit company llc pd"/>
    <n v="15750"/>
    <x v="245"/>
    <s v="Thu Dec 18 2014 12:00:00 GMT-0800 (PST)"/>
    <n v="2014"/>
    <x v="255"/>
    <x v="1"/>
    <s v="Low"/>
  </r>
  <r>
    <n v="2012"/>
    <x v="27"/>
    <x v="177"/>
    <x v="163"/>
    <x v="11"/>
    <s v="automatic"/>
    <s v="2c4rdgbgxcr138394"/>
    <s v="ca"/>
    <n v="44"/>
    <x v="988"/>
    <s v="silver"/>
    <s v="black"/>
    <s v="wheels exchange llc"/>
    <n v="7975"/>
    <x v="175"/>
    <s v="Wed Dec 17 2014 12:30:00 GMT-0800 (PST)"/>
    <n v="2014"/>
    <x v="289"/>
    <x v="1"/>
    <s v="Low"/>
  </r>
  <r>
    <n v="2012"/>
    <x v="4"/>
    <x v="6"/>
    <x v="6"/>
    <x v="1"/>
    <s v="automatic"/>
    <s v="1g1pf5sc5c7318718"/>
    <s v="ca"/>
    <n v="42"/>
    <x v="989"/>
    <s v="white"/>
    <s v="gray"/>
    <s v="ge fleet services for itself/servicer"/>
    <n v="10450"/>
    <x v="25"/>
    <s v="Tue Dec 16 2014 12:00:00 GMT-0800 (PST)"/>
    <n v="2014"/>
    <x v="6"/>
    <x v="1"/>
    <s v="Low"/>
  </r>
  <r>
    <n v="2012"/>
    <x v="27"/>
    <x v="177"/>
    <x v="155"/>
    <x v="11"/>
    <s v="automatic"/>
    <s v="2c4rdgcg2cr308102"/>
    <s v="ca"/>
    <n v="29"/>
    <x v="990"/>
    <s v="black"/>
    <s v="beige"/>
    <s v="tdaf remarketing"/>
    <n v="10650"/>
    <x v="100"/>
    <s v="Tue Dec 16 2014 12:30:00 GMT-0800 (PST)"/>
    <n v="2014"/>
    <x v="290"/>
    <x v="2"/>
    <s v="Low"/>
  </r>
  <r>
    <n v="2012"/>
    <x v="6"/>
    <x v="159"/>
    <x v="38"/>
    <x v="0"/>
    <s v="automatic"/>
    <s v="2fmdk3kc0cba63263"/>
    <s v="ca"/>
    <n v="42"/>
    <x v="991"/>
    <s v="black"/>
    <s v="black"/>
    <s v="ford motor credit company llc pd"/>
    <n v="21100"/>
    <x v="106"/>
    <s v="Thu Dec 18 2014 12:00:00 GMT-0800 (PST)"/>
    <n v="2014"/>
    <x v="291"/>
    <x v="1"/>
    <s v="Medium"/>
  </r>
  <r>
    <n v="2012"/>
    <x v="29"/>
    <x v="167"/>
    <x v="0"/>
    <x v="1"/>
    <s v="automatic"/>
    <s v="1c3ccbab7cn236141"/>
    <s v="ca"/>
    <m/>
    <x v="694"/>
    <s v="gray"/>
    <s v="black"/>
    <s v="santander consumer"/>
    <n v="10450"/>
    <x v="324"/>
    <s v="Tue Dec 16 2014 13:00:00 GMT-0800 (PST)"/>
    <n v="2014"/>
    <x v="270"/>
    <x v="0"/>
    <s v="Low"/>
  </r>
  <r>
    <n v="2012"/>
    <x v="6"/>
    <x v="159"/>
    <x v="10"/>
    <x v="0"/>
    <s v="automatic"/>
    <s v="2fmdk3g93cba04334"/>
    <s v="ca"/>
    <n v="45"/>
    <x v="992"/>
    <s v="white"/>
    <s v="beige"/>
    <s v="ford motor credit company llc pd"/>
    <n v="15400"/>
    <x v="216"/>
    <s v="Thu Dec 18 2014 12:00:00 GMT-0800 (PST)"/>
    <n v="2014"/>
    <x v="275"/>
    <x v="1"/>
    <s v="Low"/>
  </r>
  <r>
    <n v="2012"/>
    <x v="1"/>
    <x v="26"/>
    <x v="157"/>
    <x v="0"/>
    <s v="automatic"/>
    <s v="5uxfg8c57cl590176"/>
    <s v="ca"/>
    <n v="19"/>
    <x v="993"/>
    <s v="black"/>
    <s v="tan"/>
    <s v="financial services remarketing (lease)"/>
    <n v="40100"/>
    <x v="311"/>
    <s v="Thu Jan 15 2015 04:30:00 GMT-0800 (PST)"/>
    <n v="2015"/>
    <x v="292"/>
    <x v="0"/>
    <s v="Medium"/>
  </r>
  <r>
    <n v="2012"/>
    <x v="6"/>
    <x v="160"/>
    <x v="10"/>
    <x v="5"/>
    <s v="automatic"/>
    <s v="1fahp3k20cl268649"/>
    <s v="ca"/>
    <n v="29"/>
    <x v="994"/>
    <s v="black"/>
    <s v="black"/>
    <s v="dtg operations inc"/>
    <n v="8525"/>
    <x v="317"/>
    <s v="Wed Dec 17 2014 12:30:00 GMT-0800 (PST)"/>
    <n v="2014"/>
    <x v="266"/>
    <x v="2"/>
    <s v="Low"/>
  </r>
  <r>
    <n v="2012"/>
    <x v="4"/>
    <x v="6"/>
    <x v="11"/>
    <x v="1"/>
    <s v="automatic"/>
    <s v="1g1pg5sc3c7127456"/>
    <s v="ca"/>
    <n v="19"/>
    <x v="995"/>
    <s v="white"/>
    <s v="black"/>
    <s v="california fleet inc"/>
    <n v="8475"/>
    <x v="325"/>
    <s v="Thu Dec 18 2014 12:00:00 GMT-0800 (PST)"/>
    <n v="2014"/>
    <x v="12"/>
    <x v="0"/>
    <s v="Low"/>
  </r>
  <r>
    <n v="2012"/>
    <x v="6"/>
    <x v="159"/>
    <x v="10"/>
    <x v="0"/>
    <s v="automatic"/>
    <s v="2fmdk3gc7cba30642"/>
    <s v="ca"/>
    <n v="46"/>
    <x v="996"/>
    <s v="brown"/>
    <s v="black"/>
    <s v="ford motor credit company llc pd"/>
    <n v="16300"/>
    <x v="111"/>
    <s v="Thu Dec 18 2014 12:00:00 GMT-0800 (PST)"/>
    <n v="2014"/>
    <x v="275"/>
    <x v="1"/>
    <s v="Low"/>
  </r>
  <r>
    <n v="2012"/>
    <x v="4"/>
    <x v="29"/>
    <x v="8"/>
    <x v="1"/>
    <s v="automatic"/>
    <s v="1g1zd5e01cf385922"/>
    <s v="ca"/>
    <n v="38"/>
    <x v="997"/>
    <s v="silver"/>
    <s v="black"/>
    <s v="the hertz corporation/gm"/>
    <n v="9400"/>
    <x v="274"/>
    <s v="Tue Dec 16 2014 12:30:00 GMT-0800 (PST)"/>
    <n v="2014"/>
    <x v="31"/>
    <x v="2"/>
    <s v="Low"/>
  </r>
  <r>
    <n v="2012"/>
    <x v="6"/>
    <x v="165"/>
    <x v="89"/>
    <x v="1"/>
    <s v="automatic"/>
    <s v="3fadp4aj1cm132316"/>
    <s v="ca"/>
    <n v="3"/>
    <x v="998"/>
    <s v="white"/>
    <s v="gray"/>
    <s v="enterprise fm exchange/tra/lease"/>
    <n v="3650"/>
    <x v="326"/>
    <s v="Tue Dec 16 2014 12:00:00 GMT-0800 (PST)"/>
    <n v="2014"/>
    <x v="293"/>
    <x v="0"/>
    <s v="Low"/>
  </r>
  <r>
    <n v="2012"/>
    <x v="9"/>
    <x v="178"/>
    <x v="164"/>
    <x v="19"/>
    <s v="automatic"/>
    <s v="1g6dp1e36c0128773"/>
    <s v="ca"/>
    <n v="4"/>
    <x v="999"/>
    <s v="brown"/>
    <s v="beige"/>
    <s v="desert auto trade"/>
    <n v="27100"/>
    <x v="34"/>
    <s v="Tue Dec 16 2014 12:30:00 GMT-0800 (PST)"/>
    <n v="2014"/>
    <x v="294"/>
    <x v="0"/>
    <s v="Medium"/>
  </r>
  <r>
    <n v="2012"/>
    <x v="6"/>
    <x v="160"/>
    <x v="10"/>
    <x v="1"/>
    <s v="automatic"/>
    <s v="1fahp3f22cl321491"/>
    <s v="ca"/>
    <n v="48"/>
    <x v="1000"/>
    <s v="gray"/>
    <s v="gray"/>
    <s v="ford motor credit company llc pd"/>
    <n v="11050"/>
    <x v="148"/>
    <s v="Thu Jan 08 2015 12:00:00 GMT-0800 (PST)"/>
    <n v="2015"/>
    <x v="266"/>
    <x v="1"/>
    <s v="Low"/>
  </r>
  <r>
    <n v="2012"/>
    <x v="4"/>
    <x v="42"/>
    <x v="8"/>
    <x v="20"/>
    <m/>
    <s v="1gcrkse74cz226528"/>
    <s v="ca"/>
    <n v="42"/>
    <x v="1001"/>
    <s v="red"/>
    <s v="beige"/>
    <s v="aaero sweet company"/>
    <n v="19950"/>
    <x v="106"/>
    <s v="Thu Dec 18 2014 11:30:00 GMT-0800 (PST)"/>
    <n v="2014"/>
    <x v="44"/>
    <x v="1"/>
    <s v="Medium"/>
  </r>
  <r>
    <n v="2012"/>
    <x v="4"/>
    <x v="6"/>
    <x v="12"/>
    <x v="1"/>
    <s v="automatic"/>
    <s v="1g1pc5sh1c7277640"/>
    <s v="ca"/>
    <n v="22"/>
    <x v="1002"/>
    <s v="silver"/>
    <s v="black"/>
    <s v="gm financial"/>
    <n v="9000"/>
    <x v="327"/>
    <s v="Wed Dec 17 2014 12:30:00 GMT-0800 (PST)"/>
    <n v="2014"/>
    <x v="280"/>
    <x v="2"/>
    <s v="Low"/>
  </r>
  <r>
    <n v="2012"/>
    <x v="27"/>
    <x v="156"/>
    <x v="10"/>
    <x v="1"/>
    <s v="automatic"/>
    <s v="1c3cdzab0cn322185"/>
    <s v="ca"/>
    <n v="38"/>
    <x v="1003"/>
    <s v="gray"/>
    <s v="black"/>
    <s v="dtg operations inc"/>
    <n v="7950"/>
    <x v="184"/>
    <s v="Wed Dec 17 2014 12:30:00 GMT-0800 (PST)"/>
    <n v="2014"/>
    <x v="253"/>
    <x v="2"/>
    <s v="Low"/>
  </r>
  <r>
    <n v="2012"/>
    <x v="6"/>
    <x v="173"/>
    <x v="165"/>
    <x v="18"/>
    <s v="automatic"/>
    <s v="1ftfw1ct0cfb64807"/>
    <s v="ca"/>
    <n v="46"/>
    <x v="1004"/>
    <s v="gray"/>
    <s v="black"/>
    <s v="ford motor credit company llc pd"/>
    <n v="26700"/>
    <x v="32"/>
    <s v="Thu Dec 18 2014 12:00:00 GMT-0800 (PST)"/>
    <n v="2014"/>
    <x v="295"/>
    <x v="1"/>
    <s v="Medium"/>
  </r>
  <r>
    <n v="2012"/>
    <x v="1"/>
    <x v="19"/>
    <x v="147"/>
    <x v="0"/>
    <s v="automatic"/>
    <s v="5uxzv4c55cl759655"/>
    <s v="ca"/>
    <n v="49"/>
    <x v="704"/>
    <s v="gray"/>
    <s v="gray"/>
    <s v="financial services remarketing (lease)"/>
    <n v="39200"/>
    <x v="328"/>
    <s v="Thu Dec 18 2014 12:30:00 GMT-0800 (PST)"/>
    <n v="2014"/>
    <x v="257"/>
    <x v="1"/>
    <s v="Medium"/>
  </r>
  <r>
    <n v="2012"/>
    <x v="6"/>
    <x v="159"/>
    <x v="146"/>
    <x v="0"/>
    <s v="automatic"/>
    <s v="2fmdk3jc3cba60133"/>
    <s v="ca"/>
    <n v="44"/>
    <x v="1005"/>
    <s v="blue"/>
    <s v="black"/>
    <s v="ford motor credit company llc pd"/>
    <n v="19550"/>
    <x v="329"/>
    <s v="Thu Dec 18 2014 12:00:00 GMT-0800 (PST)"/>
    <n v="2014"/>
    <x v="256"/>
    <x v="1"/>
    <s v="Medium"/>
  </r>
  <r>
    <n v="2012"/>
    <x v="27"/>
    <x v="177"/>
    <x v="155"/>
    <x v="11"/>
    <s v="automatic"/>
    <s v="2c4rdgcg9cr296434"/>
    <s v="ca"/>
    <n v="34"/>
    <x v="1006"/>
    <s v="silver"/>
    <s v="black"/>
    <s v="exeter finance corp"/>
    <n v="11450"/>
    <x v="11"/>
    <s v="Thu Dec 18 2014 12:00:00 GMT-0800 (PST)"/>
    <n v="2014"/>
    <x v="290"/>
    <x v="2"/>
    <s v="Low"/>
  </r>
  <r>
    <n v="2012"/>
    <x v="6"/>
    <x v="159"/>
    <x v="146"/>
    <x v="0"/>
    <s v="automatic"/>
    <s v="2fmdk3jc5cba60246"/>
    <s v="ca"/>
    <n v="44"/>
    <x v="1007"/>
    <s v="black"/>
    <s v="black"/>
    <s v="ford motor credit company llc pd"/>
    <n v="19400"/>
    <x v="155"/>
    <s v="Thu Dec 18 2014 12:00:00 GMT-0800 (PST)"/>
    <n v="2014"/>
    <x v="256"/>
    <x v="1"/>
    <s v="Medium"/>
  </r>
  <r>
    <n v="2012"/>
    <x v="29"/>
    <x v="179"/>
    <x v="57"/>
    <x v="11"/>
    <s v="automatic"/>
    <s v="2c4rc1bg5cr304885"/>
    <s v="ca"/>
    <m/>
    <x v="1008"/>
    <s v="white"/>
    <s v="black"/>
    <s v="hertz/tra"/>
    <n v="11950"/>
    <x v="244"/>
    <s v="Tue Dec 16 2014 13:00:00 GMT-0800 (PST)"/>
    <n v="2014"/>
    <x v="296"/>
    <x v="0"/>
    <s v="Low"/>
  </r>
  <r>
    <n v="2012"/>
    <x v="4"/>
    <x v="15"/>
    <x v="150"/>
    <x v="1"/>
    <s v="automatic"/>
    <s v="2g1wg5e34c1315374"/>
    <s v="ca"/>
    <n v="19"/>
    <x v="1009"/>
    <s v="black"/>
    <s v="black"/>
    <s v="the hertz corporation"/>
    <n v="9075"/>
    <x v="330"/>
    <s v="Wed Dec 17 2014 12:30:00 GMT-0800 (PST)"/>
    <n v="2014"/>
    <x v="287"/>
    <x v="0"/>
    <s v="Low"/>
  </r>
  <r>
    <n v="2012"/>
    <x v="4"/>
    <x v="6"/>
    <x v="11"/>
    <x v="1"/>
    <s v="automatic"/>
    <s v="1g1pg5sc6c7268604"/>
    <s v="ca"/>
    <n v="3"/>
    <x v="1010"/>
    <s v="silver"/>
    <s v="black"/>
    <s v="the hertz corporation/gm"/>
    <n v="9275"/>
    <x v="274"/>
    <s v="Tue Dec 16 2014 12:30:00 GMT-0800 (PST)"/>
    <n v="2014"/>
    <x v="12"/>
    <x v="0"/>
    <s v="Low"/>
  </r>
  <r>
    <n v="2012"/>
    <x v="6"/>
    <x v="160"/>
    <x v="10"/>
    <x v="5"/>
    <s v="automatic"/>
    <s v="1fahp3k20cl290456"/>
    <s v="ca"/>
    <n v="45"/>
    <x v="950"/>
    <s v="black"/>
    <s v="black"/>
    <s v="ford motor credit company llc pd"/>
    <n v="10650"/>
    <x v="123"/>
    <s v="Thu Dec 18 2014 12:00:00 GMT-0800 (PST)"/>
    <n v="2014"/>
    <x v="266"/>
    <x v="1"/>
    <s v="Low"/>
  </r>
  <r>
    <n v="2012"/>
    <x v="27"/>
    <x v="177"/>
    <x v="155"/>
    <x v="11"/>
    <s v="automatic"/>
    <s v="2c4rdgcg4cr274826"/>
    <s v="ca"/>
    <n v="26"/>
    <x v="1011"/>
    <s v="white"/>
    <s v="beige"/>
    <s v="dtg operations inc"/>
    <n v="10450"/>
    <x v="163"/>
    <s v="Tue Feb 17 2015 04:30:00 GMT-0800 (PST)"/>
    <n v="2015"/>
    <x v="290"/>
    <x v="2"/>
    <s v="Low"/>
  </r>
  <r>
    <n v="2012"/>
    <x v="9"/>
    <x v="176"/>
    <x v="164"/>
    <x v="0"/>
    <s v="automatic"/>
    <s v="1gys3cef9cr278064"/>
    <s v="ca"/>
    <n v="38"/>
    <x v="1012"/>
    <s v="black"/>
    <s v="black"/>
    <s v="fiserv/usb dealer services northstar exchange"/>
    <n v="35600"/>
    <x v="200"/>
    <s v="Thu Dec 18 2014 12:30:00 GMT-0800 (PST)"/>
    <n v="2014"/>
    <x v="297"/>
    <x v="2"/>
    <s v="Medium"/>
  </r>
  <r>
    <n v="2012"/>
    <x v="6"/>
    <x v="180"/>
    <x v="166"/>
    <x v="21"/>
    <s v="automatic"/>
    <s v="1ftne1ew7cda57433"/>
    <s v="ca"/>
    <n v="2"/>
    <x v="1013"/>
    <s v="white"/>
    <s v="gray"/>
    <s v="enterprise vehicle exchange / tra / rental / tulsa"/>
    <n v="16000"/>
    <x v="110"/>
    <s v="Tue Dec 16 2014 12:00:00 GMT-0800 (PST)"/>
    <n v="2014"/>
    <x v="298"/>
    <x v="0"/>
    <s v="Low"/>
  </r>
  <r>
    <n v="2012"/>
    <x v="4"/>
    <x v="181"/>
    <x v="5"/>
    <x v="5"/>
    <s v="automatic"/>
    <s v="1g1rd6e47cu107918"/>
    <s v="ca"/>
    <n v="36"/>
    <x v="1014"/>
    <s v="burgundy"/>
    <s v="beige"/>
    <s v="fiserv/usb dealer services northstar exchange"/>
    <n v="13850"/>
    <x v="318"/>
    <s v="Tue Dec 16 2014 12:30:00 GMT-0800 (PST)"/>
    <n v="2014"/>
    <x v="299"/>
    <x v="2"/>
    <s v="Low"/>
  </r>
  <r>
    <n v="2012"/>
    <x v="4"/>
    <x v="6"/>
    <x v="6"/>
    <x v="1"/>
    <s v="automatic"/>
    <s v="1g1pf5sc6c7307355"/>
    <s v="ca"/>
    <n v="3"/>
    <x v="1015"/>
    <s v="blue"/>
    <s v="black"/>
    <s v="the hertz corporation/gm"/>
    <n v="8500"/>
    <x v="36"/>
    <s v="Tue Dec 16 2014 12:30:00 GMT-0800 (PST)"/>
    <n v="2014"/>
    <x v="6"/>
    <x v="0"/>
    <s v="Low"/>
  </r>
  <r>
    <n v="2012"/>
    <x v="6"/>
    <x v="11"/>
    <x v="167"/>
    <x v="1"/>
    <s v="automatic"/>
    <s v="3fadp0l35cr239363"/>
    <s v="ca"/>
    <n v="44"/>
    <x v="1016"/>
    <s v="white"/>
    <s v="tan"/>
    <s v="wholesale motor sales inc"/>
    <n v="15100"/>
    <x v="236"/>
    <s v="Thu Dec 18 2014 12:00:00 GMT-0800 (PST)"/>
    <n v="2014"/>
    <x v="300"/>
    <x v="1"/>
    <s v="Low"/>
  </r>
  <r>
    <n v="2012"/>
    <x v="6"/>
    <x v="160"/>
    <x v="10"/>
    <x v="1"/>
    <s v="automatic"/>
    <s v="1fahp3f22cl294180"/>
    <s v="ca"/>
    <n v="28"/>
    <x v="1017"/>
    <s v="black"/>
    <s v="gray"/>
    <s v="ford motor credit company llc pd"/>
    <n v="10500"/>
    <x v="51"/>
    <s v="Thu Dec 18 2014 12:00:00 GMT-0800 (PST)"/>
    <n v="2014"/>
    <x v="266"/>
    <x v="2"/>
    <s v="Low"/>
  </r>
  <r>
    <n v="2012"/>
    <x v="6"/>
    <x v="160"/>
    <x v="10"/>
    <x v="5"/>
    <s v="automatic"/>
    <s v="1fahp3k26cl423057"/>
    <s v="ca"/>
    <n v="3"/>
    <x v="1018"/>
    <s v="white"/>
    <s v="black"/>
    <s v="enterprise fm exchange/tra/lease"/>
    <n v="9475"/>
    <x v="244"/>
    <s v="Tue Dec 16 2014 13:00:00 GMT-0800 (PST)"/>
    <n v="2014"/>
    <x v="266"/>
    <x v="0"/>
    <s v="Low"/>
  </r>
  <r>
    <n v="2012"/>
    <x v="6"/>
    <x v="160"/>
    <x v="146"/>
    <x v="5"/>
    <s v="automatic"/>
    <s v="1fahp3m24cl423300"/>
    <s v="ca"/>
    <n v="46"/>
    <x v="1019"/>
    <s v="white"/>
    <s v="beige"/>
    <s v="ford motor credit company llc pd"/>
    <n v="10050"/>
    <x v="80"/>
    <s v="Thu Dec 18 2014 12:00:00 GMT-0800 (PST)"/>
    <n v="2014"/>
    <x v="271"/>
    <x v="1"/>
    <s v="Low"/>
  </r>
  <r>
    <n v="2012"/>
    <x v="4"/>
    <x v="6"/>
    <x v="6"/>
    <x v="1"/>
    <s v="automatic"/>
    <s v="1g1pf5sc0c7375697"/>
    <s v="ca"/>
    <n v="46"/>
    <x v="1020"/>
    <s v="red"/>
    <s v="gray"/>
    <s v="ge fleet services for itself/servicer"/>
    <n v="10100"/>
    <x v="231"/>
    <s v="Tue Dec 23 2014 12:30:00 GMT-0800 (PST)"/>
    <n v="2014"/>
    <x v="6"/>
    <x v="1"/>
    <s v="Low"/>
  </r>
  <r>
    <n v="2012"/>
    <x v="4"/>
    <x v="42"/>
    <x v="32"/>
    <x v="20"/>
    <s v="automatic"/>
    <s v="1gcrkpea6cz132644"/>
    <s v="ca"/>
    <n v="39"/>
    <x v="1021"/>
    <s v="white"/>
    <s v="gray"/>
    <s v="merchants automotive group"/>
    <n v="20600"/>
    <x v="269"/>
    <s v="Wed Dec 17 2014 12:30:00 GMT-0800 (PST)"/>
    <n v="2014"/>
    <x v="301"/>
    <x v="2"/>
    <s v="Medium"/>
  </r>
  <r>
    <n v="2012"/>
    <x v="1"/>
    <x v="155"/>
    <x v="21"/>
    <x v="0"/>
    <s v="automatic"/>
    <s v="5uxwx7c56cl737789"/>
    <s v="ca"/>
    <n v="47"/>
    <x v="1022"/>
    <s v="gray"/>
    <s v="black"/>
    <s v="financial services remarketing (lease)"/>
    <n v="24800"/>
    <x v="85"/>
    <s v="Thu Dec 18 2014 12:30:00 GMT-0800 (PST)"/>
    <n v="2014"/>
    <x v="302"/>
    <x v="1"/>
    <s v="Medium"/>
  </r>
  <r>
    <n v="2012"/>
    <x v="4"/>
    <x v="29"/>
    <x v="8"/>
    <x v="1"/>
    <s v="automatic"/>
    <s v="1g1zc5e03cf277854"/>
    <s v="ca"/>
    <n v="44"/>
    <x v="1023"/>
    <s v="silver"/>
    <s v="gray"/>
    <s v="fleet street remarketing llc"/>
    <n v="8850"/>
    <x v="96"/>
    <s v="Thu Dec 18 2014 12:00:00 GMT-0800 (PST)"/>
    <n v="2014"/>
    <x v="31"/>
    <x v="1"/>
    <s v="Low"/>
  </r>
  <r>
    <n v="2012"/>
    <x v="6"/>
    <x v="157"/>
    <x v="145"/>
    <x v="13"/>
    <s v="automatic"/>
    <s v="1fbss3bl2cdb17284"/>
    <s v="ca"/>
    <n v="43"/>
    <x v="1024"/>
    <s v="white"/>
    <s v="gray"/>
    <s v="enterprise veh exchange/rental"/>
    <n v="15650"/>
    <x v="241"/>
    <s v="Wed Dec 31 2014 15:05:00 GMT-0800 (PST)"/>
    <n v="2014"/>
    <x v="254"/>
    <x v="1"/>
    <s v="Low"/>
  </r>
  <r>
    <n v="2012"/>
    <x v="1"/>
    <x v="19"/>
    <x v="147"/>
    <x v="0"/>
    <s v="automatic"/>
    <s v="5uxzv4c53cl762179"/>
    <s v="ca"/>
    <n v="44"/>
    <x v="1025"/>
    <s v="blue"/>
    <s v="gray"/>
    <s v="financial services remarketing (lease)"/>
    <n v="35200"/>
    <x v="238"/>
    <s v="Thu Jan 29 2015 04:30:00 GMT-0800 (PST)"/>
    <n v="2015"/>
    <x v="257"/>
    <x v="1"/>
    <s v="Medium"/>
  </r>
  <r>
    <n v="2012"/>
    <x v="6"/>
    <x v="158"/>
    <x v="160"/>
    <x v="0"/>
    <s v="automatic"/>
    <s v="1fmcu0dg9ckc18905"/>
    <s v="ca"/>
    <n v="43"/>
    <x v="1026"/>
    <s v="black"/>
    <s v="black"/>
    <s v="ford motor credit company llc pd"/>
    <n v="12350"/>
    <x v="236"/>
    <s v="Thu Dec 18 2014 12:00:00 GMT-0800 (PST)"/>
    <n v="2014"/>
    <x v="303"/>
    <x v="1"/>
    <s v="Low"/>
  </r>
  <r>
    <n v="2012"/>
    <x v="4"/>
    <x v="182"/>
    <x v="168"/>
    <x v="13"/>
    <s v="automatic"/>
    <s v="1gcsgafx9c1156776"/>
    <s v="ca"/>
    <n v="28"/>
    <x v="1027"/>
    <s v="white"/>
    <s v="gray"/>
    <s v="lease plan usa"/>
    <n v="8800"/>
    <x v="144"/>
    <s v="Tue Dec 16 2014 12:00:00 GMT-0800 (PST)"/>
    <n v="2014"/>
    <x v="304"/>
    <x v="2"/>
    <s v="Low"/>
  </r>
  <r>
    <n v="2012"/>
    <x v="4"/>
    <x v="15"/>
    <x v="150"/>
    <x v="1"/>
    <s v="automatic"/>
    <s v="2g1wg5e35c1171477"/>
    <s v="ca"/>
    <n v="43"/>
    <x v="1028"/>
    <s v="silver"/>
    <s v="black"/>
    <s v="ge fleet services for itself/servicer"/>
    <n v="9000"/>
    <x v="254"/>
    <s v="Tue Dec 23 2014 12:30:00 GMT-0800 (PST)"/>
    <n v="2014"/>
    <x v="287"/>
    <x v="1"/>
    <s v="Low"/>
  </r>
  <r>
    <n v="2012"/>
    <x v="4"/>
    <x v="6"/>
    <x v="169"/>
    <x v="1"/>
    <s v="manual"/>
    <s v="1g1pk5scxc7100916"/>
    <s v="ca"/>
    <n v="28"/>
    <x v="1029"/>
    <s v="charcoal"/>
    <s v="gray"/>
    <s v="west coast acceptance"/>
    <n v="8250"/>
    <x v="275"/>
    <s v="Wed Dec 17 2014 12:30:00 GMT-0800 (PST)"/>
    <n v="2014"/>
    <x v="305"/>
    <x v="2"/>
    <s v="Low"/>
  </r>
  <r>
    <n v="2012"/>
    <x v="6"/>
    <x v="183"/>
    <x v="170"/>
    <x v="12"/>
    <s v="automatic"/>
    <s v="1fdne1bw1cdb07405"/>
    <s v="ca"/>
    <n v="38"/>
    <x v="1030"/>
    <s v="white"/>
    <s v="gray"/>
    <s v="vpsi  inc"/>
    <n v="8575"/>
    <x v="96"/>
    <s v="Wed Dec 17 2014 12:30:00 GMT-0800 (PST)"/>
    <n v="2014"/>
    <x v="306"/>
    <x v="2"/>
    <s v="Low"/>
  </r>
  <r>
    <n v="2012"/>
    <x v="6"/>
    <x v="160"/>
    <x v="146"/>
    <x v="1"/>
    <s v="automatic"/>
    <s v="1fahp3h20cl470320"/>
    <s v="ca"/>
    <m/>
    <x v="1031"/>
    <s v="white"/>
    <s v="gray"/>
    <s v="kearny pearson kia"/>
    <n v="10600"/>
    <x v="93"/>
    <s v="Wed Dec 17 2014 12:30:00 GMT-0800 (PST)"/>
    <n v="2014"/>
    <x v="271"/>
    <x v="0"/>
    <s v="Low"/>
  </r>
  <r>
    <n v="2012"/>
    <x v="8"/>
    <x v="37"/>
    <x v="29"/>
    <x v="0"/>
    <s v="automatic"/>
    <s v="5gakrced8cj138011"/>
    <s v="ca"/>
    <n v="43"/>
    <x v="1032"/>
    <s v="white"/>
    <s v="beige"/>
    <s v="fiserv/usb dealer services northstar exchange"/>
    <n v="24000"/>
    <x v="85"/>
    <s v="Tue Dec 16 2014 12:30:00 GMT-0800 (PST)"/>
    <n v="2014"/>
    <x v="39"/>
    <x v="1"/>
    <s v="Medium"/>
  </r>
  <r>
    <n v="2012"/>
    <x v="1"/>
    <x v="19"/>
    <x v="147"/>
    <x v="0"/>
    <s v="automatic"/>
    <s v="5uxzv4c50cl985442"/>
    <s v="ca"/>
    <n v="49"/>
    <x v="421"/>
    <s v="gray"/>
    <s v="black"/>
    <s v="financial services remarketing (lease)"/>
    <n v="39900"/>
    <x v="271"/>
    <s v="Thu Dec 18 2014 12:30:00 GMT-0800 (PST)"/>
    <n v="2014"/>
    <x v="257"/>
    <x v="1"/>
    <s v="Medium"/>
  </r>
  <r>
    <n v="2012"/>
    <x v="4"/>
    <x v="6"/>
    <x v="6"/>
    <x v="1"/>
    <s v="automatic"/>
    <s v="1g1pf5sc2c7335329"/>
    <s v="ca"/>
    <n v="3"/>
    <x v="1033"/>
    <s v="blue"/>
    <s v="black"/>
    <s v="the hertz corporation/gm"/>
    <n v="9000"/>
    <x v="30"/>
    <s v="Tue Jan 06 2015 04:30:00 GMT-0800 (PST)"/>
    <n v="2015"/>
    <x v="6"/>
    <x v="0"/>
    <s v="Low"/>
  </r>
  <r>
    <n v="2012"/>
    <x v="6"/>
    <x v="11"/>
    <x v="10"/>
    <x v="1"/>
    <s v="automatic"/>
    <s v="3fahp0ha9cr263531"/>
    <s v="ca"/>
    <n v="27"/>
    <x v="1034"/>
    <s v="silver"/>
    <s v="gray"/>
    <s v="wheels exchange llc"/>
    <n v="8275"/>
    <x v="174"/>
    <s v="Wed Dec 17 2014 12:30:00 GMT-0800 (PST)"/>
    <n v="2014"/>
    <x v="11"/>
    <x v="2"/>
    <s v="Low"/>
  </r>
  <r>
    <n v="2012"/>
    <x v="27"/>
    <x v="156"/>
    <x v="10"/>
    <x v="1"/>
    <s v="automatic"/>
    <s v="1c3cdzabxcn259189"/>
    <s v="ca"/>
    <n v="21"/>
    <x v="1035"/>
    <s v="gray"/>
    <s v="black"/>
    <s v="dtg operations inc"/>
    <n v="8550"/>
    <x v="193"/>
    <s v="Tue Dec 16 2014 12:30:00 GMT-0800 (PST)"/>
    <n v="2014"/>
    <x v="253"/>
    <x v="2"/>
    <s v="Low"/>
  </r>
  <r>
    <n v="2012"/>
    <x v="4"/>
    <x v="15"/>
    <x v="150"/>
    <x v="1"/>
    <s v="automatic"/>
    <s v="2g1wg5e3xc1252099"/>
    <s v="ca"/>
    <n v="41"/>
    <x v="1036"/>
    <s v="black"/>
    <s v="black"/>
    <s v="santander consumer"/>
    <n v="9025"/>
    <x v="274"/>
    <s v="Thu Dec 18 2014 12:00:00 GMT-0800 (PST)"/>
    <n v="2014"/>
    <x v="287"/>
    <x v="1"/>
    <s v="Low"/>
  </r>
  <r>
    <n v="2012"/>
    <x v="4"/>
    <x v="15"/>
    <x v="150"/>
    <x v="1"/>
    <s v="automatic"/>
    <s v="2g1wg5e36c1103821"/>
    <s v="ca"/>
    <n v="27"/>
    <x v="1037"/>
    <s v="white"/>
    <s v="gray"/>
    <s v="california rent-a-car &amp; leasing"/>
    <n v="10000"/>
    <x v="317"/>
    <s v="Wed Jan 21 2015 04:30:00 GMT-0800 (PST)"/>
    <n v="2015"/>
    <x v="287"/>
    <x v="2"/>
    <s v="Low"/>
  </r>
  <r>
    <n v="2012"/>
    <x v="29"/>
    <x v="167"/>
    <x v="0"/>
    <x v="1"/>
    <s v="automatic"/>
    <s v="1c3ccbab8cn317472"/>
    <s v="ca"/>
    <n v="34"/>
    <x v="1038"/>
    <s v="black"/>
    <s v="black"/>
    <s v="dtg operations inc"/>
    <n v="8325"/>
    <x v="116"/>
    <s v="Tue Dec 16 2014 12:30:00 GMT-0800 (PST)"/>
    <n v="2014"/>
    <x v="270"/>
    <x v="2"/>
    <s v="Low"/>
  </r>
  <r>
    <n v="2012"/>
    <x v="1"/>
    <x v="184"/>
    <x v="5"/>
    <x v="0"/>
    <s v="automatic"/>
    <s v="5ymgy0c58clk27624"/>
    <s v="ca"/>
    <n v="34"/>
    <x v="1039"/>
    <s v="black"/>
    <s v="black"/>
    <s v="financial services remarketing (lease)"/>
    <n v="53500"/>
    <x v="222"/>
    <s v="Thu Dec 18 2014 12:30:00 GMT-0800 (PST)"/>
    <n v="2014"/>
    <x v="307"/>
    <x v="2"/>
    <s v="High"/>
  </r>
  <r>
    <n v="2012"/>
    <x v="6"/>
    <x v="173"/>
    <x v="160"/>
    <x v="18"/>
    <s v="automatic"/>
    <s v="1ftfw1et3ckd61619"/>
    <s v="ca"/>
    <n v="39"/>
    <x v="1040"/>
    <s v="black"/>
    <s v="gray"/>
    <s v="ford motor credit company llc pd"/>
    <n v="26300"/>
    <x v="331"/>
    <s v="Thu Dec 18 2014 12:00:00 GMT-0800 (PST)"/>
    <n v="2014"/>
    <x v="283"/>
    <x v="2"/>
    <s v="Medium"/>
  </r>
  <r>
    <n v="2012"/>
    <x v="6"/>
    <x v="158"/>
    <x v="38"/>
    <x v="0"/>
    <m/>
    <s v="1fmcu0eg0ckc81633"/>
    <s v="ca"/>
    <m/>
    <x v="1041"/>
    <s v="black"/>
    <s v="â€”"/>
    <s v="carmax # 7159"/>
    <n v="17550"/>
    <x v="108"/>
    <s v="Wed Dec 17 2014 12:30:00 GMT-0800 (PST)"/>
    <n v="2014"/>
    <x v="255"/>
    <x v="0"/>
    <s v="Low"/>
  </r>
  <r>
    <n v="2012"/>
    <x v="6"/>
    <x v="173"/>
    <x v="160"/>
    <x v="18"/>
    <s v="automatic"/>
    <s v="1ftfw1ef9cfc79834"/>
    <s v="ca"/>
    <n v="35"/>
    <x v="1042"/>
    <s v="white"/>
    <s v="gray"/>
    <s v="aaero sweet company"/>
    <n v="18900"/>
    <x v="24"/>
    <s v="Wed Dec 17 2014 12:15:00 GMT-0800 (PST)"/>
    <n v="2014"/>
    <x v="283"/>
    <x v="2"/>
    <s v="Medium"/>
  </r>
  <r>
    <n v="2012"/>
    <x v="4"/>
    <x v="29"/>
    <x v="8"/>
    <x v="1"/>
    <s v="automatic"/>
    <s v="1g1zc5e09cf392717"/>
    <s v="ca"/>
    <n v="41"/>
    <x v="1043"/>
    <s v="silver"/>
    <s v="black"/>
    <s v="the hertz corporation"/>
    <n v="9475"/>
    <x v="189"/>
    <s v="Tue Dec 16 2014 12:30:00 GMT-0800 (PST)"/>
    <n v="2014"/>
    <x v="31"/>
    <x v="1"/>
    <s v="Low"/>
  </r>
  <r>
    <n v="2012"/>
    <x v="4"/>
    <x v="175"/>
    <x v="171"/>
    <x v="0"/>
    <s v="automatic"/>
    <s v="3gnal2ek8cs604756"/>
    <s v="ca"/>
    <n v="2"/>
    <x v="1044"/>
    <s v="gray"/>
    <s v="gray"/>
    <s v="the hertz corporation/gm"/>
    <n v="8025"/>
    <x v="6"/>
    <s v="Tue Dec 16 2014 12:30:00 GMT-0800 (PST)"/>
    <n v="2014"/>
    <x v="308"/>
    <x v="0"/>
    <s v="Low"/>
  </r>
  <r>
    <n v="2012"/>
    <x v="6"/>
    <x v="11"/>
    <x v="146"/>
    <x v="1"/>
    <s v="automatic"/>
    <s v="3fahp0cg8cr101336"/>
    <s v="ca"/>
    <n v="47"/>
    <x v="1045"/>
    <s v="gray"/>
    <s v="beige"/>
    <s v="ford motor credit company llc pd"/>
    <n v="15050"/>
    <x v="245"/>
    <s v="Thu Dec 18 2014 12:00:00 GMT-0800 (PST)"/>
    <n v="2014"/>
    <x v="309"/>
    <x v="1"/>
    <s v="Low"/>
  </r>
  <r>
    <n v="2012"/>
    <x v="4"/>
    <x v="42"/>
    <x v="8"/>
    <x v="6"/>
    <s v="automatic"/>
    <s v="3gcukse29cg269406"/>
    <s v="ca"/>
    <n v="41"/>
    <x v="1046"/>
    <s v="white"/>
    <s v="black"/>
    <s v="farm credit leasing exchange inc"/>
    <n v="23500"/>
    <x v="29"/>
    <s v="Wed Jan 28 2015 04:30:00 GMT-0800 (PST)"/>
    <n v="2015"/>
    <x v="44"/>
    <x v="1"/>
    <s v="Medium"/>
  </r>
  <r>
    <n v="2012"/>
    <x v="6"/>
    <x v="159"/>
    <x v="42"/>
    <x v="0"/>
    <s v="automatic"/>
    <s v="2fmdk3akxcba04245"/>
    <s v="ca"/>
    <n v="4"/>
    <x v="1047"/>
    <s v="black"/>
    <s v="black"/>
    <s v="ford motor credit company llc pd"/>
    <n v="22700"/>
    <x v="332"/>
    <s v="Thu Dec 18 2014 12:00:00 GMT-0800 (PST)"/>
    <n v="2014"/>
    <x v="310"/>
    <x v="0"/>
    <s v="Medium"/>
  </r>
  <r>
    <n v="2012"/>
    <x v="27"/>
    <x v="169"/>
    <x v="155"/>
    <x v="1"/>
    <s v="automatic"/>
    <s v="2c3cdxhg5ch244551"/>
    <s v="ca"/>
    <n v="35"/>
    <x v="1048"/>
    <s v="blue"/>
    <s v="black"/>
    <s v="buyers auto sales"/>
    <n v="15950"/>
    <x v="126"/>
    <s v="Wed Dec 17 2014 12:30:00 GMT-0800 (PST)"/>
    <n v="2014"/>
    <x v="311"/>
    <x v="2"/>
    <s v="Medium"/>
  </r>
  <r>
    <n v="2012"/>
    <x v="4"/>
    <x v="29"/>
    <x v="8"/>
    <x v="1"/>
    <m/>
    <s v="1g1zd5e07cf310660"/>
    <s v="ca"/>
    <m/>
    <x v="1049"/>
    <s v="gold"/>
    <s v="â€”"/>
    <s v="the hertz corporation"/>
    <n v="9450"/>
    <x v="74"/>
    <s v="Tue Dec 16 2014 12:30:00 GMT-0800 (PST)"/>
    <n v="2014"/>
    <x v="31"/>
    <x v="0"/>
    <s v="Low"/>
  </r>
  <r>
    <n v="2012"/>
    <x v="6"/>
    <x v="180"/>
    <x v="172"/>
    <x v="21"/>
    <m/>
    <s v="1ftse3el0cda23063"/>
    <s v="ca"/>
    <n v="42"/>
    <x v="1050"/>
    <s v="white"/>
    <s v="gray"/>
    <s v="merchants automotive group"/>
    <n v="12850"/>
    <x v="158"/>
    <s v="Wed Dec 17 2014 12:30:00 GMT-0800 (PST)"/>
    <n v="2014"/>
    <x v="312"/>
    <x v="1"/>
    <s v="Medium"/>
  </r>
  <r>
    <n v="2012"/>
    <x v="4"/>
    <x v="6"/>
    <x v="169"/>
    <x v="1"/>
    <s v="manual"/>
    <s v="1g1pk5sc4c7113452"/>
    <s v="ca"/>
    <n v="37"/>
    <x v="1051"/>
    <s v="white"/>
    <s v="gray"/>
    <s v="wells fargo dealer services"/>
    <n v="9300"/>
    <x v="263"/>
    <s v="Thu Dec 18 2014 12:00:00 GMT-0800 (PST)"/>
    <n v="2014"/>
    <x v="305"/>
    <x v="2"/>
    <s v="Low"/>
  </r>
  <r>
    <n v="2012"/>
    <x v="6"/>
    <x v="158"/>
    <x v="154"/>
    <x v="0"/>
    <s v="automatic"/>
    <s v="1fmcu0c71cka22717"/>
    <s v="ca"/>
    <n v="38"/>
    <x v="1052"/>
    <s v="black"/>
    <s v="beige"/>
    <s v="ford motor credit company llc"/>
    <n v="10250"/>
    <x v="273"/>
    <s v="Thu Dec 18 2014 12:00:00 GMT-0800 (PST)"/>
    <n v="2014"/>
    <x v="273"/>
    <x v="2"/>
    <s v="Low"/>
  </r>
  <r>
    <n v="2012"/>
    <x v="6"/>
    <x v="160"/>
    <x v="146"/>
    <x v="5"/>
    <s v="automatic"/>
    <s v="1fahp3m26cl429227"/>
    <s v="ca"/>
    <n v="26"/>
    <x v="1053"/>
    <s v="black"/>
    <s v="black"/>
    <s v="ford motor credit company llc"/>
    <n v="9650"/>
    <x v="128"/>
    <s v="Tue Dec 16 2014 13:00:00 GMT-0800 (PST)"/>
    <n v="2014"/>
    <x v="271"/>
    <x v="2"/>
    <s v="Low"/>
  </r>
  <r>
    <n v="2012"/>
    <x v="1"/>
    <x v="19"/>
    <x v="147"/>
    <x v="0"/>
    <s v="automatic"/>
    <s v="5uxzv4c53cl762151"/>
    <s v="ca"/>
    <n v="48"/>
    <x v="1054"/>
    <s v="black"/>
    <s v="â€”"/>
    <s v="financial services remarketing (lease)"/>
    <n v="34500"/>
    <x v="230"/>
    <s v="Thu Dec 18 2014 12:30:00 GMT-0800 (PST)"/>
    <n v="2014"/>
    <x v="257"/>
    <x v="1"/>
    <s v="Medium"/>
  </r>
  <r>
    <n v="2012"/>
    <x v="6"/>
    <x v="159"/>
    <x v="38"/>
    <x v="0"/>
    <s v="automatic"/>
    <s v="2fmdk3kc2cba37750"/>
    <s v="ca"/>
    <n v="44"/>
    <x v="1055"/>
    <s v="white"/>
    <s v="black"/>
    <s v="ford motor credit company llc pd"/>
    <n v="20000"/>
    <x v="114"/>
    <s v="Thu Dec 18 2014 12:00:00 GMT-0800 (PST)"/>
    <n v="2014"/>
    <x v="291"/>
    <x v="1"/>
    <s v="Medium"/>
  </r>
  <r>
    <n v="2012"/>
    <x v="4"/>
    <x v="6"/>
    <x v="11"/>
    <x v="1"/>
    <s v="automatic"/>
    <s v="1g1pg5sc6c7329580"/>
    <s v="ca"/>
    <n v="2"/>
    <x v="1056"/>
    <s v="white"/>
    <s v="black"/>
    <s v="the hertz corporation/gm"/>
    <n v="9125"/>
    <x v="36"/>
    <s v="Tue Dec 16 2014 12:30:00 GMT-0800 (PST)"/>
    <n v="2014"/>
    <x v="12"/>
    <x v="0"/>
    <s v="Low"/>
  </r>
  <r>
    <n v="2012"/>
    <x v="6"/>
    <x v="160"/>
    <x v="146"/>
    <x v="1"/>
    <s v="automatic"/>
    <s v="1fahp3h23cl156080"/>
    <s v="ca"/>
    <n v="31"/>
    <x v="1057"/>
    <s v="silver"/>
    <s v="black"/>
    <s v="exeter finance corp"/>
    <n v="8225"/>
    <x v="174"/>
    <s v="Thu Dec 18 2014 12:00:00 GMT-0800 (PST)"/>
    <n v="2014"/>
    <x v="271"/>
    <x v="2"/>
    <s v="Low"/>
  </r>
  <r>
    <n v="2012"/>
    <x v="27"/>
    <x v="168"/>
    <x v="155"/>
    <x v="0"/>
    <s v="automatic"/>
    <s v="3c4pdcbb7ct394882"/>
    <s v="ca"/>
    <n v="4"/>
    <x v="1058"/>
    <s v="gray"/>
    <s v="black"/>
    <s v="remktgedge / cars / carfinance capital llc"/>
    <n v="9250"/>
    <x v="276"/>
    <s v="Wed Dec 17 2014 12:30:00 GMT-0800 (PST)"/>
    <n v="2014"/>
    <x v="274"/>
    <x v="0"/>
    <s v="Low"/>
  </r>
  <r>
    <n v="2012"/>
    <x v="6"/>
    <x v="158"/>
    <x v="160"/>
    <x v="0"/>
    <s v="automatic"/>
    <s v="1fmcu0d75cka90856"/>
    <s v="ca"/>
    <n v="47"/>
    <x v="1059"/>
    <s v="white"/>
    <s v="beige"/>
    <s v="ford motor credit company llc pd"/>
    <n v="15800"/>
    <x v="147"/>
    <s v="Thu Dec 18 2014 12:00:00 GMT-0800 (PST)"/>
    <n v="2014"/>
    <x v="303"/>
    <x v="1"/>
    <s v="Low"/>
  </r>
  <r>
    <n v="2012"/>
    <x v="4"/>
    <x v="175"/>
    <x v="173"/>
    <x v="0"/>
    <s v="automatic"/>
    <s v="3gnal3e50cs542737"/>
    <s v="ca"/>
    <n v="25"/>
    <x v="1060"/>
    <s v="white"/>
    <s v="black"/>
    <s v="the hertz corporation"/>
    <n v="11800"/>
    <x v="36"/>
    <s v="Thu Jan 29 2015 04:00:00 GMT-0800 (PST)"/>
    <n v="2015"/>
    <x v="313"/>
    <x v="2"/>
    <s v="Low"/>
  </r>
  <r>
    <n v="2012"/>
    <x v="1"/>
    <x v="19"/>
    <x v="147"/>
    <x v="0"/>
    <s v="automatic"/>
    <s v="5uxzv4c56cl764444"/>
    <s v="ca"/>
    <n v="43"/>
    <x v="1061"/>
    <s v="black"/>
    <s v="black"/>
    <s v="financial services remarketing (lease)"/>
    <n v="40700"/>
    <x v="194"/>
    <s v="Thu Dec 18 2014 12:30:00 GMT-0800 (PST)"/>
    <n v="2014"/>
    <x v="257"/>
    <x v="1"/>
    <s v="Medium"/>
  </r>
  <r>
    <n v="2012"/>
    <x v="6"/>
    <x v="173"/>
    <x v="152"/>
    <x v="22"/>
    <s v="automatic"/>
    <s v="1ftfx1ef6cfc80260"/>
    <s v="ca"/>
    <n v="41"/>
    <x v="1062"/>
    <s v="red"/>
    <s v="black"/>
    <s v="ford motor credit company llc pd"/>
    <n v="26300"/>
    <x v="333"/>
    <s v="Thu Dec 18 2014 12:00:00 GMT-0800 (PST)"/>
    <n v="2014"/>
    <x v="314"/>
    <x v="1"/>
    <s v="Medium"/>
  </r>
  <r>
    <n v="2012"/>
    <x v="4"/>
    <x v="29"/>
    <x v="8"/>
    <x v="1"/>
    <s v="automatic"/>
    <s v="1g1zc5e0xcf296157"/>
    <s v="ca"/>
    <n v="41"/>
    <x v="1063"/>
    <s v="white"/>
    <s v="black"/>
    <s v="wheels exchange llc"/>
    <n v="10950"/>
    <x v="137"/>
    <s v="Wed Dec 17 2014 12:30:00 GMT-0800 (PST)"/>
    <n v="2014"/>
    <x v="31"/>
    <x v="1"/>
    <s v="Low"/>
  </r>
  <r>
    <n v="2012"/>
    <x v="6"/>
    <x v="158"/>
    <x v="154"/>
    <x v="0"/>
    <s v="automatic"/>
    <s v="1fmcu0c79cka91865"/>
    <s v="ca"/>
    <n v="38"/>
    <x v="1064"/>
    <s v="â€”"/>
    <s v="gray"/>
    <s v="wheels exchange llc"/>
    <n v="8325"/>
    <x v="125"/>
    <s v="Wed Dec 17 2014 12:30:00 GMT-0800 (PST)"/>
    <n v="2014"/>
    <x v="273"/>
    <x v="2"/>
    <s v="Low"/>
  </r>
  <r>
    <n v="2012"/>
    <x v="6"/>
    <x v="185"/>
    <x v="38"/>
    <x v="0"/>
    <s v="automatic"/>
    <s v="1fmju2a54cef22860"/>
    <s v="ca"/>
    <n v="43"/>
    <x v="1065"/>
    <s v="white"/>
    <s v="tan"/>
    <s v="aaero sweet company"/>
    <n v="27500"/>
    <x v="157"/>
    <s v="Thu Dec 18 2014 11:30:00 GMT-0800 (PST)"/>
    <n v="2014"/>
    <x v="315"/>
    <x v="1"/>
    <s v="Medium"/>
  </r>
  <r>
    <n v="2012"/>
    <x v="6"/>
    <x v="174"/>
    <x v="160"/>
    <x v="0"/>
    <s v="automatic"/>
    <s v="1fmhk7d86cga36787"/>
    <s v="ca"/>
    <n v="46"/>
    <x v="1066"/>
    <s v="gray"/>
    <s v="black"/>
    <s v="ford motor credit company llc pd"/>
    <n v="22000"/>
    <x v="334"/>
    <s v="Thu Dec 18 2014 12:00:00 GMT-0800 (PST)"/>
    <n v="2014"/>
    <x v="316"/>
    <x v="1"/>
    <s v="Medium"/>
  </r>
  <r>
    <n v="2012"/>
    <x v="4"/>
    <x v="181"/>
    <x v="5"/>
    <x v="5"/>
    <s v="automatic"/>
    <s v="1g1re6e46cu123881"/>
    <s v="ca"/>
    <n v="35"/>
    <x v="1067"/>
    <s v="silver"/>
    <s v="black"/>
    <s v="ge fleet services for itself/servicer"/>
    <n v="16600"/>
    <x v="225"/>
    <s v="Tue Dec 16 2014 12:00:00 GMT-0800 (PST)"/>
    <n v="2014"/>
    <x v="299"/>
    <x v="2"/>
    <s v="Low"/>
  </r>
  <r>
    <n v="2012"/>
    <x v="4"/>
    <x v="29"/>
    <x v="8"/>
    <x v="1"/>
    <s v="automatic"/>
    <s v="1g1zd5e03cf127398"/>
    <s v="ca"/>
    <n v="19"/>
    <x v="1068"/>
    <s v="white"/>
    <s v="gray"/>
    <s v="santander consumer"/>
    <n v="9750"/>
    <x v="18"/>
    <s v="Fri Dec 26 2014 15:00:00 GMT-0800 (PST)"/>
    <n v="2014"/>
    <x v="31"/>
    <x v="0"/>
    <s v="Low"/>
  </r>
  <r>
    <n v="2012"/>
    <x v="4"/>
    <x v="29"/>
    <x v="151"/>
    <x v="1"/>
    <s v="automatic"/>
    <s v="1g1za5e07cf312837"/>
    <s v="ca"/>
    <n v="43"/>
    <x v="1069"/>
    <s v="white"/>
    <s v="gray"/>
    <s v="m/r motors inc"/>
    <n v="8200"/>
    <x v="189"/>
    <s v="Thu Dec 18 2014 12:00:00 GMT-0800 (PST)"/>
    <n v="2014"/>
    <x v="265"/>
    <x v="1"/>
    <s v="Low"/>
  </r>
  <r>
    <n v="2012"/>
    <x v="1"/>
    <x v="19"/>
    <x v="149"/>
    <x v="0"/>
    <s v="automatic"/>
    <s v="5uxzw0c57cl665685"/>
    <s v="ca"/>
    <n v="43"/>
    <x v="1070"/>
    <s v="black"/>
    <s v="black"/>
    <s v="financial services remarketing (lease)"/>
    <n v="31700"/>
    <x v="176"/>
    <s v="Thu Dec 18 2014 12:30:00 GMT-0800 (PST)"/>
    <n v="2014"/>
    <x v="262"/>
    <x v="1"/>
    <s v="Medium"/>
  </r>
  <r>
    <n v="2012"/>
    <x v="6"/>
    <x v="159"/>
    <x v="42"/>
    <x v="0"/>
    <s v="automatic"/>
    <s v="2fmdk4ak9cba53541"/>
    <s v="ca"/>
    <n v="44"/>
    <x v="1071"/>
    <s v="silver"/>
    <s v="black"/>
    <s v="ford motor credit company llc pd"/>
    <n v="21700"/>
    <x v="260"/>
    <s v="Thu Dec 18 2014 12:00:00 GMT-0800 (PST)"/>
    <n v="2014"/>
    <x v="310"/>
    <x v="1"/>
    <s v="Medium"/>
  </r>
  <r>
    <n v="2012"/>
    <x v="6"/>
    <x v="160"/>
    <x v="148"/>
    <x v="1"/>
    <s v="automatic"/>
    <s v="1fahp3j2xcl215975"/>
    <s v="ca"/>
    <n v="32"/>
    <x v="1072"/>
    <s v="white"/>
    <s v="black"/>
    <s v="bmw alphera/alphera financial services"/>
    <n v="11200"/>
    <x v="335"/>
    <s v="Wed Jan 21 2015 04:30:00 GMT-0800 (PST)"/>
    <n v="2015"/>
    <x v="259"/>
    <x v="2"/>
    <s v="Low"/>
  </r>
  <r>
    <n v="2012"/>
    <x v="29"/>
    <x v="167"/>
    <x v="0"/>
    <x v="1"/>
    <m/>
    <s v="1c3ccbab4cn316982"/>
    <s v="ca"/>
    <n v="37"/>
    <x v="1073"/>
    <s v="gray"/>
    <s v="black"/>
    <s v="dtg operations inc"/>
    <n v="8325"/>
    <x v="254"/>
    <s v="Thu Dec 18 2014 11:30:00 GMT-0800 (PST)"/>
    <n v="2014"/>
    <x v="270"/>
    <x v="2"/>
    <s v="Low"/>
  </r>
  <r>
    <n v="2012"/>
    <x v="6"/>
    <x v="159"/>
    <x v="146"/>
    <x v="0"/>
    <s v="automatic"/>
    <s v="2fmdk3jc8cba70818"/>
    <s v="ca"/>
    <n v="46"/>
    <x v="1074"/>
    <s v="white"/>
    <s v="beige"/>
    <s v="ford motor credit company llc pd"/>
    <n v="19850"/>
    <x v="336"/>
    <s v="Thu Dec 18 2014 12:00:00 GMT-0800 (PST)"/>
    <n v="2014"/>
    <x v="256"/>
    <x v="1"/>
    <s v="Medium"/>
  </r>
  <r>
    <n v="2012"/>
    <x v="6"/>
    <x v="160"/>
    <x v="89"/>
    <x v="1"/>
    <s v="manual"/>
    <s v="1fahp3e23cl410357"/>
    <s v="ca"/>
    <n v="37"/>
    <x v="1075"/>
    <s v="blue"/>
    <s v="black"/>
    <s v="ford motor credit company llc"/>
    <n v="8475"/>
    <x v="275"/>
    <s v="Thu Dec 18 2014 12:00:00 GMT-0800 (PST)"/>
    <n v="2014"/>
    <x v="317"/>
    <x v="2"/>
    <s v="Low"/>
  </r>
  <r>
    <n v="2012"/>
    <x v="4"/>
    <x v="186"/>
    <x v="32"/>
    <x v="20"/>
    <s v="automatic"/>
    <s v="1gcesbf91c8117688"/>
    <s v="ca"/>
    <n v="3"/>
    <x v="1076"/>
    <s v="white"/>
    <s v="gray"/>
    <s v="tradewinds remarketing"/>
    <n v="8925"/>
    <x v="96"/>
    <s v="Wed Dec 17 2014 12:30:00 GMT-0800 (PST)"/>
    <n v="2014"/>
    <x v="318"/>
    <x v="0"/>
    <s v="Low"/>
  </r>
  <r>
    <n v="2012"/>
    <x v="4"/>
    <x v="187"/>
    <x v="174"/>
    <x v="13"/>
    <s v="automatic"/>
    <s v="1gazg1fg7c1187760"/>
    <s v="ca"/>
    <n v="29"/>
    <x v="1077"/>
    <s v="white"/>
    <s v="gray"/>
    <s v="the motor car group inc"/>
    <n v="17750"/>
    <x v="24"/>
    <s v="Thu Dec 18 2014 12:00:00 GMT-0800 (PST)"/>
    <n v="2014"/>
    <x v="319"/>
    <x v="2"/>
    <s v="Medium"/>
  </r>
  <r>
    <n v="2012"/>
    <x v="6"/>
    <x v="160"/>
    <x v="10"/>
    <x v="1"/>
    <s v="automatic"/>
    <s v="1fahp3f27cl145683"/>
    <s v="ca"/>
    <n v="38"/>
    <x v="1078"/>
    <s v="silver"/>
    <s v="black"/>
    <s v="santander consumer"/>
    <n v="8550"/>
    <x v="274"/>
    <s v="Thu Dec 18 2014 12:00:00 GMT-0800 (PST)"/>
    <n v="2014"/>
    <x v="266"/>
    <x v="2"/>
    <s v="Low"/>
  </r>
  <r>
    <n v="2012"/>
    <x v="4"/>
    <x v="6"/>
    <x v="6"/>
    <x v="1"/>
    <s v="automatic"/>
    <s v="1g1pf5sc2c7369996"/>
    <s v="ca"/>
    <n v="2"/>
    <x v="1079"/>
    <s v="silver"/>
    <s v="gray"/>
    <s v="the hertz corporation/gm"/>
    <n v="8750"/>
    <x v="116"/>
    <s v="Tue Jan 06 2015 04:30:00 GMT-0800 (PST)"/>
    <n v="2015"/>
    <x v="6"/>
    <x v="0"/>
    <s v="Low"/>
  </r>
  <r>
    <n v="2012"/>
    <x v="1"/>
    <x v="19"/>
    <x v="147"/>
    <x v="0"/>
    <s v="automatic"/>
    <s v="5uxzv4c54cl759579"/>
    <s v="ca"/>
    <n v="33"/>
    <x v="1080"/>
    <s v="black"/>
    <s v="beige"/>
    <s v="financial services remarketing (lease)"/>
    <n v="39700"/>
    <x v="223"/>
    <s v="Thu Dec 18 2014 12:30:00 GMT-0800 (PST)"/>
    <n v="2014"/>
    <x v="257"/>
    <x v="2"/>
    <s v="Medium"/>
  </r>
  <r>
    <n v="2012"/>
    <x v="4"/>
    <x v="171"/>
    <x v="12"/>
    <x v="0"/>
    <s v="automatic"/>
    <s v="2gnalbek2c6216033"/>
    <s v="ca"/>
    <n v="39"/>
    <x v="1081"/>
    <s v="white"/>
    <s v="black"/>
    <s v="ge fleet services for itself/servicer"/>
    <n v="13750"/>
    <x v="247"/>
    <s v="Tue Dec 16 2014 12:00:00 GMT-0800 (PST)"/>
    <n v="2014"/>
    <x v="320"/>
    <x v="2"/>
    <s v="Low"/>
  </r>
  <r>
    <n v="2012"/>
    <x v="4"/>
    <x v="15"/>
    <x v="150"/>
    <x v="1"/>
    <s v="automatic"/>
    <s v="2g1wg5e36c1319037"/>
    <s v="ca"/>
    <n v="3"/>
    <x v="1082"/>
    <s v="black"/>
    <s v="gray"/>
    <s v="the hertz corporation/gm"/>
    <n v="9175"/>
    <x v="327"/>
    <s v="Tue Jan 06 2015 04:30:00 GMT-0800 (PST)"/>
    <n v="2015"/>
    <x v="287"/>
    <x v="0"/>
    <s v="Low"/>
  </r>
  <r>
    <n v="2012"/>
    <x v="6"/>
    <x v="173"/>
    <x v="175"/>
    <x v="23"/>
    <m/>
    <s v="1ftmf1cm6ckd43568"/>
    <s v="ca"/>
    <n v="35"/>
    <x v="1083"/>
    <s v="white"/>
    <s v="gray"/>
    <s v="aaero sweet company"/>
    <n v="11950"/>
    <x v="83"/>
    <s v="Thu Dec 18 2014 11:30:00 GMT-0800 (PST)"/>
    <n v="2014"/>
    <x v="321"/>
    <x v="2"/>
    <s v="Low"/>
  </r>
  <r>
    <n v="2012"/>
    <x v="4"/>
    <x v="6"/>
    <x v="6"/>
    <x v="1"/>
    <s v="automatic"/>
    <s v="1g1pf5sc2c7382909"/>
    <s v="ca"/>
    <n v="3"/>
    <x v="1084"/>
    <s v="white"/>
    <s v="gray"/>
    <s v="the hertz corporation/gm"/>
    <n v="8750"/>
    <x v="163"/>
    <s v="Tue Dec 16 2014 12:30:00 GMT-0800 (PST)"/>
    <n v="2014"/>
    <x v="6"/>
    <x v="0"/>
    <s v="Low"/>
  </r>
  <r>
    <n v="2012"/>
    <x v="6"/>
    <x v="174"/>
    <x v="38"/>
    <x v="0"/>
    <s v="automatic"/>
    <s v="1fmhk8f89cga08890"/>
    <s v="ca"/>
    <n v="29"/>
    <x v="1085"/>
    <s v="black"/>
    <s v="black"/>
    <s v="galpin ford studio rentals"/>
    <n v="25800"/>
    <x v="118"/>
    <s v="Tue Dec 16 2014 12:30:00 GMT-0800 (PST)"/>
    <n v="2014"/>
    <x v="322"/>
    <x v="2"/>
    <s v="Medium"/>
  </r>
  <r>
    <n v="2012"/>
    <x v="6"/>
    <x v="159"/>
    <x v="146"/>
    <x v="0"/>
    <s v="automatic"/>
    <s v="2fmdk3jc0cba70702"/>
    <s v="ca"/>
    <n v="49"/>
    <x v="1086"/>
    <s v="blue"/>
    <s v="tan"/>
    <s v="ford motor credit company llc pd"/>
    <n v="21200"/>
    <x v="337"/>
    <s v="Thu Dec 18 2014 12:00:00 GMT-0800 (PST)"/>
    <n v="2014"/>
    <x v="256"/>
    <x v="1"/>
    <s v="Medium"/>
  </r>
  <r>
    <n v="2012"/>
    <x v="27"/>
    <x v="177"/>
    <x v="176"/>
    <x v="11"/>
    <m/>
    <s v="2c4rdgdg7cr159037"/>
    <s v="ca"/>
    <n v="32"/>
    <x v="1087"/>
    <s v="silver"/>
    <s v="gray"/>
    <s v="exeter finance corp"/>
    <n v="11650"/>
    <x v="110"/>
    <s v="Thu Dec 18 2014 12:00:00 GMT-0800 (PST)"/>
    <n v="2014"/>
    <x v="323"/>
    <x v="2"/>
    <s v="Low"/>
  </r>
  <r>
    <n v="2012"/>
    <x v="6"/>
    <x v="11"/>
    <x v="146"/>
    <x v="1"/>
    <s v="automatic"/>
    <s v="3fahp0cg4cr283701"/>
    <s v="ca"/>
    <n v="38"/>
    <x v="1088"/>
    <s v="white"/>
    <s v="black"/>
    <s v="ge fleet services for itself/servicer"/>
    <n v="13400"/>
    <x v="247"/>
    <s v="Tue Dec 16 2014 12:00:00 GMT-0800 (PST)"/>
    <n v="2014"/>
    <x v="309"/>
    <x v="2"/>
    <s v="Low"/>
  </r>
  <r>
    <n v="2012"/>
    <x v="1"/>
    <x v="19"/>
    <x v="157"/>
    <x v="0"/>
    <s v="automatic"/>
    <s v="5uxzv8c52cl424733"/>
    <s v="ca"/>
    <n v="36"/>
    <x v="1089"/>
    <s v="white"/>
    <s v="beige"/>
    <s v="financial services remarketing (lease)"/>
    <n v="30200"/>
    <x v="338"/>
    <s v="Thu Dec 18 2014 12:30:00 GMT-0800 (PST)"/>
    <n v="2014"/>
    <x v="278"/>
    <x v="2"/>
    <s v="Medium"/>
  </r>
  <r>
    <n v="2012"/>
    <x v="30"/>
    <x v="188"/>
    <x v="5"/>
    <x v="2"/>
    <s v="automatic"/>
    <s v="zff65tja5c0187066"/>
    <s v="ca"/>
    <n v="42"/>
    <x v="1090"/>
    <s v="gray"/>
    <s v="brown"/>
    <s v="chicago motor car corporation"/>
    <n v="149000"/>
    <x v="339"/>
    <s v="Tue Dec 30 2014 12:30:00 GMT-0800 (PST)"/>
    <n v="2014"/>
    <x v="324"/>
    <x v="1"/>
    <s v="High"/>
  </r>
  <r>
    <n v="2012"/>
    <x v="6"/>
    <x v="160"/>
    <x v="10"/>
    <x v="5"/>
    <s v="automatic"/>
    <s v="1fahp3k22cl257913"/>
    <s v="ca"/>
    <n v="45"/>
    <x v="1091"/>
    <s v="red"/>
    <s v="black"/>
    <s v="ford motor credit company llc"/>
    <n v="10500"/>
    <x v="276"/>
    <s v="Thu Dec 18 2014 12:00:00 GMT-0800 (PST)"/>
    <n v="2014"/>
    <x v="266"/>
    <x v="1"/>
    <s v="Low"/>
  </r>
  <r>
    <n v="2012"/>
    <x v="4"/>
    <x v="6"/>
    <x v="6"/>
    <x v="1"/>
    <s v="automatic"/>
    <s v="1g1pf5sc1c7371061"/>
    <s v="ca"/>
    <n v="3"/>
    <x v="1092"/>
    <s v="blue"/>
    <s v="black"/>
    <s v="the hertz corporation/gm"/>
    <n v="9000"/>
    <x v="273"/>
    <s v="Tue Dec 16 2014 12:30:00 GMT-0800 (PST)"/>
    <n v="2014"/>
    <x v="6"/>
    <x v="0"/>
    <s v="Low"/>
  </r>
  <r>
    <n v="2012"/>
    <x v="6"/>
    <x v="159"/>
    <x v="146"/>
    <x v="0"/>
    <s v="automatic"/>
    <s v="2fmdk3jc3cba04337"/>
    <s v="ca"/>
    <n v="43"/>
    <x v="1093"/>
    <s v="black"/>
    <s v="beige"/>
    <s v="ford motor credit company llc pd"/>
    <n v="16350"/>
    <x v="216"/>
    <s v="Thu Jan 08 2015 12:00:00 GMT-0800 (PST)"/>
    <n v="2015"/>
    <x v="256"/>
    <x v="1"/>
    <s v="Low"/>
  </r>
  <r>
    <n v="2012"/>
    <x v="4"/>
    <x v="29"/>
    <x v="8"/>
    <x v="1"/>
    <s v="automatic"/>
    <s v="1g1zd5e03cf357118"/>
    <s v="ca"/>
    <n v="3"/>
    <x v="1094"/>
    <s v="white"/>
    <s v="black"/>
    <s v="the hertz corporation/gm"/>
    <n v="9575"/>
    <x v="138"/>
    <s v="Tue Dec 16 2014 12:30:00 GMT-0800 (PST)"/>
    <n v="2014"/>
    <x v="31"/>
    <x v="0"/>
    <s v="Low"/>
  </r>
  <r>
    <n v="2012"/>
    <x v="6"/>
    <x v="158"/>
    <x v="160"/>
    <x v="0"/>
    <s v="automatic"/>
    <s v="1fmcu9dg3ckb92323"/>
    <s v="ca"/>
    <n v="26"/>
    <x v="1095"/>
    <s v="silver"/>
    <s v="black"/>
    <s v="the hertz corporation"/>
    <n v="12050"/>
    <x v="276"/>
    <s v="Thu Dec 18 2014 11:30:00 GMT-0800 (PST)"/>
    <n v="2014"/>
    <x v="303"/>
    <x v="2"/>
    <s v="Low"/>
  </r>
  <r>
    <n v="2012"/>
    <x v="9"/>
    <x v="189"/>
    <x v="177"/>
    <x v="0"/>
    <s v="automatic"/>
    <s v="1gys3kef7cr241833"/>
    <s v="ca"/>
    <n v="31"/>
    <x v="509"/>
    <s v="white"/>
    <s v="brown"/>
    <s v="us bank"/>
    <n v="46200"/>
    <x v="340"/>
    <s v="Thu Dec 18 2014 12:30:00 GMT-0800 (PST)"/>
    <n v="2014"/>
    <x v="325"/>
    <x v="2"/>
    <s v="Medium"/>
  </r>
  <r>
    <n v="2012"/>
    <x v="1"/>
    <x v="19"/>
    <x v="147"/>
    <x v="0"/>
    <s v="automatic"/>
    <s v="5uxzv4c53cl766376"/>
    <s v="ca"/>
    <n v="48"/>
    <x v="1096"/>
    <s v="gray"/>
    <s v="black"/>
    <s v="financial services remarketing (lease)"/>
    <n v="38000"/>
    <x v="271"/>
    <s v="Thu Dec 18 2014 12:30:00 GMT-0800 (PST)"/>
    <n v="2014"/>
    <x v="257"/>
    <x v="1"/>
    <s v="Medium"/>
  </r>
  <r>
    <n v="2012"/>
    <x v="1"/>
    <x v="19"/>
    <x v="149"/>
    <x v="0"/>
    <s v="automatic"/>
    <s v="5uxzw0c51cl672731"/>
    <s v="ca"/>
    <n v="38"/>
    <x v="1097"/>
    <s v="white"/>
    <s v="gray"/>
    <s v="financial services remarketing (lease)"/>
    <n v="39300"/>
    <x v="47"/>
    <s v="Thu Dec 18 2014 12:30:00 GMT-0800 (PST)"/>
    <n v="2014"/>
    <x v="262"/>
    <x v="2"/>
    <s v="Medium"/>
  </r>
  <r>
    <n v="2012"/>
    <x v="6"/>
    <x v="165"/>
    <x v="10"/>
    <x v="1"/>
    <s v="automatic"/>
    <s v="3fadp4bj9cm105802"/>
    <s v="ca"/>
    <n v="5"/>
    <x v="1098"/>
    <s v="gray"/>
    <s v="black"/>
    <s v="ford motor credit company llc"/>
    <n v="10100"/>
    <x v="51"/>
    <s v="Thu Dec 18 2014 12:00:00 GMT-0800 (PST)"/>
    <n v="2014"/>
    <x v="272"/>
    <x v="0"/>
    <s v="Low"/>
  </r>
  <r>
    <n v="2012"/>
    <x v="4"/>
    <x v="29"/>
    <x v="8"/>
    <x v="1"/>
    <s v="automatic"/>
    <s v="1g1zc5e08cf357599"/>
    <s v="ca"/>
    <n v="3"/>
    <x v="1099"/>
    <s v="silver"/>
    <s v="black"/>
    <s v="the hertz corporation/gm"/>
    <n v="9475"/>
    <x v="21"/>
    <s v="Tue Dec 16 2014 12:30:00 GMT-0800 (PST)"/>
    <n v="2014"/>
    <x v="31"/>
    <x v="0"/>
    <s v="Low"/>
  </r>
  <r>
    <n v="2012"/>
    <x v="9"/>
    <x v="176"/>
    <x v="23"/>
    <x v="0"/>
    <s v="automatic"/>
    <s v="1gys4bef5cr127343"/>
    <s v="ca"/>
    <n v="3"/>
    <x v="1100"/>
    <s v="black"/>
    <s v="beige"/>
    <s v="tdaf remarketing"/>
    <n v="35000"/>
    <x v="341"/>
    <s v="Tue Dec 16 2014 12:30:00 GMT-0800 (PST)"/>
    <n v="2014"/>
    <x v="288"/>
    <x v="0"/>
    <s v="Medium"/>
  </r>
  <r>
    <n v="2012"/>
    <x v="6"/>
    <x v="159"/>
    <x v="38"/>
    <x v="0"/>
    <s v="automatic"/>
    <s v="2fmdk3kc3cba33884"/>
    <s v="ca"/>
    <n v="36"/>
    <x v="1101"/>
    <s v="black"/>
    <s v="black"/>
    <s v="ford motor credit company llc pd"/>
    <n v="19050"/>
    <x v="303"/>
    <s v="Thu Dec 18 2014 12:00:00 GMT-0800 (PST)"/>
    <n v="2014"/>
    <x v="291"/>
    <x v="2"/>
    <s v="Medium"/>
  </r>
  <r>
    <n v="2012"/>
    <x v="9"/>
    <x v="176"/>
    <x v="23"/>
    <x v="0"/>
    <s v="automatic"/>
    <s v="1gys3bef6cr152612"/>
    <s v="ca"/>
    <n v="41"/>
    <x v="1102"/>
    <s v="black"/>
    <s v="black"/>
    <s v="fiserv/usb dealer services northstar exchange"/>
    <n v="36600"/>
    <x v="67"/>
    <s v="Thu Dec 18 2014 12:30:00 GMT-0800 (PST)"/>
    <n v="2014"/>
    <x v="288"/>
    <x v="1"/>
    <s v="Medium"/>
  </r>
  <r>
    <n v="2012"/>
    <x v="6"/>
    <x v="165"/>
    <x v="153"/>
    <x v="5"/>
    <s v="automatic"/>
    <s v="3fadp4fj7cm162266"/>
    <s v="ca"/>
    <n v="35"/>
    <x v="1103"/>
    <s v="gray"/>
    <s v="black"/>
    <s v="ford motor credit company llc pd"/>
    <n v="8275"/>
    <x v="275"/>
    <s v="Thu Dec 18 2014 12:00:00 GMT-0800 (PST)"/>
    <n v="2014"/>
    <x v="268"/>
    <x v="2"/>
    <s v="Low"/>
  </r>
  <r>
    <n v="2012"/>
    <x v="4"/>
    <x v="29"/>
    <x v="151"/>
    <x v="1"/>
    <s v="automatic"/>
    <s v="1g1za5e03cf353868"/>
    <s v="ca"/>
    <n v="32"/>
    <x v="1104"/>
    <s v="white"/>
    <s v="gray"/>
    <s v="exeter finance corp"/>
    <n v="9325"/>
    <x v="12"/>
    <s v="Thu Dec 18 2014 12:00:00 GMT-0800 (PST)"/>
    <n v="2014"/>
    <x v="265"/>
    <x v="2"/>
    <s v="Low"/>
  </r>
  <r>
    <n v="2012"/>
    <x v="29"/>
    <x v="179"/>
    <x v="57"/>
    <x v="11"/>
    <s v="automatic"/>
    <s v="2c4rc1bg0cr359597"/>
    <s v="ca"/>
    <n v="2"/>
    <x v="1105"/>
    <s v="â€”"/>
    <s v="beige"/>
    <s v="wheels exchange llc"/>
    <n v="10250"/>
    <x v="131"/>
    <s v="Wed Dec 17 2014 12:30:00 GMT-0800 (PST)"/>
    <n v="2014"/>
    <x v="296"/>
    <x v="0"/>
    <s v="Low"/>
  </r>
  <r>
    <n v="2012"/>
    <x v="4"/>
    <x v="42"/>
    <x v="8"/>
    <x v="20"/>
    <s v="automatic"/>
    <s v="1gcrcse01cz217074"/>
    <s v="ca"/>
    <n v="36"/>
    <x v="1106"/>
    <s v="black"/>
    <s v="black"/>
    <s v="wells fargo dealer services"/>
    <n v="19700"/>
    <x v="336"/>
    <s v="Thu Dec 18 2014 12:00:00 GMT-0800 (PST)"/>
    <n v="2014"/>
    <x v="44"/>
    <x v="2"/>
    <s v="Medium"/>
  </r>
  <r>
    <n v="2012"/>
    <x v="1"/>
    <x v="19"/>
    <x v="147"/>
    <x v="0"/>
    <s v="automatic"/>
    <s v="5uxzv4c50cl759630"/>
    <s v="ca"/>
    <n v="41"/>
    <x v="1107"/>
    <s v="gray"/>
    <s v="black"/>
    <s v="financial services remarketing (lease)"/>
    <n v="35100"/>
    <x v="311"/>
    <s v="Thu Dec 18 2014 12:30:00 GMT-0800 (PST)"/>
    <n v="2014"/>
    <x v="257"/>
    <x v="1"/>
    <s v="Medium"/>
  </r>
  <r>
    <n v="2012"/>
    <x v="4"/>
    <x v="190"/>
    <x v="8"/>
    <x v="1"/>
    <s v="automatic"/>
    <s v="1g1jc5sh1c4110220"/>
    <s v="ca"/>
    <n v="19"/>
    <x v="1108"/>
    <s v="red"/>
    <s v="gray"/>
    <s v="exeter finance corp"/>
    <n v="6900"/>
    <x v="342"/>
    <s v="Thu Dec 18 2014 12:00:00 GMT-0800 (PST)"/>
    <n v="2014"/>
    <x v="326"/>
    <x v="0"/>
    <s v="Low"/>
  </r>
  <r>
    <n v="2012"/>
    <x v="9"/>
    <x v="43"/>
    <x v="23"/>
    <x v="0"/>
    <s v="automatic"/>
    <s v="3gyfnae33cs624161"/>
    <s v="ca"/>
    <n v="34"/>
    <x v="1109"/>
    <s v="white"/>
    <s v="black"/>
    <s v="ge fleet services for itself/servicer"/>
    <n v="18850"/>
    <x v="211"/>
    <s v="Tue Feb 17 2015 04:00:00 GMT-0800 (PST)"/>
    <n v="2015"/>
    <x v="46"/>
    <x v="2"/>
    <s v="Low"/>
  </r>
  <r>
    <n v="2012"/>
    <x v="6"/>
    <x v="174"/>
    <x v="5"/>
    <x v="0"/>
    <s v="automatic"/>
    <s v="1fmhk7b84cga36676"/>
    <s v="ca"/>
    <n v="35"/>
    <x v="1110"/>
    <s v="blue"/>
    <s v="tan"/>
    <s v="galpin ford studio rentals"/>
    <n v="17050"/>
    <x v="135"/>
    <s v="Tue Dec 16 2014 12:30:00 GMT-0800 (PST)"/>
    <n v="2014"/>
    <x v="284"/>
    <x v="2"/>
    <s v="Low"/>
  </r>
  <r>
    <n v="2012"/>
    <x v="4"/>
    <x v="15"/>
    <x v="13"/>
    <x v="1"/>
    <s v="automatic"/>
    <s v="2g1wc5e36c1321527"/>
    <s v="ca"/>
    <n v="3"/>
    <x v="1111"/>
    <s v="white"/>
    <s v="gray"/>
    <s v="the hertz corporation/gm"/>
    <n v="9475"/>
    <x v="175"/>
    <s v="Tue Dec 16 2014 12:30:00 GMT-0800 (PST)"/>
    <n v="2014"/>
    <x v="17"/>
    <x v="0"/>
    <s v="Low"/>
  </r>
  <r>
    <n v="2012"/>
    <x v="4"/>
    <x v="15"/>
    <x v="151"/>
    <x v="1"/>
    <s v="automatic"/>
    <s v="2g1wf5e34c1122872"/>
    <s v="ca"/>
    <n v="36"/>
    <x v="1112"/>
    <s v="black"/>
    <s v="black"/>
    <s v="exeter finance corp"/>
    <n v="7700"/>
    <x v="275"/>
    <s v="Thu Dec 18 2014 12:00:00 GMT-0800 (PST)"/>
    <n v="2014"/>
    <x v="327"/>
    <x v="2"/>
    <s v="Low"/>
  </r>
  <r>
    <n v="2012"/>
    <x v="31"/>
    <x v="191"/>
    <x v="10"/>
    <x v="1"/>
    <s v="automatic"/>
    <s v="1hgcp2f64ca037696"/>
    <s v="ca"/>
    <n v="26"/>
    <x v="1113"/>
    <s v="black"/>
    <s v="black"/>
    <s v="ahfc/honda lease trust/hvt  inc. eot"/>
    <n v="13500"/>
    <x v="39"/>
    <s v="Thu Dec 18 2014 12:00:00 GMT-0800 (PST)"/>
    <n v="2014"/>
    <x v="328"/>
    <x v="2"/>
    <s v="Low"/>
  </r>
  <r>
    <n v="2012"/>
    <x v="31"/>
    <x v="192"/>
    <x v="69"/>
    <x v="0"/>
    <s v="automatic"/>
    <s v="jhlrm3h54cc007178"/>
    <s v="ca"/>
    <n v="42"/>
    <x v="1114"/>
    <s v="blue"/>
    <s v="gray"/>
    <s v="ahfc/honda lease trust/hvt  inc. eot"/>
    <n v="17500"/>
    <x v="134"/>
    <s v="Thu Dec 18 2014 12:00:00 GMT-0800 (PST)"/>
    <n v="2014"/>
    <x v="329"/>
    <x v="1"/>
    <s v="Medium"/>
  </r>
  <r>
    <n v="2012"/>
    <x v="7"/>
    <x v="47"/>
    <x v="38"/>
    <x v="0"/>
    <s v="automatic"/>
    <s v="5xyzk4ag3cg123827"/>
    <s v="ca"/>
    <n v="43"/>
    <x v="1115"/>
    <s v="silver"/>
    <s v="black"/>
    <s v="hyundai buybacks"/>
    <n v="17350"/>
    <x v="218"/>
    <s v="Tue Dec 16 2014 12:00:00 GMT-0800 (PST)"/>
    <n v="2014"/>
    <x v="52"/>
    <x v="1"/>
    <s v="Low"/>
  </r>
  <r>
    <n v="2012"/>
    <x v="7"/>
    <x v="12"/>
    <x v="38"/>
    <x v="1"/>
    <s v="automatic"/>
    <s v="5npec4ab0ch368738"/>
    <s v="ca"/>
    <n v="37"/>
    <x v="1116"/>
    <s v="silver"/>
    <s v="gray"/>
    <s v="hyundai motor finance"/>
    <n v="14300"/>
    <x v="180"/>
    <s v="Tue Feb 10 2015 04:30:00 GMT-0800 (PST)"/>
    <n v="2015"/>
    <x v="59"/>
    <x v="2"/>
    <s v="Low"/>
  </r>
  <r>
    <n v="2012"/>
    <x v="31"/>
    <x v="191"/>
    <x v="0"/>
    <x v="1"/>
    <s v="automatic"/>
    <s v="1hgcp2f32ca095277"/>
    <s v="ca"/>
    <n v="23"/>
    <x v="1117"/>
    <s v="gray"/>
    <s v="gray"/>
    <s v="ahfc/honda lease trust/hvt  inc. eot"/>
    <n v="12400"/>
    <x v="98"/>
    <s v="Thu Jan 15 2015 04:00:00 GMT-0800 (PST)"/>
    <n v="2015"/>
    <x v="330"/>
    <x v="2"/>
    <s v="Low"/>
  </r>
  <r>
    <n v="2012"/>
    <x v="7"/>
    <x v="32"/>
    <x v="38"/>
    <x v="1"/>
    <s v="automatic"/>
    <s v="5npdh4ae1ch113720"/>
    <s v="ca"/>
    <n v="36"/>
    <x v="1118"/>
    <s v="gray"/>
    <s v="gray"/>
    <s v="hyundai motor finance"/>
    <n v="12550"/>
    <x v="132"/>
    <s v="Tue Dec 16 2014 12:00:00 GMT-0800 (PST)"/>
    <n v="2014"/>
    <x v="60"/>
    <x v="2"/>
    <s v="Low"/>
  </r>
  <r>
    <n v="2012"/>
    <x v="6"/>
    <x v="11"/>
    <x v="10"/>
    <x v="1"/>
    <s v="automatic"/>
    <s v="3fahp0ha5cr125131"/>
    <s v="ca"/>
    <n v="38"/>
    <x v="1119"/>
    <s v="black"/>
    <s v="black"/>
    <s v="ford motor credit company llc pd"/>
    <n v="11450"/>
    <x v="99"/>
    <s v="Thu Dec 18 2014 12:00:00 GMT-0800 (PST)"/>
    <n v="2014"/>
    <x v="11"/>
    <x v="2"/>
    <s v="Low"/>
  </r>
  <r>
    <n v="2012"/>
    <x v="12"/>
    <x v="45"/>
    <x v="178"/>
    <x v="8"/>
    <s v="automatic"/>
    <s v="jn1dv6ap0cm813081"/>
    <s v="ca"/>
    <n v="46"/>
    <x v="1120"/>
    <s v="gray"/>
    <s v="black"/>
    <s v="nissan infiniti lt"/>
    <n v="19650"/>
    <x v="185"/>
    <s v="Thu Dec 18 2014 12:30:00 GMT-0800 (PST)"/>
    <n v="2014"/>
    <x v="331"/>
    <x v="1"/>
    <s v="Medium"/>
  </r>
  <r>
    <n v="2012"/>
    <x v="6"/>
    <x v="193"/>
    <x v="117"/>
    <x v="3"/>
    <s v="automatic"/>
    <s v="1zvbp8am9c5266559"/>
    <s v="ca"/>
    <n v="26"/>
    <x v="1121"/>
    <s v="black"/>
    <s v="black"/>
    <s v="ford motor credit company llc pd"/>
    <n v="13600"/>
    <x v="25"/>
    <s v="Thu Dec 18 2014 12:00:00 GMT-0800 (PST)"/>
    <n v="2014"/>
    <x v="332"/>
    <x v="2"/>
    <s v="Low"/>
  </r>
  <r>
    <n v="2012"/>
    <x v="7"/>
    <x v="32"/>
    <x v="38"/>
    <x v="1"/>
    <s v="automatic"/>
    <s v="5npdh4ae3ch122158"/>
    <s v="ca"/>
    <n v="36"/>
    <x v="1122"/>
    <s v="white"/>
    <s v="black"/>
    <s v="hyundai motor finance"/>
    <n v="12250"/>
    <x v="83"/>
    <s v="Tue Dec 16 2014 12:00:00 GMT-0800 (PST)"/>
    <n v="2014"/>
    <x v="60"/>
    <x v="2"/>
    <s v="Low"/>
  </r>
  <r>
    <n v="2012"/>
    <x v="31"/>
    <x v="191"/>
    <x v="0"/>
    <x v="1"/>
    <s v="automatic"/>
    <s v="1hgcp2f32ca063476"/>
    <s v="ca"/>
    <n v="37"/>
    <x v="1123"/>
    <s v="gray"/>
    <s v="gray"/>
    <s v="ahfc/honda lease trust/hvt  inc."/>
    <n v="11100"/>
    <x v="98"/>
    <s v="Thu Dec 18 2014 12:00:00 GMT-0800 (PST)"/>
    <n v="2014"/>
    <x v="330"/>
    <x v="2"/>
    <s v="Low"/>
  </r>
  <r>
    <n v="2012"/>
    <x v="7"/>
    <x v="12"/>
    <x v="41"/>
    <x v="1"/>
    <s v="automatic"/>
    <s v="5npeb4ac1ch308852"/>
    <s v="ca"/>
    <n v="38"/>
    <x v="1124"/>
    <s v="white"/>
    <s v="beige"/>
    <s v="exeter finance corp"/>
    <n v="9150"/>
    <x v="163"/>
    <s v="Thu Dec 18 2014 12:00:00 GMT-0800 (PST)"/>
    <n v="2014"/>
    <x v="56"/>
    <x v="2"/>
    <s v="Low"/>
  </r>
  <r>
    <n v="2012"/>
    <x v="31"/>
    <x v="191"/>
    <x v="179"/>
    <x v="1"/>
    <s v="automatic"/>
    <s v="1hgcp2f49ca090926"/>
    <s v="ca"/>
    <n v="44"/>
    <x v="1125"/>
    <s v="gray"/>
    <s v="gray"/>
    <s v="ahfc/honda lease trust/hvt  inc. eot"/>
    <n v="13450"/>
    <x v="206"/>
    <s v="Thu Dec 18 2014 12:00:00 GMT-0800 (PST)"/>
    <n v="2014"/>
    <x v="333"/>
    <x v="1"/>
    <s v="Low"/>
  </r>
  <r>
    <n v="2012"/>
    <x v="6"/>
    <x v="193"/>
    <x v="117"/>
    <x v="2"/>
    <s v="automatic"/>
    <s v="1zvbp8em4c5286986"/>
    <s v="ca"/>
    <n v="32"/>
    <x v="1126"/>
    <s v="white"/>
    <s v="black"/>
    <s v="the hertz corporation"/>
    <n v="10450"/>
    <x v="93"/>
    <s v="Wed Dec 17 2014 12:30:00 GMT-0800 (PST)"/>
    <n v="2014"/>
    <x v="332"/>
    <x v="2"/>
    <s v="Low"/>
  </r>
  <r>
    <n v="2012"/>
    <x v="6"/>
    <x v="11"/>
    <x v="10"/>
    <x v="1"/>
    <s v="automatic"/>
    <s v="3fahp0ha6cr182177"/>
    <s v="ca"/>
    <n v="35"/>
    <x v="1127"/>
    <s v="blue"/>
    <s v="gray"/>
    <s v="dtg operations inc"/>
    <n v="9550"/>
    <x v="175"/>
    <s v="Wed Jan 07 2015 12:30:00 GMT-0800 (PST)"/>
    <n v="2015"/>
    <x v="11"/>
    <x v="2"/>
    <s v="Low"/>
  </r>
  <r>
    <n v="2012"/>
    <x v="12"/>
    <x v="45"/>
    <x v="178"/>
    <x v="8"/>
    <s v="automatic"/>
    <s v="jn1dv6ap4cm810619"/>
    <s v="ca"/>
    <n v="42"/>
    <x v="1128"/>
    <s v="blue"/>
    <s v="beige"/>
    <s v="nissan infiniti lt"/>
    <n v="19350"/>
    <x v="226"/>
    <s v="Thu Dec 18 2014 12:30:00 GMT-0800 (PST)"/>
    <n v="2014"/>
    <x v="331"/>
    <x v="1"/>
    <s v="Medium"/>
  </r>
  <r>
    <n v="2012"/>
    <x v="31"/>
    <x v="194"/>
    <x v="0"/>
    <x v="1"/>
    <s v="automatic"/>
    <s v="19xfb2f58ce307205"/>
    <s v="ca"/>
    <n v="26"/>
    <x v="1129"/>
    <s v="gray"/>
    <s v="gray"/>
    <s v="ahfc/honda lease trust/hvt  inc. eot"/>
    <n v="9350"/>
    <x v="175"/>
    <s v="Thu Dec 18 2014 12:00:00 GMT-0800 (PST)"/>
    <n v="2014"/>
    <x v="334"/>
    <x v="2"/>
    <s v="Low"/>
  </r>
  <r>
    <n v="2012"/>
    <x v="7"/>
    <x v="12"/>
    <x v="41"/>
    <x v="1"/>
    <s v="automatic"/>
    <s v="5npeb4ac1ch396270"/>
    <s v="ca"/>
    <n v="43"/>
    <x v="1130"/>
    <s v="black"/>
    <s v="tan"/>
    <s v="hyundai motor finance"/>
    <n v="11550"/>
    <x v="168"/>
    <s v="Tue Dec 16 2014 12:00:00 GMT-0800 (PST)"/>
    <n v="2014"/>
    <x v="56"/>
    <x v="1"/>
    <s v="Low"/>
  </r>
  <r>
    <n v="2012"/>
    <x v="7"/>
    <x v="48"/>
    <x v="47"/>
    <x v="1"/>
    <s v="automatic"/>
    <s v="kmhgc4dd1cu152484"/>
    <s v="ca"/>
    <n v="35"/>
    <x v="1131"/>
    <s v="red"/>
    <s v="beige"/>
    <s v="hyundai motor finance"/>
    <n v="15850"/>
    <x v="173"/>
    <s v="Tue Dec 16 2014 12:00:00 GMT-0800 (PST)"/>
    <n v="2014"/>
    <x v="71"/>
    <x v="2"/>
    <s v="Low"/>
  </r>
  <r>
    <n v="2012"/>
    <x v="31"/>
    <x v="195"/>
    <x v="42"/>
    <x v="5"/>
    <s v="manual"/>
    <s v="jhmge8g56cs002908"/>
    <s v="ca"/>
    <n v="2"/>
    <x v="1132"/>
    <s v="black"/>
    <s v="black"/>
    <s v="ahfc/honda lease trust/hvt  inc. eot"/>
    <n v="9600"/>
    <x v="193"/>
    <s v="Thu Jan 15 2015 04:00:00 GMT-0800 (PST)"/>
    <n v="2015"/>
    <x v="335"/>
    <x v="0"/>
    <s v="Low"/>
  </r>
  <r>
    <n v="2012"/>
    <x v="7"/>
    <x v="12"/>
    <x v="41"/>
    <x v="1"/>
    <s v="automatic"/>
    <s v="5npeb4ac9ch398817"/>
    <s v="ca"/>
    <n v="38"/>
    <x v="1133"/>
    <s v="white"/>
    <s v="beige"/>
    <s v="hyundai motor finance"/>
    <n v="11700"/>
    <x v="80"/>
    <s v="Tue Jan 27 2015 04:30:00 GMT-0800 (PST)"/>
    <n v="2015"/>
    <x v="56"/>
    <x v="2"/>
    <s v="Low"/>
  </r>
  <r>
    <n v="2012"/>
    <x v="31"/>
    <x v="191"/>
    <x v="0"/>
    <x v="1"/>
    <s v="automatic"/>
    <s v="1hgcp2f37ca036323"/>
    <s v="ca"/>
    <n v="25"/>
    <x v="1134"/>
    <s v="silver"/>
    <s v="gray"/>
    <s v="ahfc/honda lease trust/hvt  inc."/>
    <n v="12550"/>
    <x v="137"/>
    <s v="Thu Dec 18 2014 12:00:00 GMT-0800 (PST)"/>
    <n v="2014"/>
    <x v="330"/>
    <x v="2"/>
    <s v="Low"/>
  </r>
  <r>
    <n v="2012"/>
    <x v="31"/>
    <x v="196"/>
    <x v="0"/>
    <x v="0"/>
    <s v="automatic"/>
    <s v="5fnyf3h23cb003554"/>
    <s v="ca"/>
    <n v="19"/>
    <x v="1135"/>
    <s v="gray"/>
    <s v="gray"/>
    <s v="ahfc/honda lease trust/hvt  inc."/>
    <n v="18100"/>
    <x v="187"/>
    <s v="Thu Dec 18 2014 12:00:00 GMT-0800 (PST)"/>
    <n v="2014"/>
    <x v="336"/>
    <x v="0"/>
    <s v="Low"/>
  </r>
  <r>
    <n v="2012"/>
    <x v="7"/>
    <x v="12"/>
    <x v="38"/>
    <x v="1"/>
    <s v="automatic"/>
    <s v="5npec4ac8ch375638"/>
    <s v="ca"/>
    <n v="44"/>
    <x v="1136"/>
    <s v="white"/>
    <s v="black"/>
    <s v="hyundai motor finance"/>
    <n v="15850"/>
    <x v="270"/>
    <s v="Tue Dec 16 2014 12:00:00 GMT-0800 (PST)"/>
    <n v="2014"/>
    <x v="59"/>
    <x v="1"/>
    <s v="Low"/>
  </r>
  <r>
    <n v="2012"/>
    <x v="31"/>
    <x v="197"/>
    <x v="0"/>
    <x v="11"/>
    <s v="automatic"/>
    <s v="5fnrl5h24cb009338"/>
    <s v="ca"/>
    <n v="39"/>
    <x v="1137"/>
    <s v="gray"/>
    <s v="gray"/>
    <s v="ahfc/honda lease trust/hvt  inc. eot"/>
    <n v="15150"/>
    <x v="156"/>
    <s v="Thu Dec 18 2014 12:00:00 GMT-0800 (PST)"/>
    <n v="2014"/>
    <x v="337"/>
    <x v="2"/>
    <s v="Low"/>
  </r>
  <r>
    <n v="2012"/>
    <x v="31"/>
    <x v="194"/>
    <x v="69"/>
    <x v="1"/>
    <s v="automatic"/>
    <s v="19xfb2f86ce382348"/>
    <s v="ca"/>
    <n v="24"/>
    <x v="1138"/>
    <s v="white"/>
    <s v="gray"/>
    <s v="ahfc/honda lease trust/hvt  inc."/>
    <n v="11550"/>
    <x v="12"/>
    <s v="Thu Dec 18 2014 12:00:00 GMT-0800 (PST)"/>
    <n v="2014"/>
    <x v="338"/>
    <x v="2"/>
    <s v="Low"/>
  </r>
  <r>
    <n v="2012"/>
    <x v="6"/>
    <x v="11"/>
    <x v="10"/>
    <x v="1"/>
    <s v="automatic"/>
    <s v="3fahp0ha0cr307187"/>
    <s v="ca"/>
    <n v="35"/>
    <x v="1139"/>
    <s v="silver"/>
    <s v="gray"/>
    <s v="ge fleet services for itself/servicer"/>
    <n v="9875"/>
    <x v="51"/>
    <s v="Tue Dec 16 2014 12:00:00 GMT-0800 (PST)"/>
    <n v="2014"/>
    <x v="11"/>
    <x v="2"/>
    <s v="Low"/>
  </r>
  <r>
    <n v="2012"/>
    <x v="31"/>
    <x v="194"/>
    <x v="0"/>
    <x v="1"/>
    <s v="automatic"/>
    <s v="19xfb2f59ce382947"/>
    <s v="ca"/>
    <n v="42"/>
    <x v="1140"/>
    <s v="white"/>
    <s v="gray"/>
    <s v="ahfc/honda lease trust/hvt  inc."/>
    <n v="11500"/>
    <x v="39"/>
    <s v="Thu Dec 18 2014 12:00:00 GMT-0800 (PST)"/>
    <n v="2014"/>
    <x v="334"/>
    <x v="1"/>
    <s v="Low"/>
  </r>
  <r>
    <n v="2012"/>
    <x v="31"/>
    <x v="194"/>
    <x v="0"/>
    <x v="1"/>
    <s v="automatic"/>
    <s v="19xfb2f56ce392156"/>
    <s v="ca"/>
    <n v="19"/>
    <x v="1141"/>
    <s v="gray"/>
    <s v="gray"/>
    <s v="ahfc/honda lease trust/hvt  inc."/>
    <n v="9825"/>
    <x v="343"/>
    <s v="Thu Dec 18 2014 12:00:00 GMT-0800 (PST)"/>
    <n v="2014"/>
    <x v="334"/>
    <x v="0"/>
    <s v="Low"/>
  </r>
  <r>
    <n v="2012"/>
    <x v="6"/>
    <x v="193"/>
    <x v="117"/>
    <x v="2"/>
    <m/>
    <s v="1zvbp8emxc5273367"/>
    <s v="ca"/>
    <n v="37"/>
    <x v="1142"/>
    <s v="blue"/>
    <s v="gray"/>
    <s v="dtg operations inc"/>
    <n v="11600"/>
    <x v="124"/>
    <s v="Thu Dec 18 2014 11:30:00 GMT-0800 (PST)"/>
    <n v="2014"/>
    <x v="332"/>
    <x v="2"/>
    <s v="Low"/>
  </r>
  <r>
    <n v="2012"/>
    <x v="31"/>
    <x v="194"/>
    <x v="0"/>
    <x v="1"/>
    <s v="automatic"/>
    <s v="19xfb2f52ce384572"/>
    <s v="ca"/>
    <n v="39"/>
    <x v="529"/>
    <s v="white"/>
    <s v="gray"/>
    <s v="ahfc/honda lease trust/hvt  inc."/>
    <n v="11050"/>
    <x v="137"/>
    <s v="Thu Dec 18 2014 12:00:00 GMT-0800 (PST)"/>
    <n v="2014"/>
    <x v="334"/>
    <x v="2"/>
    <s v="Low"/>
  </r>
  <r>
    <n v="2012"/>
    <x v="31"/>
    <x v="194"/>
    <x v="0"/>
    <x v="1"/>
    <s v="automatic"/>
    <s v="19xfb2f59ce324448"/>
    <s v="ca"/>
    <n v="34"/>
    <x v="1143"/>
    <s v="black"/>
    <s v="gray"/>
    <s v="the hertz corporation"/>
    <n v="11150"/>
    <x v="148"/>
    <s v="Thu Dec 18 2014 11:30:00 GMT-0800 (PST)"/>
    <n v="2014"/>
    <x v="334"/>
    <x v="2"/>
    <s v="Low"/>
  </r>
  <r>
    <n v="2012"/>
    <x v="6"/>
    <x v="11"/>
    <x v="146"/>
    <x v="1"/>
    <s v="automatic"/>
    <s v="3fahp0ja3cr291867"/>
    <s v="ca"/>
    <n v="37"/>
    <x v="1144"/>
    <s v="black"/>
    <s v="gray"/>
    <s v="dtg operations inc"/>
    <n v="9700"/>
    <x v="74"/>
    <s v="Wed Dec 17 2014 12:30:00 GMT-0800 (PST)"/>
    <n v="2014"/>
    <x v="309"/>
    <x v="2"/>
    <s v="Low"/>
  </r>
  <r>
    <n v="2012"/>
    <x v="7"/>
    <x v="32"/>
    <x v="41"/>
    <x v="1"/>
    <s v="automatic"/>
    <s v="5npdh4ae5ch119147"/>
    <s v="ca"/>
    <n v="28"/>
    <x v="1145"/>
    <s v="white"/>
    <s v="beige"/>
    <s v="hyundai motor finance"/>
    <n v="10400"/>
    <x v="344"/>
    <s v="Tue Jan 13 2015 12:30:00 GMT-0800 (PST)"/>
    <n v="2015"/>
    <x v="55"/>
    <x v="2"/>
    <s v="Low"/>
  </r>
  <r>
    <n v="2012"/>
    <x v="6"/>
    <x v="11"/>
    <x v="167"/>
    <x v="1"/>
    <s v="automatic"/>
    <s v="3fadp0l39cr356699"/>
    <s v="ca"/>
    <n v="41"/>
    <x v="1146"/>
    <s v="blue"/>
    <s v="black"/>
    <s v="m/r motors inc"/>
    <n v="11900"/>
    <x v="137"/>
    <s v="Thu Jan 15 2015 04:00:00 GMT-0800 (PST)"/>
    <n v="2015"/>
    <x v="300"/>
    <x v="1"/>
    <s v="Low"/>
  </r>
  <r>
    <n v="2012"/>
    <x v="31"/>
    <x v="191"/>
    <x v="180"/>
    <x v="3"/>
    <s v="automatic"/>
    <s v="1hgcs1b32ca004331"/>
    <s v="ca"/>
    <n v="42"/>
    <x v="1147"/>
    <s v="black"/>
    <s v="black"/>
    <s v="ahfc/honda lease trust/hvt  inc. eot"/>
    <n v="12650"/>
    <x v="58"/>
    <s v="Thu Dec 18 2014 12:00:00 GMT-0800 (PST)"/>
    <n v="2014"/>
    <x v="339"/>
    <x v="1"/>
    <s v="Low"/>
  </r>
  <r>
    <n v="2012"/>
    <x v="7"/>
    <x v="55"/>
    <x v="41"/>
    <x v="0"/>
    <s v="automatic"/>
    <s v="km8ju3ac2cu324482"/>
    <s v="ca"/>
    <n v="37"/>
    <x v="1148"/>
    <s v="black"/>
    <s v="black"/>
    <s v="hyundai motor finance"/>
    <n v="14050"/>
    <x v="186"/>
    <s v="Tue Dec 16 2014 12:00:00 GMT-0800 (PST)"/>
    <n v="2014"/>
    <x v="68"/>
    <x v="2"/>
    <s v="Low"/>
  </r>
  <r>
    <n v="2012"/>
    <x v="7"/>
    <x v="50"/>
    <x v="5"/>
    <x v="1"/>
    <s v="automatic"/>
    <s v="kmhec4a45ca055348"/>
    <s v="ca"/>
    <n v="42"/>
    <x v="1149"/>
    <s v="blue"/>
    <s v="gray"/>
    <s v="hyundai motor finance"/>
    <n v="15000"/>
    <x v="207"/>
    <s v="Tue Dec 16 2014 12:00:00 GMT-0800 (PST)"/>
    <n v="2014"/>
    <x v="67"/>
    <x v="1"/>
    <s v="Low"/>
  </r>
  <r>
    <n v="2012"/>
    <x v="7"/>
    <x v="48"/>
    <x v="181"/>
    <x v="1"/>
    <s v="automatic"/>
    <s v="kmhgc4df0cu165745"/>
    <s v="ca"/>
    <n v="37"/>
    <x v="1150"/>
    <s v="red"/>
    <s v="tan"/>
    <s v="hyundai motor finance"/>
    <n v="20600"/>
    <x v="329"/>
    <s v="Tue Jan 20 2015 04:30:00 GMT-0800 (PST)"/>
    <n v="2015"/>
    <x v="340"/>
    <x v="2"/>
    <s v="Medium"/>
  </r>
  <r>
    <n v="2012"/>
    <x v="31"/>
    <x v="191"/>
    <x v="10"/>
    <x v="1"/>
    <s v="automatic"/>
    <s v="1hgcp2f60ca025223"/>
    <s v="ca"/>
    <n v="36"/>
    <x v="1151"/>
    <s v="white"/>
    <s v="beige"/>
    <s v="ahfc/honda lease trust/hvt  inc. eot"/>
    <n v="12300"/>
    <x v="186"/>
    <s v="Thu Dec 18 2014 12:00:00 GMT-0800 (PST)"/>
    <n v="2014"/>
    <x v="328"/>
    <x v="2"/>
    <s v="Low"/>
  </r>
  <r>
    <n v="2012"/>
    <x v="7"/>
    <x v="12"/>
    <x v="41"/>
    <x v="1"/>
    <s v="automatic"/>
    <s v="5npeb4ac0ch395644"/>
    <s v="ca"/>
    <n v="41"/>
    <x v="1152"/>
    <s v="blue"/>
    <s v="gray"/>
    <s v="hyundai motor finance"/>
    <n v="10950"/>
    <x v="148"/>
    <s v="Tue Dec 16 2014 12:00:00 GMT-0800 (PST)"/>
    <n v="2014"/>
    <x v="56"/>
    <x v="1"/>
    <s v="Low"/>
  </r>
  <r>
    <n v="2012"/>
    <x v="31"/>
    <x v="192"/>
    <x v="69"/>
    <x v="0"/>
    <s v="automatic"/>
    <s v="5j6rm3h55cl046630"/>
    <s v="ca"/>
    <n v="39"/>
    <x v="1153"/>
    <s v="burgundy"/>
    <s v="gray"/>
    <s v="ahfc/honda lease trust/hvt  inc."/>
    <n v="18400"/>
    <x v="159"/>
    <s v="Thu Dec 18 2014 12:00:00 GMT-0800 (PST)"/>
    <n v="2014"/>
    <x v="329"/>
    <x v="2"/>
    <s v="Medium"/>
  </r>
  <r>
    <n v="2012"/>
    <x v="6"/>
    <x v="11"/>
    <x v="146"/>
    <x v="1"/>
    <s v="automatic"/>
    <s v="3fahp0jg6cr296274"/>
    <s v="ca"/>
    <n v="38"/>
    <x v="1154"/>
    <s v="white"/>
    <s v="tan"/>
    <s v="dtg operations inc"/>
    <n v="8750"/>
    <x v="30"/>
    <s v="Thu Dec 18 2014 11:30:00 GMT-0800 (PST)"/>
    <n v="2014"/>
    <x v="309"/>
    <x v="2"/>
    <s v="Low"/>
  </r>
  <r>
    <n v="2012"/>
    <x v="7"/>
    <x v="12"/>
    <x v="38"/>
    <x v="1"/>
    <s v="automatic"/>
    <s v="5npec4acxch406016"/>
    <s v="ca"/>
    <n v="44"/>
    <x v="1155"/>
    <s v="white"/>
    <s v="black"/>
    <s v="hyundai motor finance"/>
    <n v="16450"/>
    <x v="143"/>
    <s v="Tue Jan 13 2015 04:30:00 GMT-0800 (PST)"/>
    <n v="2015"/>
    <x v="59"/>
    <x v="1"/>
    <s v="Low"/>
  </r>
  <r>
    <n v="2012"/>
    <x v="7"/>
    <x v="32"/>
    <x v="41"/>
    <x v="1"/>
    <s v="automatic"/>
    <s v="kmhdh4ae8cu392715"/>
    <s v="ca"/>
    <n v="27"/>
    <x v="1156"/>
    <s v="silver"/>
    <s v="gray"/>
    <s v="hyundai motor finance"/>
    <n v="10250"/>
    <x v="93"/>
    <s v="Tue Dec 16 2014 12:00:00 GMT-0800 (PST)"/>
    <n v="2014"/>
    <x v="55"/>
    <x v="2"/>
    <s v="Low"/>
  </r>
  <r>
    <n v="2012"/>
    <x v="7"/>
    <x v="32"/>
    <x v="41"/>
    <x v="1"/>
    <s v="automatic"/>
    <s v="kmhdh4aexcu180690"/>
    <s v="ca"/>
    <n v="19"/>
    <x v="1157"/>
    <s v="blue"/>
    <s v="beige"/>
    <s v="santander consumer"/>
    <n v="9675"/>
    <x v="184"/>
    <s v="Thu Dec 18 2014 12:00:00 GMT-0800 (PST)"/>
    <n v="2014"/>
    <x v="55"/>
    <x v="0"/>
    <s v="Low"/>
  </r>
  <r>
    <n v="2012"/>
    <x v="7"/>
    <x v="51"/>
    <x v="45"/>
    <x v="5"/>
    <s v="automatic"/>
    <s v="kmhct5aexcu028523"/>
    <s v="ca"/>
    <n v="28"/>
    <x v="1158"/>
    <s v="gray"/>
    <s v="black"/>
    <s v="hyundai motor finance"/>
    <n v="8875"/>
    <x v="21"/>
    <s v="Tue Jan 20 2015 04:30:00 GMT-0800 (PST)"/>
    <n v="2015"/>
    <x v="65"/>
    <x v="2"/>
    <s v="Low"/>
  </r>
  <r>
    <n v="2012"/>
    <x v="31"/>
    <x v="191"/>
    <x v="0"/>
    <x v="1"/>
    <s v="automatic"/>
    <s v="1hgcp2f36ca106636"/>
    <s v="ca"/>
    <n v="34"/>
    <x v="1159"/>
    <s v="blue"/>
    <s v="gray"/>
    <s v="ahfc/honda lease trust/hvt  inc."/>
    <n v="11550"/>
    <x v="161"/>
    <s v="Thu Dec 18 2014 12:00:00 GMT-0800 (PST)"/>
    <n v="2014"/>
    <x v="330"/>
    <x v="2"/>
    <s v="Low"/>
  </r>
  <r>
    <n v="2012"/>
    <x v="31"/>
    <x v="191"/>
    <x v="182"/>
    <x v="1"/>
    <s v="automatic"/>
    <s v="1hgcp3f79ca004479"/>
    <s v="ca"/>
    <n v="36"/>
    <x v="1160"/>
    <s v="gray"/>
    <s v="gray"/>
    <s v="ahfc/honda lease trust/hvt  inc. eot"/>
    <n v="14950"/>
    <x v="236"/>
    <s v="Thu Dec 18 2014 12:00:00 GMT-0800 (PST)"/>
    <n v="2014"/>
    <x v="341"/>
    <x v="2"/>
    <s v="Low"/>
  </r>
  <r>
    <n v="2012"/>
    <x v="31"/>
    <x v="196"/>
    <x v="183"/>
    <x v="0"/>
    <s v="automatic"/>
    <s v="5fnyf3h59cb020787"/>
    <s v="ca"/>
    <n v="37"/>
    <x v="1161"/>
    <s v="white"/>
    <s v="gray"/>
    <s v="ahfc/honda lease trust/hvt  inc. eot"/>
    <n v="22700"/>
    <x v="257"/>
    <s v="Tue Dec 30 2014 15:00:00 GMT-0800 (PST)"/>
    <n v="2014"/>
    <x v="342"/>
    <x v="2"/>
    <s v="Medium"/>
  </r>
  <r>
    <n v="2012"/>
    <x v="31"/>
    <x v="191"/>
    <x v="184"/>
    <x v="3"/>
    <s v="automatic"/>
    <s v="1hgcs2b82ca009420"/>
    <s v="ca"/>
    <n v="41"/>
    <x v="1162"/>
    <s v="black"/>
    <s v="black"/>
    <s v="ahfc/honda lease trust/hvt  inc."/>
    <n v="16300"/>
    <x v="156"/>
    <s v="Thu Dec 18 2014 12:00:00 GMT-0800 (PST)"/>
    <n v="2014"/>
    <x v="343"/>
    <x v="1"/>
    <s v="Low"/>
  </r>
  <r>
    <n v="2012"/>
    <x v="31"/>
    <x v="191"/>
    <x v="10"/>
    <x v="1"/>
    <s v="automatic"/>
    <s v="1hgcp2f64ca036502"/>
    <s v="ca"/>
    <n v="19"/>
    <x v="1163"/>
    <s v="gray"/>
    <s v="black"/>
    <s v="ahfc/honda lease trust/hvt  inc. eot"/>
    <n v="13950"/>
    <x v="197"/>
    <s v="Thu Jan 15 2015 04:00:00 GMT-0800 (PST)"/>
    <n v="2015"/>
    <x v="328"/>
    <x v="0"/>
    <s v="Low"/>
  </r>
  <r>
    <n v="2012"/>
    <x v="31"/>
    <x v="197"/>
    <x v="69"/>
    <x v="11"/>
    <s v="automatic"/>
    <s v="5fnrl5h48cb029268"/>
    <s v="ca"/>
    <n v="38"/>
    <x v="1164"/>
    <s v="burgundy"/>
    <s v="beige"/>
    <s v="ahfc/honda lease trust/hvt  inc. eot"/>
    <n v="18050"/>
    <x v="336"/>
    <s v="Tue Dec 30 2014 15:00:00 GMT-0800 (PST)"/>
    <n v="2014"/>
    <x v="344"/>
    <x v="2"/>
    <s v="Medium"/>
  </r>
  <r>
    <n v="2012"/>
    <x v="7"/>
    <x v="12"/>
    <x v="41"/>
    <x v="1"/>
    <s v="automatic"/>
    <s v="5npeb4ac6ch386883"/>
    <s v="ca"/>
    <n v="29"/>
    <x v="1165"/>
    <s v="gray"/>
    <s v="beige"/>
    <s v="hyundai motor finance"/>
    <n v="11050"/>
    <x v="138"/>
    <s v="Tue Dec 16 2014 12:00:00 GMT-0800 (PST)"/>
    <n v="2014"/>
    <x v="56"/>
    <x v="2"/>
    <s v="Low"/>
  </r>
  <r>
    <n v="2012"/>
    <x v="31"/>
    <x v="191"/>
    <x v="0"/>
    <x v="1"/>
    <s v="automatic"/>
    <s v="1hgcp2f32ca042692"/>
    <s v="ca"/>
    <n v="39"/>
    <x v="1166"/>
    <s v="black"/>
    <s v="beige"/>
    <s v="ahfc/honda lease trust/hvt  inc. eot"/>
    <n v="11550"/>
    <x v="39"/>
    <s v="Thu Dec 18 2014 12:00:00 GMT-0800 (PST)"/>
    <n v="2014"/>
    <x v="330"/>
    <x v="2"/>
    <s v="Low"/>
  </r>
  <r>
    <n v="2012"/>
    <x v="6"/>
    <x v="193"/>
    <x v="117"/>
    <x v="2"/>
    <s v="automatic"/>
    <s v="1zvbp8em5c5273356"/>
    <s v="ca"/>
    <n v="42"/>
    <x v="1167"/>
    <s v="red"/>
    <s v="black"/>
    <s v="dtg operations inc"/>
    <n v="11700"/>
    <x v="25"/>
    <s v="Thu Dec 18 2014 11:30:00 GMT-0800 (PST)"/>
    <n v="2014"/>
    <x v="332"/>
    <x v="1"/>
    <s v="Low"/>
  </r>
  <r>
    <n v="2012"/>
    <x v="12"/>
    <x v="45"/>
    <x v="178"/>
    <x v="8"/>
    <s v="automatic"/>
    <s v="jn1dv6apxcm812956"/>
    <s v="ca"/>
    <n v="38"/>
    <x v="1168"/>
    <s v="gray"/>
    <s v="black"/>
    <s v="nissan infiniti lt"/>
    <n v="19800"/>
    <x v="24"/>
    <s v="Thu Dec 18 2014 12:30:00 GMT-0800 (PST)"/>
    <n v="2014"/>
    <x v="331"/>
    <x v="2"/>
    <s v="Medium"/>
  </r>
  <r>
    <n v="2012"/>
    <x v="31"/>
    <x v="194"/>
    <x v="69"/>
    <x v="3"/>
    <s v="automatic"/>
    <s v="2hgfg3b83ch516834"/>
    <s v="ca"/>
    <n v="19"/>
    <x v="1169"/>
    <s v="red"/>
    <s v="gray"/>
    <s v="ahfc/honda lease trust/hvt  inc. eot"/>
    <n v="12950"/>
    <x v="276"/>
    <s v="Thu Dec 18 2014 12:00:00 GMT-0800 (PST)"/>
    <n v="2014"/>
    <x v="338"/>
    <x v="0"/>
    <s v="Low"/>
  </r>
  <r>
    <n v="2012"/>
    <x v="31"/>
    <x v="191"/>
    <x v="69"/>
    <x v="1"/>
    <s v="automatic"/>
    <s v="1hgcp2f72ca088929"/>
    <s v="ca"/>
    <n v="4"/>
    <x v="1170"/>
    <s v="gray"/>
    <s v="black"/>
    <s v="ahfc/honda lease trust/hvt  inc. eot"/>
    <n v="13700"/>
    <x v="19"/>
    <s v="Thu Dec 18 2014 12:00:00 GMT-0800 (PST)"/>
    <n v="2014"/>
    <x v="345"/>
    <x v="0"/>
    <s v="Low"/>
  </r>
  <r>
    <n v="2012"/>
    <x v="31"/>
    <x v="196"/>
    <x v="57"/>
    <x v="0"/>
    <s v="automatic"/>
    <s v="5fnyf3h97cb043598"/>
    <s v="ca"/>
    <n v="45"/>
    <x v="1171"/>
    <s v="white"/>
    <s v="black"/>
    <s v="connell chevrolet"/>
    <n v="28100"/>
    <x v="87"/>
    <s v="Wed Dec 17 2014 12:30:00 GMT-0800 (PST)"/>
    <n v="2014"/>
    <x v="346"/>
    <x v="1"/>
    <s v="Medium"/>
  </r>
  <r>
    <n v="2012"/>
    <x v="6"/>
    <x v="193"/>
    <x v="185"/>
    <x v="3"/>
    <s v="manual"/>
    <s v="1zvbp8cf3c5270248"/>
    <s v="ca"/>
    <n v="44"/>
    <x v="1172"/>
    <s v="blue"/>
    <s v="gray"/>
    <s v="frank toyota"/>
    <n v="19850"/>
    <x v="120"/>
    <s v="Tue Dec 16 2014 12:30:00 GMT-0800 (PST)"/>
    <n v="2014"/>
    <x v="347"/>
    <x v="1"/>
    <s v="Medium"/>
  </r>
  <r>
    <n v="2012"/>
    <x v="31"/>
    <x v="194"/>
    <x v="0"/>
    <x v="1"/>
    <s v="automatic"/>
    <s v="jhmfb2f56cs005438"/>
    <s v="ca"/>
    <n v="23"/>
    <x v="1173"/>
    <s v="gray"/>
    <s v="beige"/>
    <s v="ahfc/honda lease trust/hvt  inc. eot"/>
    <n v="9600"/>
    <x v="175"/>
    <s v="Thu Jan 15 2015 04:00:00 GMT-0800 (PST)"/>
    <n v="2015"/>
    <x v="334"/>
    <x v="2"/>
    <s v="Low"/>
  </r>
  <r>
    <n v="2012"/>
    <x v="12"/>
    <x v="45"/>
    <x v="178"/>
    <x v="8"/>
    <s v="automatic"/>
    <s v="jn1dv6ap9cm810566"/>
    <s v="ca"/>
    <n v="41"/>
    <x v="1174"/>
    <s v="white"/>
    <s v="black"/>
    <s v="nissan infiniti lt"/>
    <n v="18950"/>
    <x v="24"/>
    <s v="Wed Dec 17 2014 12:30:00 GMT-0800 (PST)"/>
    <n v="2014"/>
    <x v="331"/>
    <x v="1"/>
    <s v="Medium"/>
  </r>
  <r>
    <n v="2012"/>
    <x v="31"/>
    <x v="192"/>
    <x v="183"/>
    <x v="0"/>
    <s v="automatic"/>
    <s v="jhlrm3h75cc002265"/>
    <s v="ca"/>
    <n v="37"/>
    <x v="1175"/>
    <s v="black"/>
    <s v="black"/>
    <s v="barber honda"/>
    <n v="19550"/>
    <x v="323"/>
    <s v="Tue Dec 16 2014 12:30:00 GMT-0800 (PST)"/>
    <n v="2014"/>
    <x v="348"/>
    <x v="2"/>
    <s v="Medium"/>
  </r>
  <r>
    <n v="2012"/>
    <x v="7"/>
    <x v="12"/>
    <x v="41"/>
    <x v="1"/>
    <s v="automatic"/>
    <s v="5npeb4ac7ch381093"/>
    <s v="ca"/>
    <n v="2"/>
    <x v="1176"/>
    <s v="gray"/>
    <s v="gray"/>
    <s v="hyundai motor finance"/>
    <n v="10600"/>
    <x v="184"/>
    <s v="Tue Dec 30 2014 13:00:00 GMT-0800 (PST)"/>
    <n v="2014"/>
    <x v="56"/>
    <x v="0"/>
    <s v="Low"/>
  </r>
  <r>
    <n v="2012"/>
    <x v="7"/>
    <x v="12"/>
    <x v="38"/>
    <x v="1"/>
    <s v="automatic"/>
    <s v="5npec4ac0ch365704"/>
    <s v="ca"/>
    <n v="44"/>
    <x v="1177"/>
    <s v="white"/>
    <s v="beige"/>
    <s v="hyundai motor finance"/>
    <n v="16400"/>
    <x v="8"/>
    <s v="Tue Dec 16 2014 12:00:00 GMT-0800 (PST)"/>
    <n v="2014"/>
    <x v="59"/>
    <x v="1"/>
    <s v="Low"/>
  </r>
  <r>
    <n v="2012"/>
    <x v="7"/>
    <x v="51"/>
    <x v="45"/>
    <x v="5"/>
    <s v="automatic"/>
    <s v="kmhct5ae7cu023442"/>
    <s v="ca"/>
    <n v="31"/>
    <x v="1178"/>
    <s v="blue"/>
    <s v="black"/>
    <s v="hyundai motor finance"/>
    <n v="8125"/>
    <x v="327"/>
    <s v="Tue Dec 16 2014 12:00:00 GMT-0800 (PST)"/>
    <n v="2014"/>
    <x v="65"/>
    <x v="2"/>
    <s v="Low"/>
  </r>
  <r>
    <n v="2012"/>
    <x v="31"/>
    <x v="191"/>
    <x v="0"/>
    <x v="1"/>
    <s v="automatic"/>
    <s v="1hgcp2f34ca044475"/>
    <s v="ca"/>
    <n v="41"/>
    <x v="1179"/>
    <s v="gray"/>
    <s v="black"/>
    <s v="ahfc/honda lease trust/hvt  inc. eot"/>
    <n v="11600"/>
    <x v="83"/>
    <s v="Thu Dec 18 2014 12:00:00 GMT-0800 (PST)"/>
    <n v="2014"/>
    <x v="330"/>
    <x v="1"/>
    <s v="Low"/>
  </r>
  <r>
    <n v="2012"/>
    <x v="7"/>
    <x v="55"/>
    <x v="41"/>
    <x v="0"/>
    <s v="automatic"/>
    <s v="km8ju3acxcu486909"/>
    <s v="ca"/>
    <n v="4"/>
    <x v="1180"/>
    <s v="gray"/>
    <s v="black"/>
    <s v="hyundai motor finance"/>
    <n v="13100"/>
    <x v="108"/>
    <s v="Tue Dec 16 2014 12:00:00 GMT-0800 (PST)"/>
    <n v="2014"/>
    <x v="68"/>
    <x v="0"/>
    <s v="Low"/>
  </r>
  <r>
    <n v="2012"/>
    <x v="31"/>
    <x v="191"/>
    <x v="10"/>
    <x v="1"/>
    <s v="automatic"/>
    <s v="1hgcp2f63ca099106"/>
    <s v="ca"/>
    <n v="19"/>
    <x v="1181"/>
    <s v="silver"/>
    <s v="black"/>
    <s v="ahfc/honda lease trust/hvt  inc. eot"/>
    <n v="13150"/>
    <x v="83"/>
    <s v="Tue Dec 30 2014 15:00:00 GMT-0800 (PST)"/>
    <n v="2014"/>
    <x v="328"/>
    <x v="0"/>
    <s v="Low"/>
  </r>
  <r>
    <n v="2012"/>
    <x v="6"/>
    <x v="193"/>
    <x v="117"/>
    <x v="2"/>
    <s v="automatic"/>
    <s v="1zvbp8em4c5286471"/>
    <s v="ca"/>
    <n v="25"/>
    <x v="1182"/>
    <s v="white"/>
    <s v="â€”"/>
    <s v="the hertz corporation"/>
    <n v="10550"/>
    <x v="54"/>
    <s v="Tue Dec 16 2014 12:30:00 GMT-0800 (PST)"/>
    <n v="2014"/>
    <x v="332"/>
    <x v="2"/>
    <s v="Low"/>
  </r>
  <r>
    <n v="2012"/>
    <x v="12"/>
    <x v="45"/>
    <x v="178"/>
    <x v="8"/>
    <s v="automatic"/>
    <s v="jn1dv6ap0cm811542"/>
    <s v="ca"/>
    <n v="46"/>
    <x v="1183"/>
    <s v="white"/>
    <s v="gray"/>
    <s v="nissan infiniti lt"/>
    <n v="17150"/>
    <x v="73"/>
    <s v="Thu Dec 18 2014 12:30:00 GMT-0800 (PST)"/>
    <n v="2014"/>
    <x v="331"/>
    <x v="1"/>
    <s v="Medium"/>
  </r>
  <r>
    <n v="2012"/>
    <x v="31"/>
    <x v="196"/>
    <x v="69"/>
    <x v="0"/>
    <s v="automatic"/>
    <s v="5fnyf3h42cb032027"/>
    <s v="ca"/>
    <n v="25"/>
    <x v="1184"/>
    <s v="gray"/>
    <s v="gray"/>
    <s v="california fleet inc"/>
    <n v="18900"/>
    <x v="16"/>
    <s v="Thu Dec 18 2014 12:00:00 GMT-0800 (PST)"/>
    <n v="2014"/>
    <x v="349"/>
    <x v="2"/>
    <s v="Low"/>
  </r>
  <r>
    <n v="2012"/>
    <x v="6"/>
    <x v="11"/>
    <x v="146"/>
    <x v="1"/>
    <s v="automatic"/>
    <s v="3fahp0jg2cr250747"/>
    <s v="ca"/>
    <n v="29"/>
    <x v="1185"/>
    <s v="gray"/>
    <s v="black"/>
    <s v="santander consumer"/>
    <n v="8100"/>
    <x v="214"/>
    <s v="Thu Dec 18 2014 12:00:00 GMT-0800 (PST)"/>
    <n v="2014"/>
    <x v="309"/>
    <x v="2"/>
    <s v="Low"/>
  </r>
  <r>
    <n v="2012"/>
    <x v="7"/>
    <x v="32"/>
    <x v="41"/>
    <x v="1"/>
    <s v="automatic"/>
    <s v="kmhdh4ae7cu384167"/>
    <s v="ca"/>
    <n v="41"/>
    <x v="1186"/>
    <s v="blue"/>
    <s v="beige"/>
    <s v="hyundai motor finance"/>
    <n v="10600"/>
    <x v="123"/>
    <s v="Tue Dec 16 2014 12:00:00 GMT-0800 (PST)"/>
    <n v="2014"/>
    <x v="55"/>
    <x v="1"/>
    <s v="Low"/>
  </r>
  <r>
    <n v="2012"/>
    <x v="31"/>
    <x v="194"/>
    <x v="0"/>
    <x v="3"/>
    <s v="automatic"/>
    <s v="2hgfg3b53ch552626"/>
    <s v="ca"/>
    <n v="19"/>
    <x v="1187"/>
    <s v="silver"/>
    <s v="beige"/>
    <s v="ahfc/honda lease trust/hvt  inc."/>
    <n v="10900"/>
    <x v="153"/>
    <s v="Thu Dec 18 2014 12:00:00 GMT-0800 (PST)"/>
    <n v="2014"/>
    <x v="334"/>
    <x v="0"/>
    <s v="Low"/>
  </r>
  <r>
    <n v="2012"/>
    <x v="31"/>
    <x v="194"/>
    <x v="0"/>
    <x v="1"/>
    <s v="automatic"/>
    <s v="19xfb2f53ce384838"/>
    <s v="ca"/>
    <n v="38"/>
    <x v="1188"/>
    <s v="white"/>
    <s v="black"/>
    <s v="ahfc/honda lease trust/hvt  inc. eot"/>
    <n v="12400"/>
    <x v="161"/>
    <s v="Thu Dec 18 2014 12:00:00 GMT-0800 (PST)"/>
    <n v="2014"/>
    <x v="334"/>
    <x v="2"/>
    <s v="Low"/>
  </r>
  <r>
    <n v="2012"/>
    <x v="7"/>
    <x v="32"/>
    <x v="41"/>
    <x v="1"/>
    <s v="automatic"/>
    <s v="kmhdh4ae4cu324640"/>
    <s v="ca"/>
    <n v="42"/>
    <x v="1189"/>
    <s v="black"/>
    <s v="beige"/>
    <s v="hyundai motor finance"/>
    <n v="10350"/>
    <x v="41"/>
    <s v="Tue Dec 16 2014 12:00:00 GMT-0800 (PST)"/>
    <n v="2014"/>
    <x v="55"/>
    <x v="1"/>
    <s v="Low"/>
  </r>
  <r>
    <n v="2012"/>
    <x v="7"/>
    <x v="55"/>
    <x v="41"/>
    <x v="0"/>
    <s v="automatic"/>
    <s v="km8ju3ac7cu328432"/>
    <s v="ca"/>
    <n v="2"/>
    <x v="1190"/>
    <s v="blue"/>
    <s v="gray"/>
    <s v="hyundai motor finance"/>
    <n v="14200"/>
    <x v="163"/>
    <s v="Tue Dec 16 2014 12:00:00 GMT-0800 (PST)"/>
    <n v="2014"/>
    <x v="68"/>
    <x v="0"/>
    <s v="Low"/>
  </r>
  <r>
    <n v="2012"/>
    <x v="12"/>
    <x v="45"/>
    <x v="178"/>
    <x v="8"/>
    <s v="automatic"/>
    <s v="jn1dv6ap6cm813098"/>
    <s v="ca"/>
    <n v="44"/>
    <x v="1191"/>
    <s v="gray"/>
    <s v="black"/>
    <s v="nissan infiniti lt"/>
    <n v="20000"/>
    <x v="43"/>
    <s v="Thu Dec 18 2014 12:30:00 GMT-0800 (PST)"/>
    <n v="2014"/>
    <x v="331"/>
    <x v="1"/>
    <s v="Medium"/>
  </r>
  <r>
    <n v="2012"/>
    <x v="12"/>
    <x v="45"/>
    <x v="178"/>
    <x v="8"/>
    <s v="automatic"/>
    <s v="jn1dv6apxcm813007"/>
    <s v="ca"/>
    <n v="41"/>
    <x v="1192"/>
    <s v="white"/>
    <s v="black"/>
    <s v="nissan infiniti lt"/>
    <n v="19650"/>
    <x v="120"/>
    <s v="Thu Dec 18 2014 12:30:00 GMT-0800 (PST)"/>
    <n v="2014"/>
    <x v="331"/>
    <x v="1"/>
    <s v="Medium"/>
  </r>
  <r>
    <n v="2012"/>
    <x v="12"/>
    <x v="45"/>
    <x v="178"/>
    <x v="8"/>
    <s v="automatic"/>
    <s v="jn1dv6ap7cm810825"/>
    <s v="ca"/>
    <n v="45"/>
    <x v="1193"/>
    <s v="gray"/>
    <s v="black"/>
    <s v="nissan infiniti lt"/>
    <n v="18300"/>
    <x v="62"/>
    <s v="Thu Dec 18 2014 12:30:00 GMT-0800 (PST)"/>
    <n v="2014"/>
    <x v="331"/>
    <x v="1"/>
    <s v="Medium"/>
  </r>
  <r>
    <n v="2012"/>
    <x v="31"/>
    <x v="191"/>
    <x v="0"/>
    <x v="1"/>
    <s v="automatic"/>
    <s v="1hgcp2f37ca141511"/>
    <s v="ca"/>
    <n v="39"/>
    <x v="1194"/>
    <s v="gray"/>
    <s v="black"/>
    <s v="ahfc/honda lease trust/hvt  inc. eot"/>
    <n v="12250"/>
    <x v="186"/>
    <s v="Thu Dec 18 2014 12:00:00 GMT-0800 (PST)"/>
    <n v="2014"/>
    <x v="330"/>
    <x v="2"/>
    <s v="Low"/>
  </r>
  <r>
    <n v="2012"/>
    <x v="31"/>
    <x v="194"/>
    <x v="0"/>
    <x v="1"/>
    <s v="automatic"/>
    <s v="19xfb2f51ce310351"/>
    <s v="ca"/>
    <n v="36"/>
    <x v="1195"/>
    <s v="silver"/>
    <s v="gray"/>
    <s v="ahfc/honda lease trust/hvt  inc."/>
    <n v="10550"/>
    <x v="99"/>
    <s v="Thu Dec 18 2014 12:00:00 GMT-0800 (PST)"/>
    <n v="2014"/>
    <x v="334"/>
    <x v="2"/>
    <s v="Low"/>
  </r>
  <r>
    <n v="2012"/>
    <x v="7"/>
    <x v="32"/>
    <x v="41"/>
    <x v="1"/>
    <s v="automatic"/>
    <s v="kmhdh4aexcu364575"/>
    <s v="ca"/>
    <n v="36"/>
    <x v="1196"/>
    <s v="black"/>
    <s v="beige"/>
    <s v="hyundai motor finance"/>
    <n v="10100"/>
    <x v="253"/>
    <s v="Tue Dec 16 2014 12:00:00 GMT-0800 (PST)"/>
    <n v="2014"/>
    <x v="55"/>
    <x v="2"/>
    <s v="Low"/>
  </r>
  <r>
    <n v="2012"/>
    <x v="31"/>
    <x v="191"/>
    <x v="10"/>
    <x v="1"/>
    <s v="automatic"/>
    <s v="1hgcp2f62ca033324"/>
    <s v="ca"/>
    <n v="4"/>
    <x v="1197"/>
    <s v="silver"/>
    <s v="black"/>
    <s v="ahfc/honda lease trust/hvt  inc. eot"/>
    <n v="13300"/>
    <x v="58"/>
    <s v="Thu Dec 18 2014 12:00:00 GMT-0800 (PST)"/>
    <n v="2014"/>
    <x v="328"/>
    <x v="0"/>
    <s v="Low"/>
  </r>
  <r>
    <n v="2012"/>
    <x v="7"/>
    <x v="12"/>
    <x v="38"/>
    <x v="1"/>
    <s v="automatic"/>
    <s v="5npec4ab3ch424574"/>
    <s v="ca"/>
    <n v="25"/>
    <x v="1198"/>
    <s v="black"/>
    <s v="black"/>
    <s v="hyundai motor finance"/>
    <n v="15250"/>
    <x v="241"/>
    <s v="Tue Jan 13 2015 12:30:00 GMT-0800 (PST)"/>
    <n v="2015"/>
    <x v="59"/>
    <x v="2"/>
    <s v="Low"/>
  </r>
  <r>
    <n v="2012"/>
    <x v="31"/>
    <x v="198"/>
    <x v="183"/>
    <x v="5"/>
    <s v="automatic"/>
    <s v="5j6tf1h57cl001628"/>
    <s v="ca"/>
    <n v="43"/>
    <x v="1199"/>
    <s v="white"/>
    <s v="beige"/>
    <s v="ahfc/honda lease trust/hvt  inc. eot"/>
    <n v="19050"/>
    <x v="269"/>
    <s v="Thu Dec 18 2014 12:00:00 GMT-0800 (PST)"/>
    <n v="2014"/>
    <x v="350"/>
    <x v="1"/>
    <s v="Medium"/>
  </r>
  <r>
    <n v="2012"/>
    <x v="7"/>
    <x v="48"/>
    <x v="47"/>
    <x v="1"/>
    <s v="automatic"/>
    <s v="kmhgc4dd8cu158072"/>
    <s v="ca"/>
    <n v="42"/>
    <x v="1200"/>
    <s v="gold"/>
    <s v="beige"/>
    <s v="hyundai motor finance"/>
    <n v="16750"/>
    <x v="159"/>
    <s v="Tue Dec 16 2014 12:00:00 GMT-0800 (PST)"/>
    <n v="2014"/>
    <x v="71"/>
    <x v="1"/>
    <s v="Medium"/>
  </r>
  <r>
    <n v="2012"/>
    <x v="6"/>
    <x v="11"/>
    <x v="10"/>
    <x v="1"/>
    <s v="automatic"/>
    <s v="3fahp0ha8cr262452"/>
    <s v="ca"/>
    <n v="32"/>
    <x v="1201"/>
    <s v="blue"/>
    <s v="black"/>
    <s v="ge fleet services for itself/servicer"/>
    <n v="6500"/>
    <x v="84"/>
    <s v="Wed Dec 17 2014 12:30:00 GMT-0800 (PST)"/>
    <n v="2014"/>
    <x v="11"/>
    <x v="2"/>
    <s v="Low"/>
  </r>
  <r>
    <n v="2012"/>
    <x v="31"/>
    <x v="191"/>
    <x v="179"/>
    <x v="1"/>
    <s v="automatic"/>
    <s v="1hgcp2f45ca052366"/>
    <s v="ca"/>
    <n v="42"/>
    <x v="1202"/>
    <s v="silver"/>
    <s v="black"/>
    <s v="ahfc/honda lease trust/hvt  inc. eot"/>
    <n v="11850"/>
    <x v="69"/>
    <s v="Thu Dec 18 2014 12:00:00 GMT-0800 (PST)"/>
    <n v="2014"/>
    <x v="333"/>
    <x v="1"/>
    <s v="Low"/>
  </r>
  <r>
    <n v="2012"/>
    <x v="31"/>
    <x v="194"/>
    <x v="0"/>
    <x v="1"/>
    <s v="automatic"/>
    <s v="19xfb2f57ce303128"/>
    <s v="ca"/>
    <n v="39"/>
    <x v="1203"/>
    <s v="blue"/>
    <s v="beige"/>
    <s v="ahfc/honda lease trust/hvt  inc."/>
    <n v="10900"/>
    <x v="110"/>
    <s v="Thu Dec 18 2014 12:00:00 GMT-0800 (PST)"/>
    <n v="2014"/>
    <x v="334"/>
    <x v="2"/>
    <s v="Low"/>
  </r>
  <r>
    <n v="2012"/>
    <x v="7"/>
    <x v="48"/>
    <x v="47"/>
    <x v="1"/>
    <s v="automatic"/>
    <s v="kmhgc4ddxcu163239"/>
    <s v="ca"/>
    <n v="43"/>
    <x v="1204"/>
    <s v="silver"/>
    <s v="black"/>
    <s v="hyundai motor finance"/>
    <n v="12700"/>
    <x v="191"/>
    <s v="Tue Dec 16 2014 12:00:00 GMT-0800 (PST)"/>
    <n v="2014"/>
    <x v="71"/>
    <x v="1"/>
    <s v="Low"/>
  </r>
  <r>
    <n v="2012"/>
    <x v="6"/>
    <x v="199"/>
    <x v="186"/>
    <x v="11"/>
    <s v="automatic"/>
    <s v="nm0ls7bn9ct088250"/>
    <s v="ca"/>
    <n v="3"/>
    <x v="1205"/>
    <s v="â€”"/>
    <s v="gray"/>
    <s v="lease plan usa"/>
    <n v="13550"/>
    <x v="11"/>
    <s v="Wed Dec 17 2014 15:00:00 GMT-0800 (PST)"/>
    <n v="2014"/>
    <x v="351"/>
    <x v="0"/>
    <s v="Low"/>
  </r>
  <r>
    <n v="2012"/>
    <x v="12"/>
    <x v="45"/>
    <x v="178"/>
    <x v="8"/>
    <s v="automatic"/>
    <s v="jn1dv6ap9cm810079"/>
    <s v="ca"/>
    <n v="35"/>
    <x v="1206"/>
    <s v="gray"/>
    <s v="black"/>
    <s v="nissan infiniti lt"/>
    <n v="18300"/>
    <x v="8"/>
    <s v="Thu Dec 18 2014 12:30:00 GMT-0800 (PST)"/>
    <n v="2014"/>
    <x v="331"/>
    <x v="2"/>
    <s v="Low"/>
  </r>
  <r>
    <n v="2012"/>
    <x v="7"/>
    <x v="48"/>
    <x v="47"/>
    <x v="1"/>
    <s v="automatic"/>
    <s v="kmhgc4dd7cu153669"/>
    <s v="ca"/>
    <n v="45"/>
    <x v="1207"/>
    <s v="black"/>
    <s v="black"/>
    <s v="hyundai motor finance"/>
    <n v="15400"/>
    <x v="101"/>
    <s v="Tue Dec 16 2014 12:00:00 GMT-0800 (PST)"/>
    <n v="2014"/>
    <x v="71"/>
    <x v="1"/>
    <s v="Low"/>
  </r>
  <r>
    <n v="2012"/>
    <x v="32"/>
    <x v="200"/>
    <x v="187"/>
    <x v="0"/>
    <s v="automatic"/>
    <s v="2gkalsekxc6314076"/>
    <s v="ca"/>
    <n v="3"/>
    <x v="1208"/>
    <s v="silver"/>
    <s v="black"/>
    <s v="tradewinds remarketing"/>
    <n v="17350"/>
    <x v="345"/>
    <s v="Wed Dec 17 2014 12:30:00 GMT-0800 (PST)"/>
    <n v="2014"/>
    <x v="352"/>
    <x v="0"/>
    <s v="Low"/>
  </r>
  <r>
    <n v="2012"/>
    <x v="6"/>
    <x v="11"/>
    <x v="146"/>
    <x v="1"/>
    <s v="automatic"/>
    <s v="3fahp0jg7cr212205"/>
    <s v="ca"/>
    <n v="43"/>
    <x v="1209"/>
    <s v="silver"/>
    <s v="black"/>
    <s v="ford motor credit company llc pd"/>
    <n v="15400"/>
    <x v="239"/>
    <s v="Thu Dec 18 2014 12:00:00 GMT-0800 (PST)"/>
    <n v="2014"/>
    <x v="309"/>
    <x v="1"/>
    <s v="Low"/>
  </r>
  <r>
    <n v="2012"/>
    <x v="7"/>
    <x v="47"/>
    <x v="10"/>
    <x v="0"/>
    <s v="automatic"/>
    <s v="5xyzh4ag9cg121238"/>
    <s v="ca"/>
    <n v="41"/>
    <x v="1210"/>
    <s v="â€”"/>
    <s v="gray"/>
    <s v="hyundai buybacks"/>
    <n v="14000"/>
    <x v="161"/>
    <s v="Tue Dec 16 2014 12:00:00 GMT-0800 (PST)"/>
    <n v="2014"/>
    <x v="353"/>
    <x v="1"/>
    <s v="Low"/>
  </r>
  <r>
    <n v="2012"/>
    <x v="31"/>
    <x v="192"/>
    <x v="183"/>
    <x v="0"/>
    <s v="automatic"/>
    <s v="jhlrm3h74cc010308"/>
    <s v="ca"/>
    <n v="33"/>
    <x v="1211"/>
    <s v="blue"/>
    <s v="black"/>
    <s v="ahfc/honda lease trust/hvt  inc."/>
    <n v="19200"/>
    <x v="134"/>
    <s v="Thu Dec 18 2014 12:00:00 GMT-0800 (PST)"/>
    <n v="2014"/>
    <x v="348"/>
    <x v="2"/>
    <s v="Medium"/>
  </r>
  <r>
    <n v="2012"/>
    <x v="31"/>
    <x v="194"/>
    <x v="0"/>
    <x v="1"/>
    <s v="automatic"/>
    <s v="19xfb2f5xce366482"/>
    <s v="ca"/>
    <n v="37"/>
    <x v="1212"/>
    <s v="black"/>
    <s v="gray"/>
    <s v="ahfc/honda lease trust/hvt  inc."/>
    <n v="10750"/>
    <x v="11"/>
    <s v="Thu Dec 18 2014 12:00:00 GMT-0800 (PST)"/>
    <n v="2014"/>
    <x v="334"/>
    <x v="2"/>
    <s v="Low"/>
  </r>
  <r>
    <n v="2012"/>
    <x v="31"/>
    <x v="194"/>
    <x v="69"/>
    <x v="1"/>
    <s v="automatic"/>
    <s v="2hgfb2f83ch522507"/>
    <s v="ca"/>
    <n v="28"/>
    <x v="1213"/>
    <s v="black"/>
    <s v="beige"/>
    <s v="repo remarketing/central state credit union"/>
    <n v="10500"/>
    <x v="253"/>
    <s v="Wed Dec 17 2014 12:30:00 GMT-0800 (PST)"/>
    <n v="2014"/>
    <x v="338"/>
    <x v="2"/>
    <s v="Low"/>
  </r>
  <r>
    <n v="2012"/>
    <x v="7"/>
    <x v="51"/>
    <x v="45"/>
    <x v="5"/>
    <s v="automatic"/>
    <s v="kmhct5ae5cu018014"/>
    <s v="ca"/>
    <n v="38"/>
    <x v="1214"/>
    <s v="black"/>
    <s v="gray"/>
    <s v="hyundai motor finance"/>
    <n v="8650"/>
    <x v="189"/>
    <s v="Tue Dec 16 2014 12:00:00 GMT-0800 (PST)"/>
    <n v="2014"/>
    <x v="65"/>
    <x v="2"/>
    <s v="Low"/>
  </r>
  <r>
    <n v="2012"/>
    <x v="12"/>
    <x v="45"/>
    <x v="178"/>
    <x v="8"/>
    <s v="automatic"/>
    <s v="jn1dv6ap4cm813052"/>
    <s v="ca"/>
    <n v="43"/>
    <x v="1215"/>
    <s v="gray"/>
    <s v="black"/>
    <s v="nissan infiniti lt"/>
    <n v="20400"/>
    <x v="185"/>
    <s v="Thu Dec 18 2014 12:30:00 GMT-0800 (PST)"/>
    <n v="2014"/>
    <x v="331"/>
    <x v="1"/>
    <s v="Medium"/>
  </r>
  <r>
    <n v="2012"/>
    <x v="31"/>
    <x v="191"/>
    <x v="10"/>
    <x v="1"/>
    <s v="automatic"/>
    <s v="1hgcp2f66ca047467"/>
    <s v="ca"/>
    <n v="31"/>
    <x v="1216"/>
    <s v="silver"/>
    <s v="black"/>
    <s v="ahfc/honda lease trust/hvt  inc. eot"/>
    <n v="12650"/>
    <x v="58"/>
    <s v="Thu Dec 18 2014 12:00:00 GMT-0800 (PST)"/>
    <n v="2014"/>
    <x v="328"/>
    <x v="2"/>
    <s v="Low"/>
  </r>
  <r>
    <n v="2012"/>
    <x v="6"/>
    <x v="11"/>
    <x v="89"/>
    <x v="1"/>
    <s v="automatic"/>
    <s v="3fahp0ga6cr345587"/>
    <s v="ca"/>
    <n v="32"/>
    <x v="1217"/>
    <s v="black"/>
    <s v="gray"/>
    <s v="wholesale motor sales inc"/>
    <n v="6425"/>
    <x v="84"/>
    <s v="Thu Dec 18 2014 12:00:00 GMT-0800 (PST)"/>
    <n v="2014"/>
    <x v="354"/>
    <x v="2"/>
    <s v="Low"/>
  </r>
  <r>
    <n v="2012"/>
    <x v="6"/>
    <x v="11"/>
    <x v="146"/>
    <x v="1"/>
    <s v="automatic"/>
    <s v="3fahp0ja3cr365434"/>
    <s v="ca"/>
    <n v="29"/>
    <x v="1218"/>
    <s v="silver"/>
    <s v="black"/>
    <s v="ford motor credit company llc"/>
    <n v="11750"/>
    <x v="41"/>
    <s v="Thu Dec 18 2014 12:00:00 GMT-0800 (PST)"/>
    <n v="2014"/>
    <x v="309"/>
    <x v="2"/>
    <s v="Low"/>
  </r>
  <r>
    <n v="2012"/>
    <x v="31"/>
    <x v="191"/>
    <x v="183"/>
    <x v="1"/>
    <s v="automatic"/>
    <s v="1hgcp2f82ca110484"/>
    <s v="ca"/>
    <n v="31"/>
    <x v="1219"/>
    <s v="gray"/>
    <s v="gray"/>
    <s v="ahfc/honda lease trust/hvt  inc."/>
    <n v="14400"/>
    <x v="152"/>
    <s v="Thu Dec 18 2014 12:00:00 GMT-0800 (PST)"/>
    <n v="2014"/>
    <x v="355"/>
    <x v="2"/>
    <s v="Low"/>
  </r>
  <r>
    <n v="2012"/>
    <x v="31"/>
    <x v="197"/>
    <x v="183"/>
    <x v="11"/>
    <s v="automatic"/>
    <s v="5fnrl5h60cb003457"/>
    <s v="ca"/>
    <n v="36"/>
    <x v="1220"/>
    <s v="silver"/>
    <s v="brown"/>
    <s v="ahfc/honda lease trust/hvt  inc. eot"/>
    <n v="22300"/>
    <x v="62"/>
    <s v="Thu Dec 18 2014 12:00:00 GMT-0800 (PST)"/>
    <n v="2014"/>
    <x v="356"/>
    <x v="2"/>
    <s v="Medium"/>
  </r>
  <r>
    <n v="2012"/>
    <x v="7"/>
    <x v="32"/>
    <x v="38"/>
    <x v="1"/>
    <s v="automatic"/>
    <s v="kmhdh4ae4cu263001"/>
    <s v="ca"/>
    <n v="26"/>
    <x v="1221"/>
    <s v="black"/>
    <s v="black"/>
    <s v="hyundai motor finance"/>
    <n v="10850"/>
    <x v="49"/>
    <s v="Tue Dec 16 2014 12:00:00 GMT-0800 (PST)"/>
    <n v="2014"/>
    <x v="60"/>
    <x v="2"/>
    <s v="Low"/>
  </r>
  <r>
    <n v="2012"/>
    <x v="6"/>
    <x v="193"/>
    <x v="117"/>
    <x v="2"/>
    <s v="automatic"/>
    <s v="1zvbp8em9c5273358"/>
    <s v="ca"/>
    <n v="37"/>
    <x v="1222"/>
    <s v="red"/>
    <s v="black"/>
    <s v="dtg operations inc"/>
    <n v="11500"/>
    <x v="276"/>
    <s v="Thu Dec 18 2014 11:30:00 GMT-0800 (PST)"/>
    <n v="2014"/>
    <x v="332"/>
    <x v="2"/>
    <s v="Low"/>
  </r>
  <r>
    <n v="2012"/>
    <x v="7"/>
    <x v="54"/>
    <x v="5"/>
    <x v="1"/>
    <s v="automatic"/>
    <s v="kmhfh4jgxca123689"/>
    <s v="ca"/>
    <n v="37"/>
    <x v="1223"/>
    <s v="brown"/>
    <s v="beige"/>
    <s v="north county hyundai"/>
    <n v="17400"/>
    <x v="10"/>
    <s v="Wed Dec 17 2014 12:30:00 GMT-0800 (PST)"/>
    <n v="2014"/>
    <x v="66"/>
    <x v="2"/>
    <s v="Low"/>
  </r>
  <r>
    <n v="2012"/>
    <x v="6"/>
    <x v="11"/>
    <x v="10"/>
    <x v="1"/>
    <s v="automatic"/>
    <s v="3fahp0ha3cr291860"/>
    <s v="ca"/>
    <n v="28"/>
    <x v="1224"/>
    <s v="white"/>
    <s v="gray"/>
    <s v="dtg operations inc"/>
    <n v="9525"/>
    <x v="6"/>
    <s v="Thu Jan 15 2015 03:30:00 GMT-0800 (PST)"/>
    <n v="2015"/>
    <x v="11"/>
    <x v="2"/>
    <s v="Low"/>
  </r>
  <r>
    <n v="2012"/>
    <x v="7"/>
    <x v="32"/>
    <x v="41"/>
    <x v="1"/>
    <s v="automatic"/>
    <s v="kmhdh4ae0cu324537"/>
    <s v="ca"/>
    <n v="41"/>
    <x v="1225"/>
    <s v="black"/>
    <s v="gray"/>
    <s v="hyundai motor finance"/>
    <n v="9950"/>
    <x v="49"/>
    <s v="Tue Jan 13 2015 12:30:00 GMT-0800 (PST)"/>
    <n v="2015"/>
    <x v="55"/>
    <x v="1"/>
    <s v="Low"/>
  </r>
  <r>
    <n v="2012"/>
    <x v="6"/>
    <x v="11"/>
    <x v="10"/>
    <x v="1"/>
    <s v="automatic"/>
    <s v="3fahp0ha7cr401258"/>
    <s v="ca"/>
    <n v="34"/>
    <x v="1226"/>
    <s v="red"/>
    <s v="black"/>
    <s v="enterprise veh exchange/rental"/>
    <n v="10900"/>
    <x v="4"/>
    <s v="Wed Dec 17 2014 12:30:00 GMT-0800 (PST)"/>
    <n v="2014"/>
    <x v="11"/>
    <x v="2"/>
    <s v="Low"/>
  </r>
  <r>
    <n v="2012"/>
    <x v="31"/>
    <x v="191"/>
    <x v="180"/>
    <x v="3"/>
    <s v="automatic"/>
    <s v="1hgcs1b33ca001860"/>
    <s v="ca"/>
    <n v="19"/>
    <x v="542"/>
    <s v="black"/>
    <s v="black"/>
    <s v="ahfc/honda lease trust/hvt  inc. eot"/>
    <n v="12700"/>
    <x v="148"/>
    <s v="Thu Dec 18 2014 12:00:00 GMT-0800 (PST)"/>
    <n v="2014"/>
    <x v="339"/>
    <x v="0"/>
    <s v="Low"/>
  </r>
  <r>
    <n v="2012"/>
    <x v="6"/>
    <x v="11"/>
    <x v="10"/>
    <x v="1"/>
    <s v="automatic"/>
    <s v="3fahp0haxcr381264"/>
    <s v="ca"/>
    <n v="39"/>
    <x v="1227"/>
    <s v="white"/>
    <s v="gray"/>
    <s v="dtg operations inc"/>
    <n v="9325"/>
    <x v="175"/>
    <s v="Tue Dec 16 2014 12:30:00 GMT-0800 (PST)"/>
    <n v="2014"/>
    <x v="11"/>
    <x v="2"/>
    <s v="Low"/>
  </r>
  <r>
    <n v="2012"/>
    <x v="31"/>
    <x v="191"/>
    <x v="0"/>
    <x v="1"/>
    <s v="automatic"/>
    <s v="1hgcp2f39ca103262"/>
    <s v="ca"/>
    <n v="38"/>
    <x v="1228"/>
    <s v="silver"/>
    <s v="gray"/>
    <s v="ahfc/honda lease trust/hvt  inc. eot"/>
    <n v="12250"/>
    <x v="13"/>
    <s v="Thu Dec 18 2014 12:00:00 GMT-0800 (PST)"/>
    <n v="2014"/>
    <x v="330"/>
    <x v="2"/>
    <s v="Low"/>
  </r>
  <r>
    <n v="2012"/>
    <x v="12"/>
    <x v="45"/>
    <x v="178"/>
    <x v="8"/>
    <s v="automatic"/>
    <s v="jn1dv6ap2cm813101"/>
    <s v="ca"/>
    <n v="41"/>
    <x v="1229"/>
    <s v="white"/>
    <s v="beige"/>
    <s v="nissan infiniti lt"/>
    <n v="20600"/>
    <x v="43"/>
    <s v="Thu Dec 18 2014 12:30:00 GMT-0800 (PST)"/>
    <n v="2014"/>
    <x v="331"/>
    <x v="1"/>
    <s v="Medium"/>
  </r>
  <r>
    <n v="2012"/>
    <x v="6"/>
    <x v="201"/>
    <x v="146"/>
    <x v="1"/>
    <s v="automatic"/>
    <s v="1fahp2ew4cg120134"/>
    <s v="ca"/>
    <n v="36"/>
    <x v="1230"/>
    <s v="black"/>
    <s v="black"/>
    <s v="enterprise fleet management exchange  inc."/>
    <n v="12800"/>
    <x v="25"/>
    <s v="Thu Dec 18 2014 11:30:00 GMT-0800 (PST)"/>
    <n v="2014"/>
    <x v="357"/>
    <x v="2"/>
    <s v="Low"/>
  </r>
  <r>
    <n v="2012"/>
    <x v="12"/>
    <x v="45"/>
    <x v="178"/>
    <x v="8"/>
    <s v="automatic"/>
    <s v="jn1dv6ap9cm811555"/>
    <s v="ca"/>
    <n v="33"/>
    <x v="1231"/>
    <s v="black"/>
    <s v="black"/>
    <s v="nissan infiniti lt"/>
    <n v="16900"/>
    <x v="16"/>
    <s v="Thu Dec 18 2014 12:30:00 GMT-0800 (PST)"/>
    <n v="2014"/>
    <x v="331"/>
    <x v="2"/>
    <s v="Low"/>
  </r>
  <r>
    <n v="2012"/>
    <x v="31"/>
    <x v="196"/>
    <x v="0"/>
    <x v="0"/>
    <s v="automatic"/>
    <s v="5fnyf3h25cb039536"/>
    <s v="ca"/>
    <n v="39"/>
    <x v="1232"/>
    <s v="silver"/>
    <s v="gray"/>
    <s v="barber honda"/>
    <n v="17400"/>
    <x v="147"/>
    <s v="Tue Dec 16 2014 12:30:00 GMT-0800 (PST)"/>
    <n v="2014"/>
    <x v="336"/>
    <x v="2"/>
    <s v="Low"/>
  </r>
  <r>
    <n v="2012"/>
    <x v="31"/>
    <x v="196"/>
    <x v="57"/>
    <x v="0"/>
    <s v="automatic"/>
    <s v="5fnyf4h91cb041576"/>
    <s v="ca"/>
    <n v="39"/>
    <x v="1233"/>
    <s v="white"/>
    <s v="gray"/>
    <s v="barber honda"/>
    <n v="21900"/>
    <x v="106"/>
    <s v="Tue Dec 16 2014 12:30:00 GMT-0800 (PST)"/>
    <n v="2014"/>
    <x v="346"/>
    <x v="2"/>
    <s v="Medium"/>
  </r>
  <r>
    <n v="2012"/>
    <x v="31"/>
    <x v="191"/>
    <x v="0"/>
    <x v="1"/>
    <s v="automatic"/>
    <s v="1hgcp2f36ca040749"/>
    <s v="ca"/>
    <n v="23"/>
    <x v="1234"/>
    <s v="black"/>
    <s v="tan"/>
    <s v="ahfc/honda lease trust/hvt  inc. eot"/>
    <n v="12750"/>
    <x v="132"/>
    <s v="Tue Dec 30 2014 15:00:00 GMT-0800 (PST)"/>
    <n v="2014"/>
    <x v="330"/>
    <x v="2"/>
    <s v="Low"/>
  </r>
  <r>
    <n v="2012"/>
    <x v="31"/>
    <x v="196"/>
    <x v="183"/>
    <x v="0"/>
    <s v="automatic"/>
    <s v="5fnyf3h56cb028393"/>
    <s v="ca"/>
    <n v="32"/>
    <x v="1235"/>
    <s v="white"/>
    <s v="gray"/>
    <s v="ahfc/honda lease trust/hvt  inc."/>
    <n v="24600"/>
    <x v="146"/>
    <s v="Thu Dec 18 2014 12:00:00 GMT-0800 (PST)"/>
    <n v="2014"/>
    <x v="342"/>
    <x v="2"/>
    <s v="Medium"/>
  </r>
  <r>
    <n v="2012"/>
    <x v="6"/>
    <x v="201"/>
    <x v="10"/>
    <x v="1"/>
    <s v="automatic"/>
    <s v="1fahp2dwxcg136193"/>
    <s v="ca"/>
    <n v="42"/>
    <x v="1236"/>
    <s v="black"/>
    <s v="gray"/>
    <s v="ge fleet services for itself/servicer"/>
    <n v="10450"/>
    <x v="49"/>
    <s v="Tue Dec 16 2014 12:00:00 GMT-0800 (PST)"/>
    <n v="2014"/>
    <x v="358"/>
    <x v="1"/>
    <s v="Low"/>
  </r>
  <r>
    <n v="2012"/>
    <x v="7"/>
    <x v="12"/>
    <x v="41"/>
    <x v="1"/>
    <s v="automatic"/>
    <s v="5npeb4ac2ch392101"/>
    <s v="ca"/>
    <n v="41"/>
    <x v="1237"/>
    <s v="white"/>
    <s v="beige"/>
    <s v="hyundai motor finance"/>
    <n v="11100"/>
    <x v="132"/>
    <s v="Tue Dec 16 2014 12:00:00 GMT-0800 (PST)"/>
    <n v="2014"/>
    <x v="56"/>
    <x v="1"/>
    <s v="Low"/>
  </r>
  <r>
    <n v="2012"/>
    <x v="6"/>
    <x v="11"/>
    <x v="146"/>
    <x v="1"/>
    <s v="automatic"/>
    <s v="3fahp0ja4cr334676"/>
    <s v="ca"/>
    <n v="34"/>
    <x v="1238"/>
    <s v="silver"/>
    <s v="black"/>
    <s v="wheels exchange llc"/>
    <n v="11700"/>
    <x v="148"/>
    <s v="Wed Dec 17 2014 12:30:00 GMT-0800 (PST)"/>
    <n v="2014"/>
    <x v="309"/>
    <x v="2"/>
    <s v="Low"/>
  </r>
  <r>
    <n v="2012"/>
    <x v="31"/>
    <x v="194"/>
    <x v="0"/>
    <x v="1"/>
    <s v="automatic"/>
    <s v="19xfb2f56ce335830"/>
    <s v="ca"/>
    <n v="41"/>
    <x v="1239"/>
    <s v="white"/>
    <s v="gray"/>
    <s v="ahfc/honda lease trust/hvt  inc."/>
    <n v="9225"/>
    <x v="96"/>
    <s v="Thu Dec 18 2014 12:00:00 GMT-0800 (PST)"/>
    <n v="2014"/>
    <x v="334"/>
    <x v="1"/>
    <s v="Low"/>
  </r>
  <r>
    <n v="2012"/>
    <x v="31"/>
    <x v="196"/>
    <x v="183"/>
    <x v="0"/>
    <s v="automatic"/>
    <s v="5fnyf3h52cb009680"/>
    <s v="ca"/>
    <n v="35"/>
    <x v="1240"/>
    <s v="black"/>
    <s v="gray"/>
    <s v="ahfc/honda lease trust/hvt  inc."/>
    <n v="24600"/>
    <x v="106"/>
    <s v="Thu Dec 18 2014 12:00:00 GMT-0800 (PST)"/>
    <n v="2014"/>
    <x v="342"/>
    <x v="2"/>
    <s v="Medium"/>
  </r>
  <r>
    <n v="2012"/>
    <x v="12"/>
    <x v="44"/>
    <x v="188"/>
    <x v="7"/>
    <s v="automatic"/>
    <s v="jn1cv6ek8cm423176"/>
    <s v="ca"/>
    <n v="47"/>
    <x v="1241"/>
    <s v="black"/>
    <s v="â€”"/>
    <s v="nissan infiniti lt"/>
    <n v="23600"/>
    <x v="106"/>
    <s v="Thu Dec 18 2014 12:30:00 GMT-0800 (PST)"/>
    <n v="2014"/>
    <x v="359"/>
    <x v="1"/>
    <s v="Medium"/>
  </r>
  <r>
    <n v="2012"/>
    <x v="6"/>
    <x v="11"/>
    <x v="146"/>
    <x v="1"/>
    <m/>
    <s v="3fahp0ja2cr199410"/>
    <s v="ca"/>
    <m/>
    <x v="1242"/>
    <s v="white"/>
    <s v="â€”"/>
    <s v="onemain rem/manheim southern california"/>
    <n v="11100"/>
    <x v="21"/>
    <s v="Thu Dec 18 2014 12:00:00 GMT-0800 (PST)"/>
    <n v="2014"/>
    <x v="309"/>
    <x v="0"/>
    <s v="Low"/>
  </r>
  <r>
    <n v="2012"/>
    <x v="31"/>
    <x v="194"/>
    <x v="0"/>
    <x v="1"/>
    <s v="automatic"/>
    <s v="19xfb2f55ce326262"/>
    <s v="ca"/>
    <n v="24"/>
    <x v="1243"/>
    <s v="black"/>
    <s v="gray"/>
    <s v="ahfc/honda lease trust/hvt  inc. eot"/>
    <n v="10950"/>
    <x v="12"/>
    <s v="Thu Jan 15 2015 04:00:00 GMT-0800 (PST)"/>
    <n v="2015"/>
    <x v="334"/>
    <x v="2"/>
    <s v="Low"/>
  </r>
  <r>
    <n v="2012"/>
    <x v="7"/>
    <x v="50"/>
    <x v="5"/>
    <x v="1"/>
    <s v="automatic"/>
    <s v="kmhec4a40ca060750"/>
    <s v="ca"/>
    <n v="5"/>
    <x v="1244"/>
    <s v="black"/>
    <s v="gray"/>
    <s v="hyundai motor america/co car"/>
    <n v="14650"/>
    <x v="156"/>
    <s v="Tue Dec 16 2014 12:00:00 GMT-0800 (PST)"/>
    <n v="2014"/>
    <x v="67"/>
    <x v="0"/>
    <s v="Low"/>
  </r>
  <r>
    <n v="2012"/>
    <x v="7"/>
    <x v="48"/>
    <x v="47"/>
    <x v="1"/>
    <s v="automatic"/>
    <s v="kmhgc4dd6cu201906"/>
    <s v="ca"/>
    <n v="4"/>
    <x v="1245"/>
    <s v="black"/>
    <s v="black"/>
    <s v="high bid trading co inc"/>
    <n v="17650"/>
    <x v="303"/>
    <s v="Wed Dec 17 2014 12:15:00 GMT-0800 (PST)"/>
    <n v="2014"/>
    <x v="71"/>
    <x v="0"/>
    <s v="Medium"/>
  </r>
  <r>
    <n v="2012"/>
    <x v="7"/>
    <x v="55"/>
    <x v="38"/>
    <x v="0"/>
    <s v="automatic"/>
    <s v="km8ju3ac7cu342721"/>
    <s v="ca"/>
    <n v="2"/>
    <x v="1246"/>
    <s v="black"/>
    <s v="gray"/>
    <s v="hyundai motor finance"/>
    <n v="14450"/>
    <x v="11"/>
    <s v="Tue Dec 16 2014 12:00:00 GMT-0800 (PST)"/>
    <n v="2014"/>
    <x v="75"/>
    <x v="0"/>
    <s v="Low"/>
  </r>
  <r>
    <n v="2012"/>
    <x v="12"/>
    <x v="202"/>
    <x v="188"/>
    <x v="24"/>
    <s v="automatic"/>
    <s v="jn1cv6fe3cm200777"/>
    <s v="ca"/>
    <n v="24"/>
    <x v="1247"/>
    <s v="black"/>
    <s v="black"/>
    <s v="nissan infiniti lt"/>
    <n v="28100"/>
    <x v="95"/>
    <s v="Tue Dec 16 2014 12:30:00 GMT-0800 (PST)"/>
    <n v="2014"/>
    <x v="360"/>
    <x v="2"/>
    <s v="Medium"/>
  </r>
  <r>
    <n v="2012"/>
    <x v="6"/>
    <x v="193"/>
    <x v="117"/>
    <x v="3"/>
    <s v="automatic"/>
    <s v="1zvbp8am1c5278897"/>
    <s v="ca"/>
    <n v="36"/>
    <x v="1248"/>
    <s v="red"/>
    <s v="black"/>
    <s v="ford motor credit company llc pd"/>
    <n v="13300"/>
    <x v="148"/>
    <s v="Thu Dec 18 2014 12:00:00 GMT-0800 (PST)"/>
    <n v="2014"/>
    <x v="332"/>
    <x v="2"/>
    <s v="Low"/>
  </r>
  <r>
    <n v="2012"/>
    <x v="6"/>
    <x v="11"/>
    <x v="146"/>
    <x v="1"/>
    <s v="automatic"/>
    <s v="3fahp0ja0cr238558"/>
    <s v="ca"/>
    <n v="38"/>
    <x v="1249"/>
    <s v="white"/>
    <s v="beige"/>
    <s v="galpin ford studio rentals"/>
    <n v="11200"/>
    <x v="250"/>
    <s v="Tue Dec 16 2014 12:30:00 GMT-0800 (PST)"/>
    <n v="2014"/>
    <x v="309"/>
    <x v="2"/>
    <s v="Low"/>
  </r>
  <r>
    <n v="2012"/>
    <x v="31"/>
    <x v="197"/>
    <x v="183"/>
    <x v="11"/>
    <m/>
    <s v="5fnrl5h6xcb045814"/>
    <s v="ca"/>
    <m/>
    <x v="1250"/>
    <s v="purple"/>
    <s v="â€”"/>
    <s v="barber honda"/>
    <n v="21700"/>
    <x v="29"/>
    <s v="Tue Dec 16 2014 12:30:00 GMT-0800 (PST)"/>
    <n v="2014"/>
    <x v="356"/>
    <x v="0"/>
    <s v="Medium"/>
  </r>
  <r>
    <n v="2012"/>
    <x v="31"/>
    <x v="191"/>
    <x v="0"/>
    <x v="1"/>
    <s v="automatic"/>
    <s v="1hgcp2f38ca215423"/>
    <s v="ca"/>
    <n v="44"/>
    <x v="1251"/>
    <s v="silver"/>
    <s v="gray"/>
    <s v="ahfc/honda lease trust/hvt  inc."/>
    <n v="12000"/>
    <x v="108"/>
    <s v="Thu Dec 18 2014 12:00:00 GMT-0800 (PST)"/>
    <n v="2014"/>
    <x v="330"/>
    <x v="1"/>
    <s v="Low"/>
  </r>
  <r>
    <n v="2012"/>
    <x v="31"/>
    <x v="196"/>
    <x v="69"/>
    <x v="0"/>
    <s v="automatic"/>
    <s v="5fnyf3h43cb016418"/>
    <s v="ca"/>
    <n v="2"/>
    <x v="1252"/>
    <s v="blue"/>
    <s v="gray"/>
    <s v="ahfc/honda lease trust/hvt  inc. eot"/>
    <n v="20200"/>
    <x v="147"/>
    <s v="Thu Dec 18 2014 12:00:00 GMT-0800 (PST)"/>
    <n v="2014"/>
    <x v="349"/>
    <x v="0"/>
    <s v="Low"/>
  </r>
  <r>
    <n v="2012"/>
    <x v="31"/>
    <x v="191"/>
    <x v="10"/>
    <x v="1"/>
    <s v="automatic"/>
    <s v="1hgcp2f66ca042222"/>
    <s v="ca"/>
    <n v="35"/>
    <x v="1253"/>
    <s v="silver"/>
    <s v="black"/>
    <s v="ahfc/honda lease trust/hvt  inc. eot"/>
    <n v="13200"/>
    <x v="187"/>
    <s v="Thu Dec 18 2014 12:00:00 GMT-0800 (PST)"/>
    <n v="2014"/>
    <x v="328"/>
    <x v="2"/>
    <s v="Low"/>
  </r>
  <r>
    <n v="2012"/>
    <x v="31"/>
    <x v="196"/>
    <x v="183"/>
    <x v="0"/>
    <s v="automatic"/>
    <s v="5fnyf3h57cb025342"/>
    <s v="ca"/>
    <n v="38"/>
    <x v="1254"/>
    <s v="black"/>
    <s v="gray"/>
    <s v="onemain rem/m&amp;m auto traders"/>
    <n v="23900"/>
    <x v="102"/>
    <s v="Thu Dec 18 2014 12:00:00 GMT-0800 (PST)"/>
    <n v="2014"/>
    <x v="342"/>
    <x v="2"/>
    <s v="Medium"/>
  </r>
  <r>
    <n v="2012"/>
    <x v="31"/>
    <x v="191"/>
    <x v="10"/>
    <x v="1"/>
    <s v="automatic"/>
    <s v="1hgcp2f65ca220069"/>
    <s v="ca"/>
    <n v="37"/>
    <x v="1255"/>
    <s v="silver"/>
    <s v="black"/>
    <s v="ahfc/honda lease trust/hvt  inc."/>
    <n v="12900"/>
    <x v="180"/>
    <s v="Thu Dec 18 2014 12:00:00 GMT-0800 (PST)"/>
    <n v="2014"/>
    <x v="328"/>
    <x v="2"/>
    <s v="Low"/>
  </r>
  <r>
    <n v="2012"/>
    <x v="7"/>
    <x v="12"/>
    <x v="41"/>
    <x v="1"/>
    <s v="automatic"/>
    <s v="5npeb4ac3ch290449"/>
    <s v="ca"/>
    <n v="4"/>
    <x v="1256"/>
    <s v="blue"/>
    <s v="gray"/>
    <s v="hyundai motor america/co car"/>
    <n v="10800"/>
    <x v="41"/>
    <s v="Tue Dec 16 2014 12:00:00 GMT-0800 (PST)"/>
    <n v="2014"/>
    <x v="56"/>
    <x v="0"/>
    <s v="Low"/>
  </r>
  <r>
    <n v="2012"/>
    <x v="12"/>
    <x v="45"/>
    <x v="178"/>
    <x v="8"/>
    <s v="automatic"/>
    <s v="jn1dv6ap3cm813009"/>
    <s v="ca"/>
    <n v="35"/>
    <x v="1257"/>
    <s v="gray"/>
    <s v="black"/>
    <s v="nissan infiniti lt"/>
    <n v="19800"/>
    <x v="73"/>
    <s v="Thu Dec 18 2014 12:30:00 GMT-0800 (PST)"/>
    <n v="2014"/>
    <x v="331"/>
    <x v="2"/>
    <s v="Medium"/>
  </r>
  <r>
    <n v="2012"/>
    <x v="6"/>
    <x v="11"/>
    <x v="146"/>
    <x v="1"/>
    <s v="automatic"/>
    <s v="3fahp0jaxcr146051"/>
    <s v="ca"/>
    <n v="41"/>
    <x v="1258"/>
    <s v="â€”"/>
    <s v="tan"/>
    <s v="wheels exchange llc"/>
    <n v="12200"/>
    <x v="138"/>
    <s v="Wed Dec 17 2014 12:30:00 GMT-0800 (PST)"/>
    <n v="2014"/>
    <x v="309"/>
    <x v="1"/>
    <s v="Low"/>
  </r>
  <r>
    <n v="2012"/>
    <x v="6"/>
    <x v="11"/>
    <x v="10"/>
    <x v="1"/>
    <s v="automatic"/>
    <s v="3fahp0ha5cr238545"/>
    <s v="ca"/>
    <n v="38"/>
    <x v="1259"/>
    <s v="blue"/>
    <s v="black"/>
    <s v="galpin ford studio rentals"/>
    <n v="10250"/>
    <x v="346"/>
    <s v="Tue Dec 16 2014 12:30:00 GMT-0800 (PST)"/>
    <n v="2014"/>
    <x v="11"/>
    <x v="2"/>
    <s v="Low"/>
  </r>
  <r>
    <n v="2012"/>
    <x v="31"/>
    <x v="191"/>
    <x v="10"/>
    <x v="1"/>
    <s v="automatic"/>
    <s v="1hgcp2f69ca039766"/>
    <s v="ca"/>
    <n v="19"/>
    <x v="1260"/>
    <s v="black"/>
    <s v="gray"/>
    <s v="ahfc/honda lease trust/hvt  inc. eot"/>
    <n v="13950"/>
    <x v="180"/>
    <s v="Thu Dec 18 2014 12:00:00 GMT-0800 (PST)"/>
    <n v="2014"/>
    <x v="328"/>
    <x v="0"/>
    <s v="Low"/>
  </r>
  <r>
    <n v="2012"/>
    <x v="7"/>
    <x v="12"/>
    <x v="41"/>
    <x v="1"/>
    <s v="automatic"/>
    <s v="5npeb4ac8ch376601"/>
    <s v="ca"/>
    <n v="41"/>
    <x v="1261"/>
    <s v="black"/>
    <s v="beige"/>
    <s v="hyundai motor finance"/>
    <n v="11150"/>
    <x v="132"/>
    <s v="Tue Dec 16 2014 12:00:00 GMT-0800 (PST)"/>
    <n v="2014"/>
    <x v="56"/>
    <x v="1"/>
    <s v="Low"/>
  </r>
  <r>
    <n v="2012"/>
    <x v="6"/>
    <x v="11"/>
    <x v="10"/>
    <x v="1"/>
    <s v="automatic"/>
    <s v="3fahp0hg4cr305639"/>
    <s v="ca"/>
    <n v="34"/>
    <x v="1262"/>
    <s v="black"/>
    <s v="black"/>
    <s v="dtg operations inc"/>
    <n v="9075"/>
    <x v="174"/>
    <s v="Thu Dec 18 2014 11:30:00 GMT-0800 (PST)"/>
    <n v="2014"/>
    <x v="11"/>
    <x v="2"/>
    <s v="Low"/>
  </r>
  <r>
    <n v="2012"/>
    <x v="6"/>
    <x v="193"/>
    <x v="117"/>
    <x v="2"/>
    <s v="automatic"/>
    <s v="1zvbp8em3c5273324"/>
    <s v="ca"/>
    <n v="33"/>
    <x v="1263"/>
    <s v="black"/>
    <s v="black"/>
    <s v="dtg operations inc"/>
    <n v="11650"/>
    <x v="99"/>
    <s v="Thu Dec 18 2014 11:30:00 GMT-0800 (PST)"/>
    <n v="2014"/>
    <x v="332"/>
    <x v="2"/>
    <s v="Low"/>
  </r>
  <r>
    <n v="2012"/>
    <x v="7"/>
    <x v="48"/>
    <x v="47"/>
    <x v="1"/>
    <s v="automatic"/>
    <s v="kmhgc4dd2cu159668"/>
    <s v="ca"/>
    <n v="34"/>
    <x v="1264"/>
    <s v="purple"/>
    <s v="beige"/>
    <s v="hyundai motor finance"/>
    <n v="12750"/>
    <x v="154"/>
    <s v="Tue Jan 13 2015 12:30:00 GMT-0800 (PST)"/>
    <n v="2015"/>
    <x v="71"/>
    <x v="2"/>
    <s v="Low"/>
  </r>
  <r>
    <n v="2012"/>
    <x v="12"/>
    <x v="45"/>
    <x v="178"/>
    <x v="8"/>
    <s v="automatic"/>
    <s v="jn1dv6ap4cm812693"/>
    <s v="ca"/>
    <n v="47"/>
    <x v="1265"/>
    <s v="black"/>
    <s v="black"/>
    <s v="nissan infiniti lt"/>
    <n v="20400"/>
    <x v="120"/>
    <s v="Thu Dec 18 2014 12:30:00 GMT-0800 (PST)"/>
    <n v="2014"/>
    <x v="331"/>
    <x v="1"/>
    <s v="Medium"/>
  </r>
  <r>
    <n v="2012"/>
    <x v="31"/>
    <x v="196"/>
    <x v="57"/>
    <x v="0"/>
    <s v="automatic"/>
    <s v="5fnyf3h99cb009193"/>
    <s v="ca"/>
    <n v="37"/>
    <x v="1266"/>
    <s v="black"/>
    <s v="gray"/>
    <s v="high bid trading co inc"/>
    <n v="23900"/>
    <x v="88"/>
    <s v="Wed Dec 17 2014 12:15:00 GMT-0800 (PST)"/>
    <n v="2014"/>
    <x v="346"/>
    <x v="2"/>
    <s v="Medium"/>
  </r>
  <r>
    <n v="2012"/>
    <x v="7"/>
    <x v="12"/>
    <x v="38"/>
    <x v="1"/>
    <s v="automatic"/>
    <s v="5npec4ac5ch396608"/>
    <s v="ca"/>
    <n v="45"/>
    <x v="1267"/>
    <s v="silver"/>
    <s v="gray"/>
    <s v="hyundai motor finance"/>
    <n v="15650"/>
    <x v="140"/>
    <s v="Tue Jan 13 2015 04:30:00 GMT-0800 (PST)"/>
    <n v="2015"/>
    <x v="59"/>
    <x v="1"/>
    <s v="Low"/>
  </r>
  <r>
    <n v="2012"/>
    <x v="6"/>
    <x v="193"/>
    <x v="117"/>
    <x v="3"/>
    <s v="automatic"/>
    <s v="1zvbp8am1c5212091"/>
    <s v="ca"/>
    <n v="41"/>
    <x v="1268"/>
    <s v="white"/>
    <s v="black"/>
    <s v="chrysler capital"/>
    <n v="12750"/>
    <x v="347"/>
    <s v="Thu Dec 18 2014 12:00:00 GMT-0800 (PST)"/>
    <n v="2014"/>
    <x v="332"/>
    <x v="1"/>
    <s v="Low"/>
  </r>
  <r>
    <n v="2012"/>
    <x v="31"/>
    <x v="191"/>
    <x v="183"/>
    <x v="1"/>
    <s v="automatic"/>
    <s v="1hgcp2f87ca065414"/>
    <s v="ca"/>
    <n v="46"/>
    <x v="1269"/>
    <s v="black"/>
    <s v="black"/>
    <s v="ahfc/honda lease trust/hvt  inc. eot"/>
    <n v="14200"/>
    <x v="152"/>
    <s v="Thu Dec 18 2014 12:00:00 GMT-0800 (PST)"/>
    <n v="2014"/>
    <x v="355"/>
    <x v="1"/>
    <s v="Low"/>
  </r>
  <r>
    <n v="2012"/>
    <x v="6"/>
    <x v="193"/>
    <x v="185"/>
    <x v="2"/>
    <m/>
    <s v="1zvbp8ff1c5262211"/>
    <s v="ca"/>
    <m/>
    <x v="1270"/>
    <s v="gray"/>
    <s v="â€”"/>
    <s v="trade in solutions irvine"/>
    <n v="23000"/>
    <x v="29"/>
    <s v="Tue Dec 16 2014 12:30:00 GMT-0800 (PST)"/>
    <n v="2014"/>
    <x v="347"/>
    <x v="0"/>
    <s v="Medium"/>
  </r>
  <r>
    <n v="2012"/>
    <x v="7"/>
    <x v="51"/>
    <x v="41"/>
    <x v="1"/>
    <s v="automatic"/>
    <s v="kmhct4ae4cu132368"/>
    <s v="ca"/>
    <n v="35"/>
    <x v="1271"/>
    <s v="gray"/>
    <s v="gray"/>
    <s v="hyundai motor finance"/>
    <n v="8025"/>
    <x v="184"/>
    <s v="Tue Dec 16 2014 12:00:00 GMT-0800 (PST)"/>
    <n v="2014"/>
    <x v="62"/>
    <x v="2"/>
    <s v="Low"/>
  </r>
  <r>
    <n v="2012"/>
    <x v="7"/>
    <x v="12"/>
    <x v="41"/>
    <x v="1"/>
    <s v="automatic"/>
    <s v="5npeb4ac8ch421391"/>
    <s v="ca"/>
    <n v="4"/>
    <x v="1272"/>
    <s v="silver"/>
    <s v="gray"/>
    <s v="hyundai motor finance"/>
    <n v="10950"/>
    <x v="110"/>
    <s v="Tue Dec 16 2014 12:00:00 GMT-0800 (PST)"/>
    <n v="2014"/>
    <x v="56"/>
    <x v="0"/>
    <s v="Low"/>
  </r>
  <r>
    <n v="2012"/>
    <x v="31"/>
    <x v="191"/>
    <x v="10"/>
    <x v="1"/>
    <s v="automatic"/>
    <s v="1hgcp2f65ca245389"/>
    <s v="ca"/>
    <n v="35"/>
    <x v="1273"/>
    <s v="gray"/>
    <s v="black"/>
    <s v="ahfc/honda lease trust/hvt  inc."/>
    <n v="13200"/>
    <x v="13"/>
    <s v="Thu Dec 18 2014 12:00:00 GMT-0800 (PST)"/>
    <n v="2014"/>
    <x v="328"/>
    <x v="2"/>
    <s v="Low"/>
  </r>
  <r>
    <n v="2012"/>
    <x v="31"/>
    <x v="191"/>
    <x v="10"/>
    <x v="1"/>
    <s v="automatic"/>
    <s v="1hgcp2f68ca026944"/>
    <s v="ca"/>
    <n v="19"/>
    <x v="1274"/>
    <s v="gray"/>
    <s v="black"/>
    <s v="ahfc/honda lease trust/hvt  inc. eot"/>
    <n v="13150"/>
    <x v="161"/>
    <s v="Thu Dec 18 2014 12:00:00 GMT-0800 (PST)"/>
    <n v="2014"/>
    <x v="328"/>
    <x v="0"/>
    <s v="Low"/>
  </r>
  <r>
    <n v="2012"/>
    <x v="7"/>
    <x v="12"/>
    <x v="41"/>
    <x v="1"/>
    <s v="automatic"/>
    <s v="5npeb4ac7ch368554"/>
    <s v="ca"/>
    <n v="22"/>
    <x v="1275"/>
    <s v="white"/>
    <s v="beige"/>
    <s v="hyundai motor finance"/>
    <n v="11500"/>
    <x v="273"/>
    <s v="Tue Dec 16 2014 12:00:00 GMT-0800 (PST)"/>
    <n v="2014"/>
    <x v="56"/>
    <x v="2"/>
    <s v="Low"/>
  </r>
  <r>
    <n v="2012"/>
    <x v="31"/>
    <x v="194"/>
    <x v="0"/>
    <x v="1"/>
    <s v="automatic"/>
    <s v="2hgfb2f56ch546404"/>
    <s v="ca"/>
    <n v="37"/>
    <x v="1276"/>
    <s v="red"/>
    <s v="tan"/>
    <s v="ahfc/honda lease trust/hvt  inc. eot"/>
    <n v="10750"/>
    <x v="137"/>
    <s v="Thu Dec 18 2014 12:00:00 GMT-0800 (PST)"/>
    <n v="2014"/>
    <x v="334"/>
    <x v="2"/>
    <s v="Low"/>
  </r>
  <r>
    <n v="2012"/>
    <x v="31"/>
    <x v="194"/>
    <x v="0"/>
    <x v="3"/>
    <s v="automatic"/>
    <s v="2hgfg3b52ch516894"/>
    <s v="ca"/>
    <n v="21"/>
    <x v="1277"/>
    <s v="blue"/>
    <s v="gray"/>
    <s v="ahfc/honda lease trust/hvt  inc. eot"/>
    <n v="10400"/>
    <x v="344"/>
    <s v="Thu Dec 18 2014 12:00:00 GMT-0800 (PST)"/>
    <n v="2014"/>
    <x v="334"/>
    <x v="2"/>
    <s v="Low"/>
  </r>
  <r>
    <n v="2012"/>
    <x v="31"/>
    <x v="191"/>
    <x v="179"/>
    <x v="1"/>
    <s v="automatic"/>
    <s v="1hgcp2f44ca017057"/>
    <s v="ca"/>
    <n v="26"/>
    <x v="1278"/>
    <s v="white"/>
    <s v="gray"/>
    <s v="ahfc/honda lease trust/hvt  inc. eot"/>
    <n v="12850"/>
    <x v="98"/>
    <s v="Thu Dec 18 2014 12:00:00 GMT-0800 (PST)"/>
    <n v="2014"/>
    <x v="333"/>
    <x v="2"/>
    <s v="Low"/>
  </r>
  <r>
    <n v="2012"/>
    <x v="7"/>
    <x v="48"/>
    <x v="47"/>
    <x v="1"/>
    <s v="automatic"/>
    <s v="kmhgc4dd8cu171159"/>
    <s v="ca"/>
    <n v="46"/>
    <x v="1279"/>
    <s v="black"/>
    <s v="black"/>
    <s v="hyundai motor finance"/>
    <n v="16250"/>
    <x v="329"/>
    <s v="Tue Dec 16 2014 12:00:00 GMT-0800 (PST)"/>
    <n v="2014"/>
    <x v="71"/>
    <x v="1"/>
    <s v="Medium"/>
  </r>
  <r>
    <n v="2012"/>
    <x v="31"/>
    <x v="197"/>
    <x v="0"/>
    <x v="11"/>
    <s v="automatic"/>
    <s v="5fnrl5h22cb004798"/>
    <s v="ca"/>
    <n v="32"/>
    <x v="1280"/>
    <s v="beige"/>
    <s v="beige"/>
    <s v="onemain rem/m&amp;m auto traders"/>
    <n v="12900"/>
    <x v="68"/>
    <s v="Thu Jan 08 2015 12:00:00 GMT-0800 (PST)"/>
    <n v="2015"/>
    <x v="337"/>
    <x v="2"/>
    <s v="Low"/>
  </r>
  <r>
    <n v="2012"/>
    <x v="7"/>
    <x v="32"/>
    <x v="38"/>
    <x v="1"/>
    <s v="automatic"/>
    <s v="kmhdh4ae2cu281450"/>
    <s v="ca"/>
    <n v="36"/>
    <x v="1281"/>
    <s v="gray"/>
    <s v="gray"/>
    <s v="hyundai motor finance"/>
    <n v="12200"/>
    <x v="132"/>
    <s v="Tue Dec 16 2014 12:00:00 GMT-0800 (PST)"/>
    <n v="2014"/>
    <x v="60"/>
    <x v="2"/>
    <s v="Low"/>
  </r>
  <r>
    <n v="2012"/>
    <x v="31"/>
    <x v="194"/>
    <x v="0"/>
    <x v="3"/>
    <s v="automatic"/>
    <s v="2hgfg3b50ch530888"/>
    <s v="ca"/>
    <n v="26"/>
    <x v="1282"/>
    <s v="black"/>
    <s v="gray"/>
    <s v="ahfc/honda lease trust/hvt  inc."/>
    <n v="10000"/>
    <x v="174"/>
    <s v="Thu Dec 18 2014 12:00:00 GMT-0800 (PST)"/>
    <n v="2014"/>
    <x v="334"/>
    <x v="2"/>
    <s v="Low"/>
  </r>
  <r>
    <n v="2012"/>
    <x v="12"/>
    <x v="45"/>
    <x v="178"/>
    <x v="8"/>
    <s v="automatic"/>
    <s v="jn1dv6ap6cm813070"/>
    <s v="ca"/>
    <n v="44"/>
    <x v="1283"/>
    <s v="gray"/>
    <s v="black"/>
    <s v="nissan infiniti lt"/>
    <n v="19750"/>
    <x v="226"/>
    <s v="Thu Dec 18 2014 12:30:00 GMT-0800 (PST)"/>
    <n v="2014"/>
    <x v="331"/>
    <x v="1"/>
    <s v="Medium"/>
  </r>
  <r>
    <n v="2012"/>
    <x v="31"/>
    <x v="194"/>
    <x v="69"/>
    <x v="1"/>
    <s v="automatic"/>
    <s v="2hgfb2f80ch320417"/>
    <s v="ca"/>
    <n v="21"/>
    <x v="1284"/>
    <s v="gray"/>
    <s v="gray"/>
    <s v="ahfc/honda lease trust/hvt  inc. eot"/>
    <n v="12300"/>
    <x v="25"/>
    <s v="Thu Dec 18 2014 12:00:00 GMT-0800 (PST)"/>
    <n v="2014"/>
    <x v="338"/>
    <x v="2"/>
    <s v="Low"/>
  </r>
  <r>
    <n v="2012"/>
    <x v="31"/>
    <x v="194"/>
    <x v="183"/>
    <x v="1"/>
    <s v="automatic"/>
    <s v="19xfb2f90ce329122"/>
    <s v="ca"/>
    <n v="19"/>
    <x v="1285"/>
    <s v="gray"/>
    <s v="gray"/>
    <s v="ahfc/honda lease trust/hvt  inc. eot"/>
    <n v="14150"/>
    <x v="83"/>
    <s v="Tue Dec 30 2014 15:00:00 GMT-0800 (PST)"/>
    <n v="2014"/>
    <x v="361"/>
    <x v="0"/>
    <s v="Low"/>
  </r>
  <r>
    <n v="2012"/>
    <x v="7"/>
    <x v="32"/>
    <x v="41"/>
    <x v="1"/>
    <s v="automatic"/>
    <s v="5npdh4ae0ch065420"/>
    <s v="ca"/>
    <n v="2"/>
    <x v="1286"/>
    <s v="black"/>
    <s v="beige"/>
    <s v="hyundai motor finance"/>
    <n v="10250"/>
    <x v="330"/>
    <s v="Tue Jan 13 2015 12:00:00 GMT-0800 (PST)"/>
    <n v="2015"/>
    <x v="55"/>
    <x v="0"/>
    <s v="Low"/>
  </r>
  <r>
    <n v="2012"/>
    <x v="7"/>
    <x v="54"/>
    <x v="5"/>
    <x v="1"/>
    <s v="automatic"/>
    <s v="kmhfg4jg9ca155326"/>
    <s v="ca"/>
    <n v="45"/>
    <x v="1287"/>
    <s v="black"/>
    <s v="black"/>
    <s v="hyundai motor finance"/>
    <n v="16950"/>
    <x v="135"/>
    <s v="Tue Dec 16 2014 12:00:00 GMT-0800 (PST)"/>
    <n v="2014"/>
    <x v="66"/>
    <x v="1"/>
    <s v="Low"/>
  </r>
  <r>
    <n v="2012"/>
    <x v="31"/>
    <x v="191"/>
    <x v="10"/>
    <x v="1"/>
    <s v="automatic"/>
    <s v="1hgcp2f65ca058119"/>
    <s v="ca"/>
    <n v="21"/>
    <x v="1288"/>
    <s v="black"/>
    <s v="black"/>
    <s v="ahfc/honda lease trust/hvt  inc. eot"/>
    <n v="13600"/>
    <x v="192"/>
    <s v="Tue Dec 30 2014 15:00:00 GMT-0800 (PST)"/>
    <n v="2014"/>
    <x v="328"/>
    <x v="2"/>
    <s v="Low"/>
  </r>
  <r>
    <n v="2012"/>
    <x v="6"/>
    <x v="11"/>
    <x v="146"/>
    <x v="1"/>
    <s v="automatic"/>
    <s v="3fahp0jaxcr262804"/>
    <s v="ca"/>
    <n v="28"/>
    <x v="1289"/>
    <s v="gray"/>
    <s v="tan"/>
    <s v="donlen corporation"/>
    <n v="8600"/>
    <x v="327"/>
    <s v="Thu Dec 18 2014 12:00:00 GMT-0800 (PST)"/>
    <n v="2014"/>
    <x v="309"/>
    <x v="2"/>
    <s v="Low"/>
  </r>
  <r>
    <n v="2012"/>
    <x v="6"/>
    <x v="11"/>
    <x v="10"/>
    <x v="1"/>
    <s v="automatic"/>
    <s v="3fahp0ha4cr310450"/>
    <s v="ca"/>
    <n v="37"/>
    <x v="1290"/>
    <s v="gray"/>
    <s v="black"/>
    <s v="ford motor credit company llc pd"/>
    <n v="11200"/>
    <x v="137"/>
    <s v="Thu Dec 18 2014 12:00:00 GMT-0800 (PST)"/>
    <n v="2014"/>
    <x v="11"/>
    <x v="2"/>
    <s v="Low"/>
  </r>
  <r>
    <n v="2012"/>
    <x v="7"/>
    <x v="12"/>
    <x v="41"/>
    <x v="1"/>
    <s v="automatic"/>
    <s v="5npeb4ac4ch396389"/>
    <s v="ca"/>
    <n v="37"/>
    <x v="1291"/>
    <s v="gray"/>
    <s v="gray"/>
    <s v="hyundai motor finance"/>
    <n v="10500"/>
    <x v="25"/>
    <s v="Tue Dec 16 2014 12:00:00 GMT-0800 (PST)"/>
    <n v="2014"/>
    <x v="56"/>
    <x v="2"/>
    <s v="Low"/>
  </r>
  <r>
    <n v="2012"/>
    <x v="31"/>
    <x v="194"/>
    <x v="69"/>
    <x v="3"/>
    <s v="automatic"/>
    <s v="2hgfg3b89ch515431"/>
    <s v="ca"/>
    <n v="3"/>
    <x v="1292"/>
    <s v="blue"/>
    <s v="gray"/>
    <s v="barber honda"/>
    <n v="10700"/>
    <x v="348"/>
    <s v="Tue Dec 16 2014 12:30:00 GMT-0800 (PST)"/>
    <n v="2014"/>
    <x v="338"/>
    <x v="0"/>
    <s v="Low"/>
  </r>
  <r>
    <n v="2012"/>
    <x v="6"/>
    <x v="11"/>
    <x v="167"/>
    <x v="1"/>
    <s v="automatic"/>
    <s v="3fadp0l39cr226339"/>
    <s v="ca"/>
    <n v="41"/>
    <x v="1293"/>
    <s v="white"/>
    <s v="black"/>
    <s v="m/r motors inc"/>
    <n v="12050"/>
    <x v="11"/>
    <s v="Thu Dec 18 2014 12:00:00 GMT-0800 (PST)"/>
    <n v="2014"/>
    <x v="300"/>
    <x v="1"/>
    <s v="Low"/>
  </r>
  <r>
    <n v="2012"/>
    <x v="31"/>
    <x v="197"/>
    <x v="69"/>
    <x v="11"/>
    <s v="automatic"/>
    <s v="5fnrl5h41cb073757"/>
    <s v="ca"/>
    <n v="36"/>
    <x v="1294"/>
    <s v="gray"/>
    <s v="gray"/>
    <s v="ahfc/honda lease trust/hvt  inc. eot"/>
    <n v="17800"/>
    <x v="303"/>
    <s v="Thu Dec 18 2014 12:00:00 GMT-0800 (PST)"/>
    <n v="2014"/>
    <x v="344"/>
    <x v="2"/>
    <s v="Medium"/>
  </r>
  <r>
    <n v="2012"/>
    <x v="6"/>
    <x v="11"/>
    <x v="10"/>
    <x v="1"/>
    <s v="automatic"/>
    <s v="3fahp0ha4cr176880"/>
    <s v="ca"/>
    <n v="35"/>
    <x v="1295"/>
    <s v="silver"/>
    <s v="beige"/>
    <s v="ford motor credit company llc pd"/>
    <n v="11750"/>
    <x v="137"/>
    <s v="Thu Dec 18 2014 12:00:00 GMT-0800 (PST)"/>
    <n v="2014"/>
    <x v="11"/>
    <x v="2"/>
    <s v="Low"/>
  </r>
  <r>
    <n v="2012"/>
    <x v="31"/>
    <x v="191"/>
    <x v="10"/>
    <x v="1"/>
    <s v="automatic"/>
    <s v="1hgcp2f63ca045143"/>
    <s v="ca"/>
    <n v="42"/>
    <x v="1061"/>
    <s v="silver"/>
    <s v="black"/>
    <s v="ahfc/honda lease trust/hvt  inc. eot"/>
    <n v="13700"/>
    <x v="206"/>
    <s v="Thu Dec 18 2014 12:00:00 GMT-0800 (PST)"/>
    <n v="2014"/>
    <x v="328"/>
    <x v="1"/>
    <s v="Low"/>
  </r>
  <r>
    <n v="2012"/>
    <x v="7"/>
    <x v="48"/>
    <x v="47"/>
    <x v="1"/>
    <s v="automatic"/>
    <s v="kmhgc4dd7cu191208"/>
    <s v="ca"/>
    <n v="39"/>
    <x v="1296"/>
    <s v="silver"/>
    <s v="black"/>
    <s v="the hertz corporation"/>
    <n v="14550"/>
    <x v="124"/>
    <s v="Tue Jan 06 2015 04:30:00 GMT-0800 (PST)"/>
    <n v="2015"/>
    <x v="71"/>
    <x v="2"/>
    <s v="Low"/>
  </r>
  <r>
    <n v="2012"/>
    <x v="12"/>
    <x v="45"/>
    <x v="178"/>
    <x v="8"/>
    <s v="automatic"/>
    <s v="jn1dv6ap2cm810117"/>
    <s v="ca"/>
    <n v="26"/>
    <x v="1297"/>
    <s v="gray"/>
    <s v="black"/>
    <s v="nissan infiniti lt"/>
    <n v="18850"/>
    <x v="173"/>
    <s v="Tue Dec 23 2014 12:30:00 GMT-0800 (PST)"/>
    <n v="2014"/>
    <x v="331"/>
    <x v="2"/>
    <s v="Low"/>
  </r>
  <r>
    <n v="2012"/>
    <x v="31"/>
    <x v="194"/>
    <x v="69"/>
    <x v="1"/>
    <s v="automatic"/>
    <s v="19xfb2f89ce349795"/>
    <s v="ca"/>
    <n v="22"/>
    <x v="1298"/>
    <s v="black"/>
    <s v="gray"/>
    <s v="ahfc/honda lease trust/hvt  inc. eot"/>
    <n v="12150"/>
    <x v="276"/>
    <s v="Thu Dec 18 2014 12:00:00 GMT-0800 (PST)"/>
    <n v="2014"/>
    <x v="338"/>
    <x v="2"/>
    <s v="Low"/>
  </r>
  <r>
    <n v="2012"/>
    <x v="7"/>
    <x v="51"/>
    <x v="41"/>
    <x v="1"/>
    <s v="automatic"/>
    <s v="kmhcu4ae2cu137324"/>
    <s v="ca"/>
    <n v="19"/>
    <x v="1299"/>
    <s v="blue"/>
    <s v="gray"/>
    <s v="hyundai motor finance"/>
    <n v="8100"/>
    <x v="327"/>
    <s v="Tue Dec 16 2014 12:00:00 GMT-0800 (PST)"/>
    <n v="2014"/>
    <x v="62"/>
    <x v="0"/>
    <s v="Low"/>
  </r>
  <r>
    <n v="2012"/>
    <x v="6"/>
    <x v="201"/>
    <x v="146"/>
    <x v="1"/>
    <s v="automatic"/>
    <s v="1fahp2ew8cg143769"/>
    <s v="ca"/>
    <n v="25"/>
    <x v="1300"/>
    <s v="gray"/>
    <s v="beige"/>
    <s v="ford motor credit company llc pd"/>
    <n v="13250"/>
    <x v="12"/>
    <s v="Thu Dec 18 2014 12:00:00 GMT-0800 (PST)"/>
    <n v="2014"/>
    <x v="357"/>
    <x v="2"/>
    <s v="Low"/>
  </r>
  <r>
    <n v="2012"/>
    <x v="31"/>
    <x v="191"/>
    <x v="184"/>
    <x v="1"/>
    <s v="automatic"/>
    <s v="1hgcp3f88ca039488"/>
    <s v="ca"/>
    <n v="44"/>
    <x v="1301"/>
    <s v="white"/>
    <s v="beige"/>
    <s v="bank of the west"/>
    <n v="16500"/>
    <x v="279"/>
    <s v="Thu Dec 18 2014 12:00:00 GMT-0800 (PST)"/>
    <n v="2014"/>
    <x v="343"/>
    <x v="1"/>
    <s v="Low"/>
  </r>
  <r>
    <n v="2012"/>
    <x v="6"/>
    <x v="199"/>
    <x v="186"/>
    <x v="11"/>
    <s v="automatic"/>
    <s v="nm0ls7bn1ct108619"/>
    <s v="ca"/>
    <n v="19"/>
    <x v="1302"/>
    <s v="â€”"/>
    <s v="gray"/>
    <s v="wheels exchange llc"/>
    <n v="12000"/>
    <x v="49"/>
    <s v="Wed Dec 17 2014 12:30:00 GMT-0800 (PST)"/>
    <n v="2014"/>
    <x v="351"/>
    <x v="0"/>
    <s v="Low"/>
  </r>
  <r>
    <n v="2012"/>
    <x v="6"/>
    <x v="201"/>
    <x v="10"/>
    <x v="1"/>
    <s v="automatic"/>
    <s v="1fahp2dw5cg120127"/>
    <s v="ca"/>
    <n v="2"/>
    <x v="1303"/>
    <s v="white"/>
    <s v="tan"/>
    <s v="enterprise vehicle exchange / tra / rental / tulsa"/>
    <n v="11800"/>
    <x v="273"/>
    <s v="Tue Dec 16 2014 12:00:00 GMT-0800 (PST)"/>
    <n v="2014"/>
    <x v="358"/>
    <x v="0"/>
    <s v="Low"/>
  </r>
  <r>
    <n v="2012"/>
    <x v="7"/>
    <x v="12"/>
    <x v="41"/>
    <x v="1"/>
    <s v="automatic"/>
    <s v="5npeb4ac5ch495089"/>
    <s v="ca"/>
    <n v="35"/>
    <x v="1304"/>
    <s v="gray"/>
    <s v="gray"/>
    <s v="high bid trading co inc"/>
    <n v="9875"/>
    <x v="36"/>
    <s v="Wed Dec 17 2014 12:15:00 GMT-0800 (PST)"/>
    <n v="2014"/>
    <x v="56"/>
    <x v="2"/>
    <s v="Low"/>
  </r>
  <r>
    <n v="2012"/>
    <x v="31"/>
    <x v="198"/>
    <x v="183"/>
    <x v="5"/>
    <s v="automatic"/>
    <s v="5j6tf1h50cl000661"/>
    <s v="ca"/>
    <n v="41"/>
    <x v="1305"/>
    <s v="white"/>
    <s v="black"/>
    <s v="ahfc/honda lease trust/hvt  inc. eot"/>
    <n v="18400"/>
    <x v="155"/>
    <s v="Thu Dec 18 2014 12:00:00 GMT-0800 (PST)"/>
    <n v="2014"/>
    <x v="350"/>
    <x v="1"/>
    <s v="Medium"/>
  </r>
  <r>
    <n v="2012"/>
    <x v="31"/>
    <x v="194"/>
    <x v="0"/>
    <x v="1"/>
    <s v="automatic"/>
    <s v="2hgfb2f5xch584427"/>
    <s v="ca"/>
    <n v="26"/>
    <x v="1306"/>
    <s v="gray"/>
    <s v="gray"/>
    <s v="myrddin fleet services"/>
    <n v="11850"/>
    <x v="123"/>
    <s v="Wed Dec 17 2014 12:30:00 GMT-0800 (PST)"/>
    <n v="2014"/>
    <x v="334"/>
    <x v="2"/>
    <s v="Low"/>
  </r>
  <r>
    <n v="2012"/>
    <x v="12"/>
    <x v="46"/>
    <x v="189"/>
    <x v="0"/>
    <s v="automatic"/>
    <s v="jn8as1mwxcm153862"/>
    <s v="ca"/>
    <n v="35"/>
    <x v="1307"/>
    <s v="black"/>
    <s v="beige"/>
    <s v="the hertz corporation"/>
    <n v="30000"/>
    <x v="95"/>
    <s v="Tue Dec 30 2014 12:30:00 GMT-0800 (PST)"/>
    <n v="2014"/>
    <x v="362"/>
    <x v="2"/>
    <s v="Medium"/>
  </r>
  <r>
    <n v="2012"/>
    <x v="31"/>
    <x v="198"/>
    <x v="183"/>
    <x v="5"/>
    <s v="automatic"/>
    <s v="5j6tf1h52cl001116"/>
    <s v="ca"/>
    <n v="25"/>
    <x v="1308"/>
    <s v="gray"/>
    <s v="beige"/>
    <s v="ahfc/honda lease trust/hvt  inc. eot"/>
    <n v="18850"/>
    <x v="216"/>
    <s v="Thu Dec 18 2014 12:00:00 GMT-0800 (PST)"/>
    <n v="2014"/>
    <x v="350"/>
    <x v="2"/>
    <s v="Low"/>
  </r>
  <r>
    <n v="2012"/>
    <x v="7"/>
    <x v="32"/>
    <x v="38"/>
    <x v="1"/>
    <s v="automatic"/>
    <s v="5npdh4ae1ch094702"/>
    <s v="ca"/>
    <n v="19"/>
    <x v="1309"/>
    <s v="black"/>
    <s v="gray"/>
    <s v="wells fargo dealer services"/>
    <n v="11700"/>
    <x v="12"/>
    <s v="Thu Dec 18 2014 12:00:00 GMT-0800 (PST)"/>
    <n v="2014"/>
    <x v="60"/>
    <x v="0"/>
    <s v="Low"/>
  </r>
  <r>
    <n v="2012"/>
    <x v="7"/>
    <x v="12"/>
    <x v="38"/>
    <x v="1"/>
    <s v="automatic"/>
    <s v="5npec4ac4ch374812"/>
    <s v="ca"/>
    <n v="33"/>
    <x v="1310"/>
    <s v="white"/>
    <s v="tan"/>
    <s v="hyundai motor finance"/>
    <n v="15050"/>
    <x v="173"/>
    <s v="Tue Dec 16 2014 12:00:00 GMT-0800 (PST)"/>
    <n v="2014"/>
    <x v="59"/>
    <x v="2"/>
    <s v="Low"/>
  </r>
  <r>
    <n v="2012"/>
    <x v="12"/>
    <x v="202"/>
    <x v="188"/>
    <x v="24"/>
    <s v="automatic"/>
    <s v="jn1cv6fe1cm200356"/>
    <s v="ca"/>
    <n v="38"/>
    <x v="1311"/>
    <s v="black"/>
    <s v="black"/>
    <s v="nissan infiniti lt"/>
    <n v="25500"/>
    <x v="34"/>
    <s v="Thu Dec 18 2014 12:30:00 GMT-0800 (PST)"/>
    <n v="2014"/>
    <x v="360"/>
    <x v="2"/>
    <s v="Medium"/>
  </r>
  <r>
    <n v="2012"/>
    <x v="12"/>
    <x v="45"/>
    <x v="178"/>
    <x v="8"/>
    <s v="automatic"/>
    <s v="jn1dv6ap0cm701073"/>
    <s v="ca"/>
    <n v="37"/>
    <x v="1312"/>
    <s v="blue"/>
    <s v="gray"/>
    <s v="nissan infiniti lt"/>
    <n v="19050"/>
    <x v="226"/>
    <s v="Thu Dec 18 2014 12:30:00 GMT-0800 (PST)"/>
    <n v="2014"/>
    <x v="331"/>
    <x v="2"/>
    <s v="Medium"/>
  </r>
  <r>
    <n v="2012"/>
    <x v="12"/>
    <x v="45"/>
    <x v="178"/>
    <x v="8"/>
    <s v="automatic"/>
    <s v="jn1dv6ap0cm813016"/>
    <s v="ca"/>
    <n v="43"/>
    <x v="1313"/>
    <s v="white"/>
    <s v="black"/>
    <s v="nissan infiniti lt"/>
    <n v="19900"/>
    <x v="185"/>
    <s v="Thu Dec 18 2014 12:30:00 GMT-0800 (PST)"/>
    <n v="2014"/>
    <x v="331"/>
    <x v="1"/>
    <s v="Medium"/>
  </r>
  <r>
    <n v="2012"/>
    <x v="32"/>
    <x v="203"/>
    <x v="190"/>
    <x v="0"/>
    <s v="automatic"/>
    <s v="1gks1eef3cr155968"/>
    <s v="ca"/>
    <n v="43"/>
    <x v="1314"/>
    <s v="silver"/>
    <s v="black"/>
    <s v="fiserv/usb dealer services northstar exchange"/>
    <n v="30900"/>
    <x v="266"/>
    <s v="Tue Dec 16 2014 12:30:00 GMT-0800 (PST)"/>
    <n v="2014"/>
    <x v="363"/>
    <x v="1"/>
    <s v="Medium"/>
  </r>
  <r>
    <n v="2012"/>
    <x v="12"/>
    <x v="44"/>
    <x v="188"/>
    <x v="7"/>
    <s v="automatic"/>
    <s v="jn1cv6ek6cm423192"/>
    <s v="ca"/>
    <n v="44"/>
    <x v="1315"/>
    <s v="black"/>
    <s v="gray"/>
    <s v="nissan infiniti lt"/>
    <n v="23800"/>
    <x v="146"/>
    <s v="Thu Dec 18 2014 12:30:00 GMT-0800 (PST)"/>
    <n v="2014"/>
    <x v="359"/>
    <x v="1"/>
    <s v="Medium"/>
  </r>
  <r>
    <n v="2012"/>
    <x v="7"/>
    <x v="48"/>
    <x v="47"/>
    <x v="1"/>
    <s v="automatic"/>
    <s v="kmhgc4dd6cu193175"/>
    <s v="ca"/>
    <n v="19"/>
    <x v="1316"/>
    <s v="black"/>
    <s v="black"/>
    <s v="the hertz corporation"/>
    <n v="19300"/>
    <x v="241"/>
    <s v="Thu Feb 05 2015 03:30:00 GMT-0800 (PST)"/>
    <n v="2015"/>
    <x v="71"/>
    <x v="0"/>
    <s v="Low"/>
  </r>
  <r>
    <n v="2012"/>
    <x v="7"/>
    <x v="204"/>
    <x v="38"/>
    <x v="0"/>
    <s v="automatic"/>
    <s v="km8nu4ccxcu197873"/>
    <s v="ca"/>
    <n v="45"/>
    <x v="1317"/>
    <s v="silver"/>
    <s v="yellow"/>
    <s v="hyundai motor finance"/>
    <n v="18050"/>
    <x v="52"/>
    <s v="Tue Dec 16 2014 12:00:00 GMT-0800 (PST)"/>
    <n v="2014"/>
    <x v="364"/>
    <x v="1"/>
    <s v="Medium"/>
  </r>
  <r>
    <n v="2012"/>
    <x v="31"/>
    <x v="197"/>
    <x v="57"/>
    <x v="11"/>
    <s v="automatic"/>
    <s v="5fnrl5h96cb012352"/>
    <s v="ca"/>
    <n v="46"/>
    <x v="1318"/>
    <s v="silver"/>
    <s v="gray"/>
    <s v="barber honda"/>
    <n v="26800"/>
    <x v="56"/>
    <s v="Tue Dec 30 2014 12:30:00 GMT-0800 (PST)"/>
    <n v="2014"/>
    <x v="365"/>
    <x v="1"/>
    <s v="Medium"/>
  </r>
  <r>
    <n v="2012"/>
    <x v="31"/>
    <x v="194"/>
    <x v="191"/>
    <x v="1"/>
    <s v="automatic"/>
    <s v="2hgfb2f6xch319922"/>
    <s v="ca"/>
    <n v="34"/>
    <x v="1319"/>
    <s v="gray"/>
    <s v="gray"/>
    <s v="ahfc/honda lease trust/hvt  inc. eot"/>
    <n v="11700"/>
    <x v="108"/>
    <s v="Thu Dec 18 2014 12:00:00 GMT-0800 (PST)"/>
    <n v="2014"/>
    <x v="366"/>
    <x v="2"/>
    <s v="Low"/>
  </r>
  <r>
    <n v="2012"/>
    <x v="31"/>
    <x v="194"/>
    <x v="0"/>
    <x v="1"/>
    <s v="automatic"/>
    <s v="2hgfb2f58ch316749"/>
    <s v="ca"/>
    <n v="21"/>
    <x v="1320"/>
    <s v="silver"/>
    <s v="beige"/>
    <s v="ahfc/honda lease trust/hvt  inc. eot"/>
    <n v="10700"/>
    <x v="49"/>
    <s v="Thu Jan 15 2015 04:00:00 GMT-0800 (PST)"/>
    <n v="2015"/>
    <x v="334"/>
    <x v="2"/>
    <s v="Low"/>
  </r>
  <r>
    <n v="2012"/>
    <x v="12"/>
    <x v="45"/>
    <x v="178"/>
    <x v="8"/>
    <s v="automatic"/>
    <s v="jn1dv6ap1cm810500"/>
    <s v="ca"/>
    <n v="38"/>
    <x v="1321"/>
    <s v="black"/>
    <s v="black"/>
    <s v="nissan infiniti lt"/>
    <n v="18700"/>
    <x v="226"/>
    <s v="Thu Dec 18 2014 12:30:00 GMT-0800 (PST)"/>
    <n v="2014"/>
    <x v="331"/>
    <x v="2"/>
    <s v="Medium"/>
  </r>
  <r>
    <n v="2012"/>
    <x v="31"/>
    <x v="194"/>
    <x v="0"/>
    <x v="3"/>
    <s v="automatic"/>
    <s v="2hgfg3b54ch527833"/>
    <s v="ca"/>
    <n v="25"/>
    <x v="1322"/>
    <s v="white"/>
    <s v="gray"/>
    <s v="ahfc/honda lease trust/hvt  inc. eot"/>
    <n v="11250"/>
    <x v="4"/>
    <s v="Tue Dec 30 2014 15:00:00 GMT-0800 (PST)"/>
    <n v="2014"/>
    <x v="334"/>
    <x v="2"/>
    <s v="Low"/>
  </r>
  <r>
    <n v="2012"/>
    <x v="31"/>
    <x v="191"/>
    <x v="10"/>
    <x v="1"/>
    <s v="automatic"/>
    <s v="1hgcp2f67ca075519"/>
    <s v="ca"/>
    <n v="43"/>
    <x v="1323"/>
    <s v="silver"/>
    <s v="black"/>
    <s v="ahfc/honda lease trust/hvt  inc. eot"/>
    <n v="12850"/>
    <x v="236"/>
    <s v="Thu Dec 18 2014 12:00:00 GMT-0800 (PST)"/>
    <n v="2014"/>
    <x v="328"/>
    <x v="1"/>
    <s v="Low"/>
  </r>
  <r>
    <n v="2012"/>
    <x v="14"/>
    <x v="61"/>
    <x v="56"/>
    <x v="1"/>
    <s v="automatic"/>
    <s v="wddgf4hb2ca599921"/>
    <s v="ca"/>
    <n v="42"/>
    <x v="1324"/>
    <s v="white"/>
    <s v="black"/>
    <s v="mercedes-benz financial services"/>
    <n v="22500"/>
    <x v="106"/>
    <s v="Thu Dec 18 2014 12:30:00 GMT-0800 (PST)"/>
    <n v="2014"/>
    <x v="87"/>
    <x v="1"/>
    <s v="Medium"/>
  </r>
  <r>
    <n v="2012"/>
    <x v="12"/>
    <x v="45"/>
    <x v="36"/>
    <x v="8"/>
    <s v="automatic"/>
    <s v="jn1cv6ap6cm936458"/>
    <s v="ca"/>
    <n v="43"/>
    <x v="1325"/>
    <s v="white"/>
    <s v="black"/>
    <s v="nissan infiniti lt"/>
    <n v="22200"/>
    <x v="105"/>
    <s v="Thu Dec 18 2014 12:30:00 GMT-0800 (PST)"/>
    <n v="2014"/>
    <x v="50"/>
    <x v="1"/>
    <s v="Medium"/>
  </r>
  <r>
    <n v="2012"/>
    <x v="17"/>
    <x v="72"/>
    <x v="5"/>
    <x v="5"/>
    <m/>
    <s v="wmwzf3c5xct188993"/>
    <s v="ca"/>
    <n v="38"/>
    <x v="1326"/>
    <s v="silver"/>
    <s v="â€”"/>
    <s v="bmw mini financial services"/>
    <n v="12350"/>
    <x v="349"/>
    <s v="Thu Dec 18 2014 12:30:00 GMT-0800 (PST)"/>
    <n v="2014"/>
    <x v="98"/>
    <x v="2"/>
    <s v="Low"/>
  </r>
  <r>
    <n v="2012"/>
    <x v="12"/>
    <x v="45"/>
    <x v="36"/>
    <x v="8"/>
    <s v="automatic"/>
    <s v="jn1cv6ap7cm931902"/>
    <s v="ca"/>
    <n v="36"/>
    <x v="1327"/>
    <s v="blue"/>
    <s v="beige"/>
    <s v="nissan infiniti lt"/>
    <n v="21900"/>
    <x v="40"/>
    <s v="Thu Dec 18 2014 12:30:00 GMT-0800 (PST)"/>
    <n v="2014"/>
    <x v="50"/>
    <x v="2"/>
    <s v="Medium"/>
  </r>
  <r>
    <n v="2012"/>
    <x v="17"/>
    <x v="72"/>
    <x v="5"/>
    <x v="5"/>
    <s v="automatic"/>
    <s v="wmwzf3c59ct189374"/>
    <s v="ca"/>
    <n v="36"/>
    <x v="1328"/>
    <s v="white"/>
    <s v="black"/>
    <s v="bmw mini financial services"/>
    <n v="12600"/>
    <x v="239"/>
    <s v="Thu Dec 18 2014 12:30:00 GMT-0800 (PST)"/>
    <n v="2014"/>
    <x v="98"/>
    <x v="2"/>
    <s v="Low"/>
  </r>
  <r>
    <n v="2012"/>
    <x v="17"/>
    <x v="73"/>
    <x v="5"/>
    <x v="5"/>
    <s v="automatic"/>
    <s v="wmwsu3c54ct543907"/>
    <s v="ca"/>
    <n v="31"/>
    <x v="1329"/>
    <s v="white"/>
    <s v="â€”"/>
    <s v="bmw mini financial services"/>
    <n v="15200"/>
    <x v="180"/>
    <s v="Thu Dec 18 2014 12:30:00 GMT-0800 (PST)"/>
    <n v="2014"/>
    <x v="99"/>
    <x v="2"/>
    <s v="Low"/>
  </r>
  <r>
    <n v="2012"/>
    <x v="0"/>
    <x v="75"/>
    <x v="69"/>
    <x v="1"/>
    <s v="automatic"/>
    <s v="knafu4a25c5582848"/>
    <s v="ca"/>
    <n v="39"/>
    <x v="1330"/>
    <s v="white"/>
    <s v="gray"/>
    <s v="jpmorgan chase bank n.a."/>
    <n v="9300"/>
    <x v="36"/>
    <s v="Thu Dec 18 2014 12:00:00 GMT-0800 (PST)"/>
    <n v="2014"/>
    <x v="114"/>
    <x v="2"/>
    <s v="Low"/>
  </r>
  <r>
    <n v="2012"/>
    <x v="20"/>
    <x v="205"/>
    <x v="5"/>
    <x v="1"/>
    <s v="automatic"/>
    <s v="sajwa2gb4clv25237"/>
    <s v="ca"/>
    <n v="45"/>
    <x v="1331"/>
    <s v="black"/>
    <s v="beige"/>
    <s v="jpmorgan chase bank n.a."/>
    <n v="47000"/>
    <x v="281"/>
    <s v="Thu Dec 18 2014 12:30:00 GMT-0800 (PST)"/>
    <n v="2014"/>
    <x v="367"/>
    <x v="1"/>
    <s v="Medium"/>
  </r>
  <r>
    <n v="2012"/>
    <x v="17"/>
    <x v="73"/>
    <x v="5"/>
    <x v="5"/>
    <s v="automatic"/>
    <s v="wmwsu3c57ct257016"/>
    <s v="ca"/>
    <n v="37"/>
    <x v="1332"/>
    <s v="red"/>
    <s v="â€”"/>
    <s v="bmw mini financial services"/>
    <n v="14550"/>
    <x v="39"/>
    <s v="Thu Dec 18 2014 12:30:00 GMT-0800 (PST)"/>
    <n v="2014"/>
    <x v="99"/>
    <x v="2"/>
    <s v="Low"/>
  </r>
  <r>
    <n v="2012"/>
    <x v="12"/>
    <x v="45"/>
    <x v="36"/>
    <x v="8"/>
    <s v="automatic"/>
    <s v="jn1cv6apxcm623350"/>
    <s v="ca"/>
    <n v="44"/>
    <x v="1333"/>
    <s v="gray"/>
    <s v="beige"/>
    <s v="nissan infiniti lt"/>
    <n v="21700"/>
    <x v="106"/>
    <s v="Wed Dec 17 2014 12:30:00 GMT-0800 (PST)"/>
    <n v="2014"/>
    <x v="50"/>
    <x v="1"/>
    <s v="Medium"/>
  </r>
  <r>
    <n v="2012"/>
    <x v="14"/>
    <x v="70"/>
    <x v="192"/>
    <x v="1"/>
    <s v="automatic"/>
    <s v="wddhf5kb8ca568532"/>
    <s v="ca"/>
    <n v="4"/>
    <x v="1334"/>
    <s v="black"/>
    <s v="black"/>
    <s v="mercedes-benz financial services"/>
    <n v="28000"/>
    <x v="34"/>
    <s v="Thu Dec 18 2014 12:30:00 GMT-0800 (PST)"/>
    <n v="2014"/>
    <x v="368"/>
    <x v="0"/>
    <s v="Medium"/>
  </r>
  <r>
    <n v="2012"/>
    <x v="13"/>
    <x v="206"/>
    <x v="42"/>
    <x v="0"/>
    <s v="automatic"/>
    <s v="1c4pjlak9cw151871"/>
    <s v="ca"/>
    <n v="29"/>
    <x v="1335"/>
    <s v="gray"/>
    <s v="gray"/>
    <s v="toyota scion of downtown la"/>
    <n v="12550"/>
    <x v="178"/>
    <s v="Wed Dec 17 2014 12:30:00 GMT-0800 (PST)"/>
    <n v="2014"/>
    <x v="369"/>
    <x v="2"/>
    <s v="Low"/>
  </r>
  <r>
    <n v="2012"/>
    <x v="11"/>
    <x v="207"/>
    <x v="5"/>
    <x v="1"/>
    <s v="automatic"/>
    <s v="jthbf5c28c5159629"/>
    <s v="ca"/>
    <n v="27"/>
    <x v="1336"/>
    <s v="silver"/>
    <s v="black"/>
    <s v="lexus financial services"/>
    <n v="21300"/>
    <x v="73"/>
    <s v="Wed Jan 07 2015 13:00:00 GMT-0800 (PST)"/>
    <n v="2015"/>
    <x v="370"/>
    <x v="2"/>
    <s v="Medium"/>
  </r>
  <r>
    <n v="2012"/>
    <x v="17"/>
    <x v="73"/>
    <x v="5"/>
    <x v="5"/>
    <s v="automatic"/>
    <s v="wmwsu3c53ct258129"/>
    <s v="ca"/>
    <n v="42"/>
    <x v="1337"/>
    <s v="white"/>
    <s v="black"/>
    <s v="bmw mini financial services"/>
    <n v="12050"/>
    <x v="39"/>
    <s v="Thu Dec 18 2014 12:30:00 GMT-0800 (PST)"/>
    <n v="2014"/>
    <x v="99"/>
    <x v="1"/>
    <s v="Low"/>
  </r>
  <r>
    <n v="2012"/>
    <x v="12"/>
    <x v="45"/>
    <x v="36"/>
    <x v="8"/>
    <s v="automatic"/>
    <s v="jn1cv6ap8cm624688"/>
    <s v="ca"/>
    <n v="43"/>
    <x v="1338"/>
    <s v="blue"/>
    <s v="black"/>
    <s v="nissan infiniti lt"/>
    <n v="22100"/>
    <x v="63"/>
    <s v="Thu Dec 18 2014 12:30:00 GMT-0800 (PST)"/>
    <n v="2014"/>
    <x v="50"/>
    <x v="1"/>
    <s v="Medium"/>
  </r>
  <r>
    <n v="2012"/>
    <x v="18"/>
    <x v="79"/>
    <x v="5"/>
    <x v="0"/>
    <s v="automatic"/>
    <s v="salag2d45ca597047"/>
    <s v="ca"/>
    <m/>
    <x v="1339"/>
    <s v="blue"/>
    <s v="â€”"/>
    <s v="land rover redwood city"/>
    <n v="42200"/>
    <x v="294"/>
    <s v="Wed Dec 17 2014 12:30:00 GMT-0800 (PST)"/>
    <n v="2014"/>
    <x v="371"/>
    <x v="0"/>
    <s v="Medium"/>
  </r>
  <r>
    <n v="2012"/>
    <x v="17"/>
    <x v="91"/>
    <x v="5"/>
    <x v="4"/>
    <s v="automatic"/>
    <s v="wmwzb3c57cwm04986"/>
    <s v="ca"/>
    <n v="37"/>
    <x v="1340"/>
    <s v="green"/>
    <s v="black"/>
    <s v="avis corporation"/>
    <n v="16100"/>
    <x v="111"/>
    <s v="Tue Dec 16 2014 12:30:00 GMT-0800 (PST)"/>
    <n v="2014"/>
    <x v="130"/>
    <x v="2"/>
    <s v="Low"/>
  </r>
  <r>
    <n v="2012"/>
    <x v="20"/>
    <x v="208"/>
    <x v="193"/>
    <x v="2"/>
    <s v="automatic"/>
    <s v="sajwa4ec4cmb47263"/>
    <s v="ca"/>
    <n v="42"/>
    <x v="1341"/>
    <s v="silver"/>
    <s v="black"/>
    <s v="jpmorgan chase bank n.a."/>
    <n v="53500"/>
    <x v="350"/>
    <s v="Thu Dec 18 2014 12:30:00 GMT-0800 (PST)"/>
    <n v="2014"/>
    <x v="372"/>
    <x v="1"/>
    <s v="High"/>
  </r>
  <r>
    <n v="2012"/>
    <x v="11"/>
    <x v="207"/>
    <x v="5"/>
    <x v="1"/>
    <s v="automatic"/>
    <s v="jthbf5c2xc5165951"/>
    <s v="ca"/>
    <n v="19"/>
    <x v="1342"/>
    <s v="white"/>
    <s v="black"/>
    <s v="lexus financial services"/>
    <n v="19750"/>
    <x v="99"/>
    <s v="Tue Dec 23 2014 12:30:00 GMT-0800 (PST)"/>
    <n v="2014"/>
    <x v="370"/>
    <x v="0"/>
    <s v="Low"/>
  </r>
  <r>
    <n v="2012"/>
    <x v="12"/>
    <x v="209"/>
    <x v="194"/>
    <x v="0"/>
    <s v="automatic"/>
    <s v="jn8az2nf9c9517627"/>
    <s v="ca"/>
    <n v="42"/>
    <x v="1343"/>
    <s v="gray"/>
    <s v="black"/>
    <s v="dutton motor co"/>
    <n v="36500"/>
    <x v="66"/>
    <s v="Tue Dec 30 2014 12:30:00 GMT-0800 (PST)"/>
    <n v="2014"/>
    <x v="373"/>
    <x v="1"/>
    <s v="Medium"/>
  </r>
  <r>
    <n v="2012"/>
    <x v="11"/>
    <x v="30"/>
    <x v="5"/>
    <x v="0"/>
    <s v="automatic"/>
    <s v="2t2zk1ba0cc067913"/>
    <s v="ca"/>
    <n v="36"/>
    <x v="309"/>
    <s v="gray"/>
    <s v="gray"/>
    <s v="bell lexus"/>
    <n v="25900"/>
    <x v="63"/>
    <s v="Tue Jan 20 2015 04:30:00 GMT-0800 (PST)"/>
    <n v="2015"/>
    <x v="32"/>
    <x v="2"/>
    <s v="Medium"/>
  </r>
  <r>
    <n v="2012"/>
    <x v="12"/>
    <x v="45"/>
    <x v="36"/>
    <x v="8"/>
    <s v="automatic"/>
    <s v="jn1cv6ap0cm629805"/>
    <s v="ca"/>
    <n v="35"/>
    <x v="1344"/>
    <s v="gray"/>
    <s v="gray"/>
    <s v="nissan infiniti lt"/>
    <n v="22600"/>
    <x v="29"/>
    <s v="Thu Dec 18 2014 12:30:00 GMT-0800 (PST)"/>
    <n v="2014"/>
    <x v="50"/>
    <x v="2"/>
    <s v="Medium"/>
  </r>
  <r>
    <n v="2012"/>
    <x v="12"/>
    <x v="44"/>
    <x v="188"/>
    <x v="7"/>
    <s v="automatic"/>
    <s v="jn1cv6ek4cm424146"/>
    <s v="ca"/>
    <n v="41"/>
    <x v="1345"/>
    <s v="black"/>
    <s v="black"/>
    <s v="nissan infiniti lt"/>
    <n v="21600"/>
    <x v="62"/>
    <s v="Thu Dec 18 2014 12:30:00 GMT-0800 (PST)"/>
    <n v="2014"/>
    <x v="359"/>
    <x v="1"/>
    <s v="Medium"/>
  </r>
  <r>
    <n v="2012"/>
    <x v="17"/>
    <x v="73"/>
    <x v="5"/>
    <x v="5"/>
    <s v="automatic"/>
    <s v="wmwsu3c52ct256713"/>
    <s v="ca"/>
    <n v="38"/>
    <x v="1346"/>
    <s v="red"/>
    <s v="black"/>
    <s v="bmw mini financial services"/>
    <n v="13850"/>
    <x v="180"/>
    <s v="Thu Dec 18 2014 12:30:00 GMT-0800 (PST)"/>
    <n v="2014"/>
    <x v="99"/>
    <x v="2"/>
    <s v="Low"/>
  </r>
  <r>
    <n v="2012"/>
    <x v="11"/>
    <x v="210"/>
    <x v="164"/>
    <x v="5"/>
    <s v="automatic"/>
    <s v="jthkd5bh6c2094275"/>
    <s v="ca"/>
    <n v="45"/>
    <x v="1347"/>
    <s v="white"/>
    <s v="brown"/>
    <s v="desert auto trade"/>
    <n v="20600"/>
    <x v="92"/>
    <s v="Tue Dec 16 2014 12:30:00 GMT-0800 (PST)"/>
    <n v="2014"/>
    <x v="374"/>
    <x v="1"/>
    <s v="Medium"/>
  </r>
  <r>
    <n v="2012"/>
    <x v="13"/>
    <x v="57"/>
    <x v="74"/>
    <x v="0"/>
    <s v="automatic"/>
    <s v="1c4hjwdg9cl227569"/>
    <s v="ca"/>
    <n v="38"/>
    <x v="1348"/>
    <s v="red"/>
    <s v="black"/>
    <s v="avis corporation"/>
    <n v="24900"/>
    <x v="85"/>
    <s v="Tue Dec 16 2014 12:30:00 GMT-0800 (PST)"/>
    <n v="2014"/>
    <x v="119"/>
    <x v="2"/>
    <s v="Medium"/>
  </r>
  <r>
    <n v="2012"/>
    <x v="17"/>
    <x v="73"/>
    <x v="5"/>
    <x v="5"/>
    <s v="automatic"/>
    <s v="wmwsu3c59ct256336"/>
    <s v="ca"/>
    <n v="3"/>
    <x v="1349"/>
    <s v="red"/>
    <s v="â€”"/>
    <s v="bmw mini financial services"/>
    <n v="12500"/>
    <x v="11"/>
    <s v="Thu Jan 15 2015 04:30:00 GMT-0800 (PST)"/>
    <n v="2015"/>
    <x v="99"/>
    <x v="0"/>
    <s v="Low"/>
  </r>
  <r>
    <n v="2012"/>
    <x v="16"/>
    <x v="211"/>
    <x v="65"/>
    <x v="1"/>
    <s v="automatic"/>
    <s v="1yvhz8dh4c5m35208"/>
    <s v="ca"/>
    <n v="36"/>
    <x v="1350"/>
    <s v="gray"/>
    <s v="beige"/>
    <s v="exeter finance corp"/>
    <n v="10550"/>
    <x v="74"/>
    <s v="Thu Dec 18 2014 12:00:00 GMT-0800 (PST)"/>
    <n v="2014"/>
    <x v="375"/>
    <x v="2"/>
    <s v="Low"/>
  </r>
  <r>
    <n v="2012"/>
    <x v="19"/>
    <x v="212"/>
    <x v="5"/>
    <x v="1"/>
    <s v="automatic"/>
    <s v="3lnhl2gc3cr814701"/>
    <s v="ca"/>
    <n v="4"/>
    <x v="1351"/>
    <s v="gray"/>
    <s v="black"/>
    <s v="galpin ford studio rentals"/>
    <n v="14650"/>
    <x v="229"/>
    <s v="Tue Dec 16 2014 12:30:00 GMT-0800 (PST)"/>
    <n v="2014"/>
    <x v="376"/>
    <x v="0"/>
    <s v="Low"/>
  </r>
  <r>
    <n v="2012"/>
    <x v="11"/>
    <x v="30"/>
    <x v="5"/>
    <x v="0"/>
    <s v="automatic"/>
    <s v="2t2zk1ba0cc077423"/>
    <s v="ca"/>
    <n v="43"/>
    <x v="1352"/>
    <s v="white"/>
    <s v="beige"/>
    <s v="high bid trading co inc"/>
    <n v="24300"/>
    <x v="114"/>
    <s v="Wed Dec 17 2014 12:15:00 GMT-0800 (PST)"/>
    <n v="2014"/>
    <x v="32"/>
    <x v="1"/>
    <s v="Medium"/>
  </r>
  <r>
    <n v="2012"/>
    <x v="0"/>
    <x v="0"/>
    <x v="0"/>
    <x v="0"/>
    <s v="automatic"/>
    <s v="5xykt3a13cg279841"/>
    <s v="ca"/>
    <n v="48"/>
    <x v="1353"/>
    <s v="silver"/>
    <s v="black"/>
    <s v="kia motors finance"/>
    <n v="11150"/>
    <x v="110"/>
    <s v="Tue Jan 13 2015 12:30:00 GMT-0800 (PST)"/>
    <n v="2015"/>
    <x v="0"/>
    <x v="1"/>
    <s v="Low"/>
  </r>
  <r>
    <n v="2012"/>
    <x v="17"/>
    <x v="72"/>
    <x v="89"/>
    <x v="5"/>
    <s v="manual"/>
    <s v="wmwzg3c51cty32037"/>
    <s v="ca"/>
    <n v="4"/>
    <x v="1354"/>
    <s v="gray"/>
    <s v="brown"/>
    <s v="bmw mini financial services"/>
    <n v="18150"/>
    <x v="226"/>
    <s v="Thu Dec 18 2014 12:30:00 GMT-0800 (PST)"/>
    <n v="2014"/>
    <x v="377"/>
    <x v="0"/>
    <s v="Medium"/>
  </r>
  <r>
    <n v="2012"/>
    <x v="19"/>
    <x v="213"/>
    <x v="5"/>
    <x v="0"/>
    <s v="automatic"/>
    <s v="5lmjj2j53cel03507"/>
    <s v="ca"/>
    <n v="41"/>
    <x v="1355"/>
    <s v="black"/>
    <s v="black"/>
    <s v="ford motor credit company llc pd"/>
    <n v="32200"/>
    <x v="89"/>
    <s v="Thu Dec 18 2014 12:00:00 GMT-0800 (PST)"/>
    <n v="2014"/>
    <x v="378"/>
    <x v="1"/>
    <s v="Medium"/>
  </r>
  <r>
    <n v="2012"/>
    <x v="17"/>
    <x v="73"/>
    <x v="5"/>
    <x v="5"/>
    <s v="automatic"/>
    <s v="wmwsu3c57ct254519"/>
    <s v="ca"/>
    <n v="4"/>
    <x v="1356"/>
    <s v="gray"/>
    <s v="â€”"/>
    <s v="bmw mini financial services"/>
    <n v="13200"/>
    <x v="186"/>
    <s v="Thu Dec 18 2014 12:30:00 GMT-0800 (PST)"/>
    <n v="2014"/>
    <x v="99"/>
    <x v="0"/>
    <s v="Low"/>
  </r>
  <r>
    <n v="2012"/>
    <x v="20"/>
    <x v="205"/>
    <x v="195"/>
    <x v="1"/>
    <s v="automatic"/>
    <s v="sajwa2ge4cmv26361"/>
    <s v="ca"/>
    <n v="33"/>
    <x v="1357"/>
    <s v="black"/>
    <s v="black"/>
    <s v="jpmorgan chase bank n.a."/>
    <n v="50600"/>
    <x v="55"/>
    <s v="Thu Dec 18 2014 12:30:00 GMT-0800 (PST)"/>
    <n v="2014"/>
    <x v="379"/>
    <x v="2"/>
    <s v="Medium"/>
  </r>
  <r>
    <n v="2012"/>
    <x v="11"/>
    <x v="30"/>
    <x v="5"/>
    <x v="0"/>
    <s v="automatic"/>
    <s v="2t2bk1ba5cc146110"/>
    <s v="ca"/>
    <n v="43"/>
    <x v="1358"/>
    <s v="off-white"/>
    <s v="beige"/>
    <s v="century dealer services corp"/>
    <n v="30000"/>
    <x v="291"/>
    <s v="Wed Dec 17 2014 12:15:00 GMT-0800 (PST)"/>
    <n v="2014"/>
    <x v="32"/>
    <x v="1"/>
    <s v="Medium"/>
  </r>
  <r>
    <n v="2012"/>
    <x v="12"/>
    <x v="45"/>
    <x v="36"/>
    <x v="8"/>
    <s v="automatic"/>
    <s v="jn1cv6ap5cm930375"/>
    <s v="ca"/>
    <n v="42"/>
    <x v="1359"/>
    <s v="blue"/>
    <s v="black"/>
    <s v="nissan infiniti lt"/>
    <n v="21400"/>
    <x v="63"/>
    <s v="Thu Dec 18 2014 12:30:00 GMT-0800 (PST)"/>
    <n v="2014"/>
    <x v="50"/>
    <x v="1"/>
    <s v="Medium"/>
  </r>
  <r>
    <n v="2012"/>
    <x v="0"/>
    <x v="75"/>
    <x v="54"/>
    <x v="5"/>
    <s v="automatic"/>
    <s v="knafw5a33c5593985"/>
    <s v="ca"/>
    <n v="24"/>
    <x v="1360"/>
    <s v="black"/>
    <s v="black"/>
    <s v="kia motors finance"/>
    <n v="8500"/>
    <x v="193"/>
    <s v="Tue Jan 13 2015 12:30:00 GMT-0800 (PST)"/>
    <n v="2015"/>
    <x v="380"/>
    <x v="2"/>
    <s v="Low"/>
  </r>
  <r>
    <n v="2012"/>
    <x v="0"/>
    <x v="84"/>
    <x v="69"/>
    <x v="0"/>
    <s v="automatic"/>
    <s v="kndpc3a21c7247742"/>
    <s v="ca"/>
    <n v="38"/>
    <x v="1361"/>
    <s v="blue"/>
    <s v="gray"/>
    <s v="i auto sales inc"/>
    <n v="16000"/>
    <x v="101"/>
    <s v="Thu Dec 18 2014 12:00:00 GMT-0800 (PST)"/>
    <n v="2014"/>
    <x v="381"/>
    <x v="2"/>
    <s v="Low"/>
  </r>
  <r>
    <n v="2012"/>
    <x v="16"/>
    <x v="211"/>
    <x v="196"/>
    <x v="1"/>
    <s v="automatic"/>
    <s v="1yvhz8ch9c5m09768"/>
    <s v="ca"/>
    <n v="41"/>
    <x v="1362"/>
    <s v="white"/>
    <s v="beige"/>
    <s v="jpmorgan chase bank n.a."/>
    <n v="14800"/>
    <x v="188"/>
    <s v="Tue Dec 16 2014 12:30:00 GMT-0800 (PST)"/>
    <n v="2014"/>
    <x v="382"/>
    <x v="1"/>
    <s v="Low"/>
  </r>
  <r>
    <n v="2012"/>
    <x v="17"/>
    <x v="73"/>
    <x v="5"/>
    <x v="5"/>
    <s v="automatic"/>
    <s v="wmwsu3c59ct259088"/>
    <s v="ca"/>
    <n v="42"/>
    <x v="1363"/>
    <s v="brown"/>
    <s v="â€”"/>
    <s v="bmw mini financial services"/>
    <n v="15100"/>
    <x v="318"/>
    <s v="Thu Dec 18 2014 12:30:00 GMT-0800 (PST)"/>
    <n v="2014"/>
    <x v="99"/>
    <x v="1"/>
    <s v="Low"/>
  </r>
  <r>
    <n v="2012"/>
    <x v="19"/>
    <x v="213"/>
    <x v="5"/>
    <x v="0"/>
    <m/>
    <s v="5lmjj2j57cel00156"/>
    <s v="ca"/>
    <n v="44"/>
    <x v="1364"/>
    <s v="black"/>
    <s v="black"/>
    <s v="ford motor credit company llc pd"/>
    <n v="35100"/>
    <x v="23"/>
    <s v="Thu Dec 18 2014 12:00:00 GMT-0800 (PST)"/>
    <n v="2014"/>
    <x v="378"/>
    <x v="1"/>
    <s v="Medium"/>
  </r>
  <r>
    <n v="2012"/>
    <x v="17"/>
    <x v="73"/>
    <x v="5"/>
    <x v="5"/>
    <s v="automatic"/>
    <s v="wmwsu3c5xct256359"/>
    <s v="ca"/>
    <n v="39"/>
    <x v="1365"/>
    <s v="gray"/>
    <s v="â€”"/>
    <s v="bmw mini financial services"/>
    <n v="14900"/>
    <x v="173"/>
    <s v="Thu Dec 18 2014 12:30:00 GMT-0800 (PST)"/>
    <n v="2014"/>
    <x v="99"/>
    <x v="2"/>
    <s v="Low"/>
  </r>
  <r>
    <n v="2012"/>
    <x v="13"/>
    <x v="85"/>
    <x v="197"/>
    <x v="0"/>
    <s v="automatic"/>
    <s v="1c4rjeag0cc116413"/>
    <s v="ca"/>
    <n v="44"/>
    <x v="1366"/>
    <s v="black"/>
    <s v="black"/>
    <s v="fiserv/usb dealer services northstar exchange"/>
    <n v="16250"/>
    <x v="130"/>
    <s v="Tue Dec 16 2014 12:30:00 GMT-0800 (PST)"/>
    <n v="2014"/>
    <x v="383"/>
    <x v="1"/>
    <s v="Medium"/>
  </r>
  <r>
    <n v="2012"/>
    <x v="11"/>
    <x v="30"/>
    <x v="5"/>
    <x v="0"/>
    <s v="automatic"/>
    <s v="2t2zk1ba5cc069236"/>
    <s v="ca"/>
    <n v="42"/>
    <x v="1367"/>
    <s v="gray"/>
    <s v="gray"/>
    <s v="lease remarketing services inc"/>
    <n v="27400"/>
    <x v="34"/>
    <s v="Wed Dec 17 2014 12:30:00 GMT-0800 (PST)"/>
    <n v="2014"/>
    <x v="32"/>
    <x v="1"/>
    <s v="Medium"/>
  </r>
  <r>
    <n v="2012"/>
    <x v="17"/>
    <x v="73"/>
    <x v="5"/>
    <x v="5"/>
    <s v="manual"/>
    <s v="wmwsu3c51ct184970"/>
    <s v="ca"/>
    <n v="38"/>
    <x v="1368"/>
    <s v="red"/>
    <s v="black"/>
    <s v="bmw mini financial services"/>
    <n v="13800"/>
    <x v="229"/>
    <s v="Thu Dec 18 2014 12:30:00 GMT-0800 (PST)"/>
    <n v="2014"/>
    <x v="99"/>
    <x v="2"/>
    <s v="Low"/>
  </r>
  <r>
    <n v="2012"/>
    <x v="13"/>
    <x v="57"/>
    <x v="74"/>
    <x v="0"/>
    <s v="automatic"/>
    <s v="1c4bjwdg4cl192882"/>
    <s v="ca"/>
    <n v="33"/>
    <x v="1369"/>
    <s v="white"/>
    <s v="black"/>
    <s v="the hertz corporation"/>
    <n v="23100"/>
    <x v="351"/>
    <s v="Thu Dec 18 2014 11:30:00 GMT-0800 (PST)"/>
    <n v="2014"/>
    <x v="119"/>
    <x v="2"/>
    <s v="Medium"/>
  </r>
  <r>
    <n v="2012"/>
    <x v="11"/>
    <x v="207"/>
    <x v="5"/>
    <x v="1"/>
    <s v="automatic"/>
    <s v="jthbf5c25c5169633"/>
    <s v="ca"/>
    <n v="22"/>
    <x v="1370"/>
    <s v="gray"/>
    <s v="black"/>
    <s v="lexus financial services"/>
    <n v="21300"/>
    <x v="103"/>
    <s v="Tue Dec 23 2014 12:30:00 GMT-0800 (PST)"/>
    <n v="2014"/>
    <x v="370"/>
    <x v="2"/>
    <s v="Medium"/>
  </r>
  <r>
    <n v="2012"/>
    <x v="20"/>
    <x v="205"/>
    <x v="5"/>
    <x v="1"/>
    <s v="automatic"/>
    <s v="sajwa1cb8clv28495"/>
    <s v="ca"/>
    <n v="42"/>
    <x v="1371"/>
    <s v="silver"/>
    <s v="black"/>
    <s v="desert auto trade"/>
    <n v="41000"/>
    <x v="305"/>
    <s v="Tue Dec 16 2014 12:30:00 GMT-0800 (PST)"/>
    <n v="2014"/>
    <x v="367"/>
    <x v="1"/>
    <s v="Medium"/>
  </r>
  <r>
    <n v="2012"/>
    <x v="17"/>
    <x v="73"/>
    <x v="5"/>
    <x v="5"/>
    <s v="automatic"/>
    <s v="wmwsu3c55ct256804"/>
    <s v="ca"/>
    <n v="39"/>
    <x v="1372"/>
    <s v="white"/>
    <s v="â€”"/>
    <s v="bmw mini financial services"/>
    <n v="14300"/>
    <x v="180"/>
    <s v="Thu Dec 18 2014 12:30:00 GMT-0800 (PST)"/>
    <n v="2014"/>
    <x v="99"/>
    <x v="2"/>
    <s v="Low"/>
  </r>
  <r>
    <n v="2012"/>
    <x v="20"/>
    <x v="208"/>
    <x v="193"/>
    <x v="2"/>
    <s v="automatic"/>
    <s v="sajwa4ec0cmb46109"/>
    <s v="ca"/>
    <n v="38"/>
    <x v="101"/>
    <s v="gray"/>
    <s v="black"/>
    <s v="jpmorgan chase bank n.a."/>
    <n v="53800"/>
    <x v="352"/>
    <s v="Thu Dec 18 2014 12:30:00 GMT-0800 (PST)"/>
    <n v="2014"/>
    <x v="372"/>
    <x v="2"/>
    <s v="High"/>
  </r>
  <r>
    <n v="2012"/>
    <x v="12"/>
    <x v="45"/>
    <x v="67"/>
    <x v="8"/>
    <s v="automatic"/>
    <s v="jn1cv6ar1cm673846"/>
    <s v="ca"/>
    <n v="29"/>
    <x v="1373"/>
    <s v="gray"/>
    <s v="black"/>
    <s v="the hertz corporation"/>
    <n v="17800"/>
    <x v="48"/>
    <s v="Thu Feb 19 2015 11:30:00 GMT-0800 (PST)"/>
    <n v="2015"/>
    <x v="106"/>
    <x v="2"/>
    <s v="Low"/>
  </r>
  <r>
    <n v="2012"/>
    <x v="12"/>
    <x v="45"/>
    <x v="36"/>
    <x v="8"/>
    <s v="automatic"/>
    <s v="jn1cv6ap8cm620642"/>
    <s v="ca"/>
    <n v="34"/>
    <x v="1374"/>
    <s v="black"/>
    <s v="black"/>
    <s v="nissan infiniti lt"/>
    <n v="21300"/>
    <x v="185"/>
    <s v="Thu Dec 18 2014 12:30:00 GMT-0800 (PST)"/>
    <n v="2014"/>
    <x v="50"/>
    <x v="2"/>
    <s v="Medium"/>
  </r>
  <r>
    <n v="2012"/>
    <x v="17"/>
    <x v="72"/>
    <x v="89"/>
    <x v="5"/>
    <s v="automatic"/>
    <s v="wmwzg3c51cty37657"/>
    <s v="ca"/>
    <n v="33"/>
    <x v="1375"/>
    <s v="blue"/>
    <s v="â€”"/>
    <s v="bmw mini financial services"/>
    <n v="16950"/>
    <x v="226"/>
    <s v="Thu Dec 18 2014 12:30:00 GMT-0800 (PST)"/>
    <n v="2014"/>
    <x v="377"/>
    <x v="2"/>
    <s v="Medium"/>
  </r>
  <r>
    <n v="2012"/>
    <x v="14"/>
    <x v="61"/>
    <x v="56"/>
    <x v="1"/>
    <s v="automatic"/>
    <s v="wddgf4hb2ca657803"/>
    <s v="ca"/>
    <n v="38"/>
    <x v="1376"/>
    <s v="white"/>
    <s v="beige"/>
    <s v="elad motors"/>
    <n v="20300"/>
    <x v="120"/>
    <s v="Tue Dec 30 2014 00:00:00 GMT-0800 (PST)"/>
    <n v="2014"/>
    <x v="87"/>
    <x v="2"/>
    <s v="Medium"/>
  </r>
  <r>
    <n v="2012"/>
    <x v="12"/>
    <x v="45"/>
    <x v="36"/>
    <x v="8"/>
    <s v="automatic"/>
    <s v="jn1cv6ap4cm622002"/>
    <s v="ca"/>
    <n v="24"/>
    <x v="1377"/>
    <s v="black"/>
    <s v="black"/>
    <s v="nissan infiniti lt"/>
    <n v="21100"/>
    <x v="27"/>
    <s v="Tue Dec 16 2014 12:30:00 GMT-0800 (PST)"/>
    <n v="2014"/>
    <x v="50"/>
    <x v="2"/>
    <s v="Medium"/>
  </r>
  <r>
    <n v="2012"/>
    <x v="12"/>
    <x v="64"/>
    <x v="198"/>
    <x v="1"/>
    <s v="automatic"/>
    <s v="jn1ey1ap8cm910589"/>
    <s v="ca"/>
    <n v="44"/>
    <x v="1378"/>
    <s v="white"/>
    <s v="gray"/>
    <s v="nissan infiniti lt"/>
    <n v="24700"/>
    <x v="282"/>
    <s v="Thu Jan 15 2015 04:30:00 GMT-0800 (PST)"/>
    <n v="2015"/>
    <x v="384"/>
    <x v="1"/>
    <s v="Medium"/>
  </r>
  <r>
    <n v="2012"/>
    <x v="20"/>
    <x v="208"/>
    <x v="5"/>
    <x v="3"/>
    <s v="automatic"/>
    <s v="sajwa4fb2clb47841"/>
    <s v="ca"/>
    <n v="21"/>
    <x v="1379"/>
    <s v="black"/>
    <s v="black"/>
    <s v="jpmorgan chase bank n.a."/>
    <n v="48500"/>
    <x v="353"/>
    <s v="Thu Dec 18 2014 12:30:00 GMT-0800 (PST)"/>
    <n v="2014"/>
    <x v="385"/>
    <x v="2"/>
    <s v="Medium"/>
  </r>
  <r>
    <n v="2012"/>
    <x v="14"/>
    <x v="70"/>
    <x v="84"/>
    <x v="2"/>
    <s v="automatic"/>
    <s v="wddkk5kf8cf165819"/>
    <s v="ca"/>
    <n v="35"/>
    <x v="1380"/>
    <s v="white"/>
    <s v="black"/>
    <s v="the hertz corporation"/>
    <n v="30000"/>
    <x v="354"/>
    <s v="Wed Jan 07 2015 12:30:00 GMT-0800 (PST)"/>
    <n v="2015"/>
    <x v="136"/>
    <x v="2"/>
    <s v="Medium"/>
  </r>
  <r>
    <n v="2012"/>
    <x v="12"/>
    <x v="45"/>
    <x v="36"/>
    <x v="8"/>
    <s v="manual"/>
    <s v="jn1cv6ap2cm627697"/>
    <s v="ca"/>
    <n v="35"/>
    <x v="1381"/>
    <s v="black"/>
    <s v="black"/>
    <s v="nissan infiniti lt"/>
    <n v="22000"/>
    <x v="113"/>
    <s v="Tue Jan 06 2015 04:30:00 GMT-0800 (PST)"/>
    <n v="2015"/>
    <x v="50"/>
    <x v="2"/>
    <s v="Medium"/>
  </r>
  <r>
    <n v="2012"/>
    <x v="17"/>
    <x v="73"/>
    <x v="5"/>
    <x v="5"/>
    <s v="manual"/>
    <s v="wmwsu3c53ct185814"/>
    <s v="ca"/>
    <n v="38"/>
    <x v="1382"/>
    <s v="red"/>
    <s v="â€”"/>
    <s v="bmw mini financial services"/>
    <n v="12800"/>
    <x v="80"/>
    <s v="Tue Jan 27 2015 04:30:00 GMT-0800 (PST)"/>
    <n v="2015"/>
    <x v="99"/>
    <x v="2"/>
    <s v="Low"/>
  </r>
  <r>
    <n v="2012"/>
    <x v="14"/>
    <x v="61"/>
    <x v="56"/>
    <x v="1"/>
    <s v="automatic"/>
    <s v="wddgf4hbxcr216065"/>
    <s v="ca"/>
    <n v="28"/>
    <x v="1383"/>
    <s v="silver"/>
    <s v="black"/>
    <s v="mercedes-benz financial services"/>
    <n v="23800"/>
    <x v="63"/>
    <s v="Thu Dec 18 2014 12:30:00 GMT-0800 (PST)"/>
    <n v="2014"/>
    <x v="87"/>
    <x v="2"/>
    <s v="Medium"/>
  </r>
  <r>
    <n v="2012"/>
    <x v="17"/>
    <x v="73"/>
    <x v="89"/>
    <x v="5"/>
    <s v="automatic"/>
    <s v="wmwsv3c52ct385841"/>
    <s v="ca"/>
    <n v="35"/>
    <x v="1384"/>
    <s v="blue"/>
    <s v="â€”"/>
    <s v="bmw mini financial services"/>
    <n v="15500"/>
    <x v="255"/>
    <s v="Thu Dec 18 2014 12:30:00 GMT-0800 (PST)"/>
    <n v="2014"/>
    <x v="386"/>
    <x v="2"/>
    <s v="Low"/>
  </r>
  <r>
    <n v="2012"/>
    <x v="12"/>
    <x v="45"/>
    <x v="36"/>
    <x v="8"/>
    <s v="automatic"/>
    <s v="jn1cv6ap4cm931985"/>
    <s v="ca"/>
    <n v="38"/>
    <x v="1385"/>
    <s v="black"/>
    <s v="gray"/>
    <s v="nissan infiniti lt"/>
    <n v="22900"/>
    <x v="40"/>
    <s v="Thu Dec 18 2014 12:30:00 GMT-0800 (PST)"/>
    <n v="2014"/>
    <x v="50"/>
    <x v="2"/>
    <s v="Medium"/>
  </r>
  <r>
    <n v="2012"/>
    <x v="12"/>
    <x v="64"/>
    <x v="58"/>
    <x v="1"/>
    <s v="automatic"/>
    <s v="jn1by1ap5cm332129"/>
    <s v="ca"/>
    <n v="45"/>
    <x v="1386"/>
    <s v="gray"/>
    <s v="black"/>
    <s v="nissan infiniti lt"/>
    <n v="28200"/>
    <x v="86"/>
    <s v="Thu Dec 18 2014 12:30:00 GMT-0800 (PST)"/>
    <n v="2014"/>
    <x v="89"/>
    <x v="1"/>
    <s v="Medium"/>
  </r>
  <r>
    <n v="2012"/>
    <x v="20"/>
    <x v="88"/>
    <x v="199"/>
    <x v="1"/>
    <s v="automatic"/>
    <s v="sajwa0hb0cls24919"/>
    <s v="ca"/>
    <n v="39"/>
    <x v="1387"/>
    <s v="black"/>
    <s v="brown"/>
    <s v="jpmorgan chase bank n.a."/>
    <n v="29900"/>
    <x v="32"/>
    <s v="Thu Dec 18 2014 12:30:00 GMT-0800 (PST)"/>
    <n v="2014"/>
    <x v="387"/>
    <x v="2"/>
    <s v="Medium"/>
  </r>
  <r>
    <n v="2012"/>
    <x v="12"/>
    <x v="64"/>
    <x v="58"/>
    <x v="1"/>
    <s v="automatic"/>
    <s v="jn1by1ap1cm332208"/>
    <s v="ca"/>
    <n v="41"/>
    <x v="1388"/>
    <s v="â€”"/>
    <s v="beige"/>
    <s v="nissan infiniti lt"/>
    <n v="25600"/>
    <x v="146"/>
    <s v="Thu Dec 18 2014 12:30:00 GMT-0800 (PST)"/>
    <n v="2014"/>
    <x v="89"/>
    <x v="1"/>
    <s v="Medium"/>
  </r>
  <r>
    <n v="2012"/>
    <x v="16"/>
    <x v="74"/>
    <x v="57"/>
    <x v="0"/>
    <s v="automatic"/>
    <s v="jm3tb3cvxc0358928"/>
    <s v="ca"/>
    <n v="42"/>
    <x v="1389"/>
    <s v="black"/>
    <s v="black"/>
    <s v="jpmorgan chase bank n.a."/>
    <n v="22000"/>
    <x v="20"/>
    <s v="Tue Dec 16 2014 12:30:00 GMT-0800 (PST)"/>
    <n v="2014"/>
    <x v="100"/>
    <x v="1"/>
    <s v="Medium"/>
  </r>
  <r>
    <n v="2012"/>
    <x v="12"/>
    <x v="64"/>
    <x v="58"/>
    <x v="1"/>
    <s v="automatic"/>
    <s v="jn1by1ap7cm333976"/>
    <s v="ca"/>
    <n v="42"/>
    <x v="766"/>
    <s v="â€”"/>
    <s v="black"/>
    <s v="nissan infiniti lt"/>
    <n v="26600"/>
    <x v="56"/>
    <s v="Thu Jan 15 2015 04:30:00 GMT-0800 (PST)"/>
    <n v="2015"/>
    <x v="89"/>
    <x v="1"/>
    <s v="Medium"/>
  </r>
  <r>
    <n v="2012"/>
    <x v="0"/>
    <x v="84"/>
    <x v="69"/>
    <x v="0"/>
    <s v="automatic"/>
    <s v="kndpc3a25c7335550"/>
    <s v="ca"/>
    <n v="41"/>
    <x v="1390"/>
    <s v="black"/>
    <s v="gray"/>
    <s v="remarketing by ge/manheim southern california"/>
    <n v="16700"/>
    <x v="68"/>
    <s v="Fri Dec 26 2014 15:00:00 GMT-0800 (PST)"/>
    <n v="2014"/>
    <x v="381"/>
    <x v="1"/>
    <s v="Low"/>
  </r>
  <r>
    <n v="2012"/>
    <x v="14"/>
    <x v="70"/>
    <x v="84"/>
    <x v="3"/>
    <s v="automatic"/>
    <s v="wddkj5kb7cf139695"/>
    <s v="ca"/>
    <n v="4"/>
    <x v="1391"/>
    <s v="white"/>
    <s v="gray"/>
    <s v="mercedes-benz usa"/>
    <n v="29500"/>
    <x v="118"/>
    <s v="Thu Dec 18 2014 12:00:00 GMT-0800 (PST)"/>
    <n v="2014"/>
    <x v="136"/>
    <x v="0"/>
    <s v="Medium"/>
  </r>
  <r>
    <n v="2012"/>
    <x v="12"/>
    <x v="64"/>
    <x v="58"/>
    <x v="1"/>
    <s v="automatic"/>
    <s v="jn1by1ap1cm331995"/>
    <s v="ca"/>
    <n v="41"/>
    <x v="1392"/>
    <s v="gray"/>
    <s v="â€”"/>
    <s v="nissan infiniti lt"/>
    <n v="27300"/>
    <x v="87"/>
    <s v="Tue Dec 23 2014 12:30:00 GMT-0800 (PST)"/>
    <n v="2014"/>
    <x v="89"/>
    <x v="1"/>
    <s v="Medium"/>
  </r>
  <r>
    <n v="2012"/>
    <x v="17"/>
    <x v="73"/>
    <x v="5"/>
    <x v="5"/>
    <s v="manual"/>
    <s v="wmwsu3c52ct367469"/>
    <s v="ca"/>
    <n v="41"/>
    <x v="1393"/>
    <s v="white"/>
    <s v="black"/>
    <s v="bmw mini financial services"/>
    <n v="15050"/>
    <x v="247"/>
    <s v="Thu Dec 18 2014 12:30:00 GMT-0800 (PST)"/>
    <n v="2014"/>
    <x v="99"/>
    <x v="1"/>
    <s v="Low"/>
  </r>
  <r>
    <n v="2012"/>
    <x v="17"/>
    <x v="73"/>
    <x v="5"/>
    <x v="5"/>
    <s v="automatic"/>
    <s v="wmwsu3c53ct255652"/>
    <s v="ca"/>
    <n v="43"/>
    <x v="1394"/>
    <s v="blue"/>
    <s v="black"/>
    <s v="bmw mini financial services"/>
    <n v="14900"/>
    <x v="186"/>
    <s v="Thu Dec 18 2014 12:30:00 GMT-0800 (PST)"/>
    <n v="2014"/>
    <x v="99"/>
    <x v="1"/>
    <s v="Low"/>
  </r>
  <r>
    <n v="2012"/>
    <x v="16"/>
    <x v="71"/>
    <x v="70"/>
    <x v="1"/>
    <s v="automatic"/>
    <s v="jm1bl1ug0c1554005"/>
    <s v="ca"/>
    <n v="43"/>
    <x v="1395"/>
    <s v="gray"/>
    <s v="black"/>
    <s v="jpmorgan chase bank n.a."/>
    <n v="10350"/>
    <x v="186"/>
    <s v="Tue Dec 16 2014 12:30:00 GMT-0800 (PST)"/>
    <n v="2014"/>
    <x v="112"/>
    <x v="1"/>
    <s v="Low"/>
  </r>
  <r>
    <n v="2012"/>
    <x v="0"/>
    <x v="0"/>
    <x v="0"/>
    <x v="0"/>
    <s v="automatic"/>
    <s v="5xykt3a64cg309425"/>
    <s v="ca"/>
    <n v="48"/>
    <x v="1396"/>
    <s v="white"/>
    <s v="beige"/>
    <s v="kia motors america  inc"/>
    <n v="12550"/>
    <x v="239"/>
    <s v="Tue Dec 16 2014 12:30:00 GMT-0800 (PST)"/>
    <n v="2014"/>
    <x v="0"/>
    <x v="1"/>
    <s v="Low"/>
  </r>
  <r>
    <n v="2012"/>
    <x v="17"/>
    <x v="73"/>
    <x v="5"/>
    <x v="5"/>
    <s v="automatic"/>
    <s v="wmwsu3c57ct259784"/>
    <s v="ca"/>
    <n v="38"/>
    <x v="1397"/>
    <s v="green"/>
    <s v="black"/>
    <s v="bmw mini financial services"/>
    <n v="13000"/>
    <x v="186"/>
    <s v="Thu Dec 18 2014 12:30:00 GMT-0800 (PST)"/>
    <n v="2014"/>
    <x v="99"/>
    <x v="2"/>
    <s v="Low"/>
  </r>
  <r>
    <n v="2012"/>
    <x v="17"/>
    <x v="73"/>
    <x v="5"/>
    <x v="5"/>
    <s v="automatic"/>
    <s v="wmwsu3c52ct261510"/>
    <s v="ca"/>
    <n v="44"/>
    <x v="1398"/>
    <s v="blue"/>
    <s v="â€”"/>
    <s v="bmw mini financial services"/>
    <n v="14800"/>
    <x v="245"/>
    <s v="Thu Dec 18 2014 12:30:00 GMT-0800 (PST)"/>
    <n v="2014"/>
    <x v="99"/>
    <x v="1"/>
    <s v="Low"/>
  </r>
  <r>
    <n v="2012"/>
    <x v="14"/>
    <x v="61"/>
    <x v="56"/>
    <x v="1"/>
    <s v="automatic"/>
    <s v="wddgf4hbxca673179"/>
    <s v="ca"/>
    <n v="35"/>
    <x v="1399"/>
    <s v="white"/>
    <s v="black"/>
    <s v="mercedes-benz financial services"/>
    <n v="21700"/>
    <x v="40"/>
    <s v="Thu Dec 18 2014 12:30:00 GMT-0800 (PST)"/>
    <n v="2014"/>
    <x v="87"/>
    <x v="2"/>
    <s v="Medium"/>
  </r>
  <r>
    <n v="2012"/>
    <x v="0"/>
    <x v="75"/>
    <x v="54"/>
    <x v="1"/>
    <s v="automatic"/>
    <s v="knafw4a3xc5550402"/>
    <s v="ca"/>
    <n v="2"/>
    <x v="1400"/>
    <s v="black"/>
    <s v="black"/>
    <s v="remarketing by ge/southern california financial"/>
    <n v="11650"/>
    <x v="82"/>
    <s v="Tue Dec 16 2014 12:00:00 GMT-0800 (PST)"/>
    <n v="2014"/>
    <x v="380"/>
    <x v="0"/>
    <s v="Low"/>
  </r>
  <r>
    <n v="2012"/>
    <x v="18"/>
    <x v="214"/>
    <x v="200"/>
    <x v="0"/>
    <s v="automatic"/>
    <s v="salme1d45ca360653"/>
    <s v="ca"/>
    <n v="36"/>
    <x v="1401"/>
    <s v="black"/>
    <s v="black"/>
    <s v="us bank"/>
    <n v="41900"/>
    <x v="271"/>
    <s v="Thu Jan 15 2015 04:30:00 GMT-0800 (PST)"/>
    <n v="2015"/>
    <x v="388"/>
    <x v="2"/>
    <s v="Medium"/>
  </r>
  <r>
    <n v="2012"/>
    <x v="20"/>
    <x v="88"/>
    <x v="199"/>
    <x v="1"/>
    <s v="automatic"/>
    <s v="sajwa0hb5cls22759"/>
    <s v="ca"/>
    <n v="34"/>
    <x v="1402"/>
    <s v="blue"/>
    <s v="brown"/>
    <s v="jaguar land rover thousand oaks"/>
    <n v="33300"/>
    <x v="7"/>
    <s v="Tue Dec 16 2014 12:30:00 GMT-0800 (PST)"/>
    <n v="2014"/>
    <x v="387"/>
    <x v="2"/>
    <s v="Medium"/>
  </r>
  <r>
    <n v="2012"/>
    <x v="12"/>
    <x v="45"/>
    <x v="36"/>
    <x v="8"/>
    <s v="automatic"/>
    <s v="jn1cv6ap2cm933184"/>
    <s v="ca"/>
    <n v="42"/>
    <x v="1403"/>
    <s v="black"/>
    <s v="black"/>
    <s v="nissan infiniti lt"/>
    <n v="22600"/>
    <x v="102"/>
    <s v="Thu Dec 18 2014 12:30:00 GMT-0800 (PST)"/>
    <n v="2014"/>
    <x v="50"/>
    <x v="1"/>
    <s v="Medium"/>
  </r>
  <r>
    <n v="2012"/>
    <x v="17"/>
    <x v="91"/>
    <x v="201"/>
    <x v="4"/>
    <s v="automatic"/>
    <s v="wmwzc5c52cwl56077"/>
    <s v="ca"/>
    <n v="36"/>
    <x v="1404"/>
    <s v="green"/>
    <s v="â€”"/>
    <s v="bmw mini financial services"/>
    <n v="20200"/>
    <x v="73"/>
    <s v="Thu Jan 15 2015 04:30:00 GMT-0800 (PST)"/>
    <n v="2015"/>
    <x v="389"/>
    <x v="2"/>
    <s v="Medium"/>
  </r>
  <r>
    <n v="2012"/>
    <x v="12"/>
    <x v="44"/>
    <x v="188"/>
    <x v="7"/>
    <s v="automatic"/>
    <s v="jn1cv6ek2cm422587"/>
    <s v="ca"/>
    <n v="34"/>
    <x v="1405"/>
    <s v="white"/>
    <s v="gray"/>
    <s v="nissan infiniti lt"/>
    <n v="21000"/>
    <x v="29"/>
    <s v="Thu Dec 18 2014 12:30:00 GMT-0800 (PST)"/>
    <n v="2014"/>
    <x v="359"/>
    <x v="2"/>
    <s v="Medium"/>
  </r>
  <r>
    <n v="2012"/>
    <x v="0"/>
    <x v="0"/>
    <x v="0"/>
    <x v="0"/>
    <s v="automatic"/>
    <s v="5xykt3a69cg304916"/>
    <s v="ca"/>
    <n v="36"/>
    <x v="1406"/>
    <s v="silver"/>
    <s v="black"/>
    <s v="kia motors finance"/>
    <n v="13950"/>
    <x v="205"/>
    <s v="Tue Dec 16 2014 12:00:00 GMT-0800 (PST)"/>
    <n v="2014"/>
    <x v="0"/>
    <x v="2"/>
    <s v="Low"/>
  </r>
  <r>
    <n v="2012"/>
    <x v="17"/>
    <x v="73"/>
    <x v="89"/>
    <x v="2"/>
    <s v="automatic"/>
    <s v="wmwzp3c50ct250544"/>
    <s v="ca"/>
    <n v="37"/>
    <x v="1407"/>
    <s v="blue"/>
    <s v="â€”"/>
    <s v="bmw mini financial services"/>
    <n v="17900"/>
    <x v="122"/>
    <s v="Thu Dec 18 2014 12:30:00 GMT-0800 (PST)"/>
    <n v="2014"/>
    <x v="386"/>
    <x v="2"/>
    <s v="Medium"/>
  </r>
  <r>
    <n v="2012"/>
    <x v="12"/>
    <x v="45"/>
    <x v="36"/>
    <x v="8"/>
    <s v="automatic"/>
    <s v="jn1cv6ap0cm620196"/>
    <s v="ca"/>
    <n v="4"/>
    <x v="1408"/>
    <s v="black"/>
    <s v="black"/>
    <s v="nissan infiniti lt"/>
    <n v="21600"/>
    <x v="78"/>
    <s v="Thu Dec 18 2014 12:30:00 GMT-0800 (PST)"/>
    <n v="2014"/>
    <x v="50"/>
    <x v="0"/>
    <s v="Medium"/>
  </r>
  <r>
    <n v="2012"/>
    <x v="0"/>
    <x v="10"/>
    <x v="54"/>
    <x v="1"/>
    <s v="automatic"/>
    <s v="5xxgr4a62cg078250"/>
    <s v="ca"/>
    <n v="37"/>
    <x v="1409"/>
    <s v="gray"/>
    <s v="black"/>
    <s v="kia motors finance"/>
    <n v="16200"/>
    <x v="111"/>
    <s v="Tue Dec 16 2014 12:00:00 GMT-0800 (PST)"/>
    <n v="2014"/>
    <x v="83"/>
    <x v="2"/>
    <s v="Low"/>
  </r>
  <r>
    <n v="2012"/>
    <x v="17"/>
    <x v="73"/>
    <x v="5"/>
    <x v="5"/>
    <s v="automatic"/>
    <s v="wmwsu3c5xct256149"/>
    <s v="ca"/>
    <n v="37"/>
    <x v="1410"/>
    <s v="blue"/>
    <s v="â€”"/>
    <s v="bmw mini financial services"/>
    <n v="14050"/>
    <x v="239"/>
    <s v="Thu Dec 18 2014 12:30:00 GMT-0800 (PST)"/>
    <n v="2014"/>
    <x v="99"/>
    <x v="2"/>
    <s v="Low"/>
  </r>
  <r>
    <n v="2012"/>
    <x v="12"/>
    <x v="64"/>
    <x v="58"/>
    <x v="1"/>
    <s v="automatic"/>
    <s v="jn1by1ap0cm332278"/>
    <s v="ca"/>
    <n v="41"/>
    <x v="1411"/>
    <s v="gray"/>
    <s v="black"/>
    <s v="nissan infiniti lt"/>
    <n v="27500"/>
    <x v="95"/>
    <s v="Thu Dec 18 2014 12:30:00 GMT-0800 (PST)"/>
    <n v="2014"/>
    <x v="89"/>
    <x v="1"/>
    <s v="Medium"/>
  </r>
  <r>
    <n v="2012"/>
    <x v="13"/>
    <x v="85"/>
    <x v="197"/>
    <x v="0"/>
    <s v="automatic"/>
    <s v="1c4rjeag5cc212439"/>
    <s v="ca"/>
    <n v="39"/>
    <x v="1412"/>
    <s v="silver"/>
    <s v="beige"/>
    <s v="jpmorgan chase bank n.a."/>
    <n v="14550"/>
    <x v="239"/>
    <s v="Thu Dec 18 2014 12:00:00 GMT-0800 (PST)"/>
    <n v="2014"/>
    <x v="383"/>
    <x v="2"/>
    <s v="Low"/>
  </r>
  <r>
    <n v="2012"/>
    <x v="17"/>
    <x v="73"/>
    <x v="89"/>
    <x v="5"/>
    <s v="manual"/>
    <s v="wmwsv3c58cty26856"/>
    <s v="ca"/>
    <n v="4"/>
    <x v="1413"/>
    <s v="blue"/>
    <s v="â€”"/>
    <s v="bmw mini financial services"/>
    <n v="16100"/>
    <x v="320"/>
    <s v="Thu Jan 15 2015 04:30:00 GMT-0800 (PST)"/>
    <n v="2015"/>
    <x v="386"/>
    <x v="0"/>
    <s v="Low"/>
  </r>
  <r>
    <n v="2012"/>
    <x v="20"/>
    <x v="88"/>
    <x v="5"/>
    <x v="1"/>
    <s v="automatic"/>
    <s v="sajwa0fb3cls57383"/>
    <s v="ca"/>
    <n v="44"/>
    <x v="1414"/>
    <s v="white"/>
    <s v="beige"/>
    <s v="high bid trading co inc"/>
    <n v="29400"/>
    <x v="32"/>
    <s v="Thu Dec 18 2014 12:00:00 GMT-0800 (PST)"/>
    <n v="2014"/>
    <x v="126"/>
    <x v="1"/>
    <s v="Medium"/>
  </r>
  <r>
    <n v="2012"/>
    <x v="0"/>
    <x v="75"/>
    <x v="202"/>
    <x v="25"/>
    <s v="automatic"/>
    <s v="knafu6a20c5640974"/>
    <s v="ca"/>
    <n v="38"/>
    <x v="1415"/>
    <s v="white"/>
    <s v="black"/>
    <s v="kia motors finance"/>
    <n v="9750"/>
    <x v="25"/>
    <s v="Tue Dec 16 2014 12:00:00 GMT-0800 (PST)"/>
    <n v="2014"/>
    <x v="390"/>
    <x v="2"/>
    <s v="Low"/>
  </r>
  <r>
    <n v="2012"/>
    <x v="14"/>
    <x v="215"/>
    <x v="203"/>
    <x v="2"/>
    <s v="automatic"/>
    <s v="wdbsk7baxcf169427"/>
    <s v="ca"/>
    <n v="45"/>
    <x v="1416"/>
    <s v="black"/>
    <s v="black"/>
    <s v="mercedes benz of bakersfield"/>
    <n v="57400"/>
    <x v="355"/>
    <s v="Thu Dec 18 2014 12:30:00 GMT-0800 (PST)"/>
    <n v="2014"/>
    <x v="391"/>
    <x v="1"/>
    <s v="High"/>
  </r>
  <r>
    <n v="2012"/>
    <x v="17"/>
    <x v="73"/>
    <x v="5"/>
    <x v="5"/>
    <s v="automatic"/>
    <s v="wmwsu3c54ct258074"/>
    <s v="ca"/>
    <n v="36"/>
    <x v="1417"/>
    <s v="white"/>
    <s v="â€”"/>
    <s v="bmw mini financial services"/>
    <n v="12950"/>
    <x v="39"/>
    <s v="Thu Dec 18 2014 12:30:00 GMT-0800 (PST)"/>
    <n v="2014"/>
    <x v="99"/>
    <x v="2"/>
    <s v="Low"/>
  </r>
  <r>
    <n v="2012"/>
    <x v="0"/>
    <x v="10"/>
    <x v="54"/>
    <x v="1"/>
    <s v="automatic"/>
    <s v="5xxgr4a61cg029248"/>
    <s v="ca"/>
    <n v="1"/>
    <x v="1418"/>
    <s v="blue"/>
    <s v="black"/>
    <s v="kia motors finance"/>
    <n v="16750"/>
    <x v="168"/>
    <s v="Tue Dec 16 2014 12:00:00 GMT-0800 (PST)"/>
    <n v="2014"/>
    <x v="83"/>
    <x v="0"/>
    <s v="Low"/>
  </r>
  <r>
    <n v="2012"/>
    <x v="17"/>
    <x v="73"/>
    <x v="5"/>
    <x v="5"/>
    <s v="automatic"/>
    <s v="wmwsu3c55ct261906"/>
    <s v="ca"/>
    <n v="46"/>
    <x v="1419"/>
    <s v="green"/>
    <s v="â€”"/>
    <s v="bmw mini financial services"/>
    <n v="14800"/>
    <x v="247"/>
    <s v="Thu Dec 18 2014 12:30:00 GMT-0800 (PST)"/>
    <n v="2014"/>
    <x v="99"/>
    <x v="1"/>
    <s v="Low"/>
  </r>
  <r>
    <n v="2012"/>
    <x v="12"/>
    <x v="45"/>
    <x v="36"/>
    <x v="8"/>
    <s v="automatic"/>
    <s v="jn1cv6apxcm622361"/>
    <s v="ca"/>
    <n v="4"/>
    <x v="1420"/>
    <s v="white"/>
    <s v="black"/>
    <s v="nissan infiniti lt"/>
    <n v="22200"/>
    <x v="27"/>
    <s v="Thu Dec 18 2014 12:30:00 GMT-0800 (PST)"/>
    <n v="2014"/>
    <x v="50"/>
    <x v="0"/>
    <s v="Medium"/>
  </r>
  <r>
    <n v="2012"/>
    <x v="11"/>
    <x v="30"/>
    <x v="5"/>
    <x v="0"/>
    <s v="automatic"/>
    <s v="2t2zk1ba6cc078821"/>
    <s v="ca"/>
    <n v="3"/>
    <x v="1421"/>
    <s v="gray"/>
    <s v="black"/>
    <s v="remarketing by ge/chase lease remarketing co"/>
    <n v="27400"/>
    <x v="296"/>
    <s v="Wed Dec 17 2014 12:30:00 GMT-0800 (PST)"/>
    <n v="2014"/>
    <x v="32"/>
    <x v="0"/>
    <s v="Medium"/>
  </r>
  <r>
    <n v="2012"/>
    <x v="12"/>
    <x v="45"/>
    <x v="36"/>
    <x v="8"/>
    <s v="automatic"/>
    <s v="jn1cv6apxcm624031"/>
    <s v="ca"/>
    <n v="44"/>
    <x v="704"/>
    <s v="black"/>
    <s v="black"/>
    <s v="nissan infiniti lt"/>
    <n v="22100"/>
    <x v="105"/>
    <s v="Thu Dec 18 2014 12:30:00 GMT-0800 (PST)"/>
    <n v="2014"/>
    <x v="50"/>
    <x v="1"/>
    <s v="Medium"/>
  </r>
  <r>
    <n v="2012"/>
    <x v="14"/>
    <x v="61"/>
    <x v="56"/>
    <x v="1"/>
    <s v="automatic"/>
    <s v="wddgf4hb8ca631285"/>
    <s v="ca"/>
    <n v="35"/>
    <x v="1422"/>
    <s v="silver"/>
    <s v="black"/>
    <s v="mercedes-benz financial services"/>
    <n v="21700"/>
    <x v="78"/>
    <s v="Thu Dec 18 2014 12:30:00 GMT-0800 (PST)"/>
    <n v="2014"/>
    <x v="87"/>
    <x v="2"/>
    <s v="Medium"/>
  </r>
  <r>
    <n v="2012"/>
    <x v="16"/>
    <x v="211"/>
    <x v="70"/>
    <x v="1"/>
    <s v="automatic"/>
    <s v="1yvhz8bh5c5m05184"/>
    <s v="ca"/>
    <n v="31"/>
    <x v="1423"/>
    <s v="black"/>
    <s v="black"/>
    <s v="jpmorgan chase bank n.a."/>
    <n v="9600"/>
    <x v="348"/>
    <s v="Tue Dec 16 2014 12:30:00 GMT-0800 (PST)"/>
    <n v="2014"/>
    <x v="392"/>
    <x v="2"/>
    <s v="Low"/>
  </r>
  <r>
    <n v="2012"/>
    <x v="17"/>
    <x v="73"/>
    <x v="5"/>
    <x v="5"/>
    <s v="manual"/>
    <s v="wmwsu3c52ct184718"/>
    <s v="ca"/>
    <n v="28"/>
    <x v="1424"/>
    <s v="red"/>
    <s v="â€”"/>
    <s v="bmw mini financial services"/>
    <n v="13000"/>
    <x v="137"/>
    <s v="Tue Jan 06 2015 04:30:00 GMT-0800 (PST)"/>
    <n v="2015"/>
    <x v="99"/>
    <x v="2"/>
    <s v="Low"/>
  </r>
  <r>
    <n v="2012"/>
    <x v="14"/>
    <x v="61"/>
    <x v="56"/>
    <x v="1"/>
    <s v="automatic"/>
    <s v="wddgf4hb8ca613028"/>
    <s v="ca"/>
    <n v="29"/>
    <x v="1425"/>
    <s v="black"/>
    <s v="black"/>
    <s v="mercedes-benz financial services"/>
    <n v="22900"/>
    <x v="114"/>
    <s v="Thu Dec 18 2014 12:30:00 GMT-0800 (PST)"/>
    <n v="2014"/>
    <x v="87"/>
    <x v="2"/>
    <s v="Medium"/>
  </r>
  <r>
    <n v="2012"/>
    <x v="12"/>
    <x v="45"/>
    <x v="36"/>
    <x v="8"/>
    <s v="automatic"/>
    <s v="jn1cv6ap4cm621786"/>
    <s v="ca"/>
    <n v="44"/>
    <x v="1426"/>
    <s v="gray"/>
    <s v="black"/>
    <s v="nissan infiniti lt"/>
    <n v="19250"/>
    <x v="8"/>
    <s v="Thu Dec 18 2014 12:30:00 GMT-0800 (PST)"/>
    <n v="2014"/>
    <x v="50"/>
    <x v="1"/>
    <s v="Low"/>
  </r>
  <r>
    <n v="2012"/>
    <x v="17"/>
    <x v="73"/>
    <x v="5"/>
    <x v="2"/>
    <s v="automatic"/>
    <s v="wmwzn3c52ct134090"/>
    <s v="ca"/>
    <n v="38"/>
    <x v="1427"/>
    <s v="red"/>
    <s v="black"/>
    <s v="bmw mini financial services"/>
    <n v="14600"/>
    <x v="218"/>
    <s v="Thu Dec 18 2014 12:30:00 GMT-0800 (PST)"/>
    <n v="2014"/>
    <x v="99"/>
    <x v="2"/>
    <s v="Low"/>
  </r>
  <r>
    <n v="2012"/>
    <x v="0"/>
    <x v="66"/>
    <x v="5"/>
    <x v="4"/>
    <s v="automatic"/>
    <s v="kndjt2a50c7391664"/>
    <s v="ca"/>
    <n v="34"/>
    <x v="1428"/>
    <s v="green"/>
    <s v="black"/>
    <s v="kia motors finance"/>
    <n v="8175"/>
    <x v="6"/>
    <s v="Tue Dec 16 2014 12:00:00 GMT-0800 (PST)"/>
    <n v="2014"/>
    <x v="92"/>
    <x v="2"/>
    <s v="Low"/>
  </r>
  <r>
    <n v="2012"/>
    <x v="20"/>
    <x v="205"/>
    <x v="5"/>
    <x v="1"/>
    <s v="automatic"/>
    <s v="sajwa1cb1clv27432"/>
    <s v="ca"/>
    <n v="28"/>
    <x v="1429"/>
    <s v="blue"/>
    <s v="gray"/>
    <s v="jpmorgan chase bank n.a."/>
    <n v="38500"/>
    <x v="200"/>
    <s v="Thu Dec 18 2014 12:30:00 GMT-0800 (PST)"/>
    <n v="2014"/>
    <x v="367"/>
    <x v="2"/>
    <s v="Medium"/>
  </r>
  <r>
    <n v="2012"/>
    <x v="16"/>
    <x v="71"/>
    <x v="70"/>
    <x v="1"/>
    <s v="automatic"/>
    <s v="jm1bl1ugxc1528639"/>
    <s v="ca"/>
    <n v="37"/>
    <x v="1430"/>
    <s v="gray"/>
    <s v="black"/>
    <s v="galpin ford studio rentals"/>
    <n v="8800"/>
    <x v="49"/>
    <s v="Tue Dec 16 2014 12:30:00 GMT-0800 (PST)"/>
    <n v="2014"/>
    <x v="112"/>
    <x v="2"/>
    <s v="Low"/>
  </r>
  <r>
    <n v="2012"/>
    <x v="14"/>
    <x v="70"/>
    <x v="192"/>
    <x v="1"/>
    <s v="automatic"/>
    <s v="wddhf5kb4ca658244"/>
    <s v="ca"/>
    <n v="36"/>
    <x v="1431"/>
    <s v="white"/>
    <s v="black"/>
    <s v="mercedes-benz usa"/>
    <n v="26900"/>
    <x v="106"/>
    <s v="Thu Dec 18 2014 12:00:00 GMT-0800 (PST)"/>
    <n v="2014"/>
    <x v="368"/>
    <x v="2"/>
    <s v="Medium"/>
  </r>
  <r>
    <n v="2012"/>
    <x v="12"/>
    <x v="45"/>
    <x v="36"/>
    <x v="8"/>
    <s v="automatic"/>
    <s v="jn1cv6ap6cm624785"/>
    <s v="ca"/>
    <n v="44"/>
    <x v="1432"/>
    <s v="white"/>
    <s v="gray"/>
    <s v="nissan infiniti lt"/>
    <n v="19650"/>
    <x v="62"/>
    <s v="Thu Dec 18 2014 12:30:00 GMT-0800 (PST)"/>
    <n v="2014"/>
    <x v="50"/>
    <x v="1"/>
    <s v="Medium"/>
  </r>
  <r>
    <n v="2012"/>
    <x v="17"/>
    <x v="73"/>
    <x v="5"/>
    <x v="2"/>
    <s v="automatic"/>
    <s v="wmwzn3c53ct133983"/>
    <s v="ca"/>
    <n v="36"/>
    <x v="1433"/>
    <s v="red"/>
    <s v="black"/>
    <s v="bmw mini financial services"/>
    <n v="15000"/>
    <x v="173"/>
    <s v="Thu Dec 18 2014 12:30:00 GMT-0800 (PST)"/>
    <n v="2014"/>
    <x v="99"/>
    <x v="2"/>
    <s v="Low"/>
  </r>
  <r>
    <n v="2012"/>
    <x v="14"/>
    <x v="70"/>
    <x v="192"/>
    <x v="1"/>
    <s v="automatic"/>
    <s v="wddhf5kb5ca575132"/>
    <s v="ca"/>
    <n v="41"/>
    <x v="1434"/>
    <s v="black"/>
    <s v="black"/>
    <s v="mercedes-benz financial services"/>
    <n v="28500"/>
    <x v="296"/>
    <s v="Thu Dec 18 2014 12:30:00 GMT-0800 (PST)"/>
    <n v="2014"/>
    <x v="368"/>
    <x v="1"/>
    <s v="Medium"/>
  </r>
  <r>
    <n v="2012"/>
    <x v="17"/>
    <x v="152"/>
    <x v="89"/>
    <x v="5"/>
    <s v="automatic"/>
    <s v="wmwsx3c51ct154746"/>
    <s v="ca"/>
    <n v="46"/>
    <x v="1435"/>
    <s v="gray"/>
    <s v="â€”"/>
    <s v="bmw mini financial services"/>
    <n v="16100"/>
    <x v="101"/>
    <s v="Thu Dec 18 2014 12:30:00 GMT-0800 (PST)"/>
    <n v="2014"/>
    <x v="242"/>
    <x v="1"/>
    <s v="Low"/>
  </r>
  <r>
    <n v="2012"/>
    <x v="16"/>
    <x v="71"/>
    <x v="204"/>
    <x v="5"/>
    <s v="automatic"/>
    <s v="jm1bl1l60c1505590"/>
    <s v="ca"/>
    <n v="24"/>
    <x v="1436"/>
    <s v="gray"/>
    <s v="black"/>
    <s v="jpmorgan chase bank n.a."/>
    <n v="12250"/>
    <x v="239"/>
    <s v="Tue Dec 16 2014 12:30:00 GMT-0800 (PST)"/>
    <n v="2014"/>
    <x v="393"/>
    <x v="2"/>
    <s v="Low"/>
  </r>
  <r>
    <n v="2012"/>
    <x v="12"/>
    <x v="44"/>
    <x v="188"/>
    <x v="7"/>
    <s v="automatic"/>
    <s v="jn1cv6ek2cm422640"/>
    <s v="ca"/>
    <n v="41"/>
    <x v="1437"/>
    <s v="gray"/>
    <s v="black"/>
    <s v="nissan infiniti lt"/>
    <n v="20100"/>
    <x v="27"/>
    <s v="Tue Dec 23 2014 12:30:00 GMT-0800 (PST)"/>
    <n v="2014"/>
    <x v="359"/>
    <x v="1"/>
    <s v="Medium"/>
  </r>
  <r>
    <n v="2012"/>
    <x v="12"/>
    <x v="45"/>
    <x v="36"/>
    <x v="8"/>
    <s v="automatic"/>
    <s v="jn1cv6ap1cm623267"/>
    <s v="ca"/>
    <n v="44"/>
    <x v="1438"/>
    <s v="white"/>
    <s v="gray"/>
    <s v="nissan infiniti lt"/>
    <n v="21600"/>
    <x v="27"/>
    <s v="Thu Dec 18 2014 12:30:00 GMT-0800 (PST)"/>
    <n v="2014"/>
    <x v="50"/>
    <x v="1"/>
    <s v="Medium"/>
  </r>
  <r>
    <n v="2012"/>
    <x v="20"/>
    <x v="205"/>
    <x v="205"/>
    <x v="1"/>
    <s v="automatic"/>
    <s v="sajwa1ge9cmv34031"/>
    <s v="ca"/>
    <n v="38"/>
    <x v="1439"/>
    <s v="black"/>
    <s v="black"/>
    <s v="jpmorgan chase bank n.a."/>
    <n v="39900"/>
    <x v="181"/>
    <s v="Thu Jan 15 2015 04:30:00 GMT-0800 (PST)"/>
    <n v="2015"/>
    <x v="394"/>
    <x v="2"/>
    <s v="Medium"/>
  </r>
  <r>
    <n v="2012"/>
    <x v="11"/>
    <x v="30"/>
    <x v="5"/>
    <x v="0"/>
    <s v="automatic"/>
    <s v="2t2zk1ba0cc079964"/>
    <s v="ca"/>
    <n v="42"/>
    <x v="1440"/>
    <s v="silver"/>
    <s v="gray"/>
    <s v="desert auto trade"/>
    <n v="27600"/>
    <x v="356"/>
    <s v="Tue Dec 16 2014 12:30:00 GMT-0800 (PST)"/>
    <n v="2014"/>
    <x v="32"/>
    <x v="1"/>
    <s v="Medium"/>
  </r>
  <r>
    <n v="2012"/>
    <x v="12"/>
    <x v="44"/>
    <x v="188"/>
    <x v="7"/>
    <s v="automatic"/>
    <s v="jn1cv6ek9cm420190"/>
    <s v="ca"/>
    <n v="38"/>
    <x v="1441"/>
    <s v="black"/>
    <s v="black"/>
    <s v="nissan infiniti lt"/>
    <n v="20600"/>
    <x v="24"/>
    <s v="Tue Dec 23 2014 12:30:00 GMT-0800 (PST)"/>
    <n v="2014"/>
    <x v="359"/>
    <x v="2"/>
    <s v="Medium"/>
  </r>
  <r>
    <n v="2012"/>
    <x v="12"/>
    <x v="64"/>
    <x v="58"/>
    <x v="1"/>
    <s v="automatic"/>
    <s v="jn1by1ap7cm331094"/>
    <s v="ca"/>
    <n v="29"/>
    <x v="1442"/>
    <s v="gray"/>
    <s v="tan"/>
    <s v="myrddin fleet services"/>
    <n v="24800"/>
    <x v="20"/>
    <s v="Tue Dec 16 2014 12:30:00 GMT-0800 (PST)"/>
    <n v="2014"/>
    <x v="89"/>
    <x v="2"/>
    <s v="Medium"/>
  </r>
  <r>
    <n v="2012"/>
    <x v="12"/>
    <x v="45"/>
    <x v="36"/>
    <x v="8"/>
    <s v="automatic"/>
    <s v="jn1cv6ap5cm623000"/>
    <s v="ca"/>
    <n v="41"/>
    <x v="1443"/>
    <s v="black"/>
    <s v="black"/>
    <s v="nissan infiniti lt"/>
    <n v="23100"/>
    <x v="114"/>
    <s v="Thu Dec 18 2014 12:30:00 GMT-0800 (PST)"/>
    <n v="2014"/>
    <x v="50"/>
    <x v="1"/>
    <s v="Medium"/>
  </r>
  <r>
    <n v="2012"/>
    <x v="0"/>
    <x v="216"/>
    <x v="0"/>
    <x v="11"/>
    <s v="automatic"/>
    <s v="kndmg4c78c6477824"/>
    <s v="ca"/>
    <n v="3"/>
    <x v="1444"/>
    <s v="gray"/>
    <s v="gray"/>
    <s v="dtg operations inc"/>
    <n v="9000"/>
    <x v="54"/>
    <s v="Wed Dec 17 2014 12:30:00 GMT-0800 (PST)"/>
    <n v="2014"/>
    <x v="395"/>
    <x v="0"/>
    <s v="Low"/>
  </r>
  <r>
    <n v="2012"/>
    <x v="12"/>
    <x v="64"/>
    <x v="58"/>
    <x v="1"/>
    <s v="automatic"/>
    <s v="jn1by1ap4cm332641"/>
    <s v="ca"/>
    <n v="31"/>
    <x v="1445"/>
    <s v="white"/>
    <s v="beige"/>
    <s v="nissan infiniti lt"/>
    <n v="25400"/>
    <x v="90"/>
    <s v="Thu Dec 18 2014 12:30:00 GMT-0800 (PST)"/>
    <n v="2014"/>
    <x v="89"/>
    <x v="2"/>
    <s v="Medium"/>
  </r>
  <r>
    <n v="2012"/>
    <x v="14"/>
    <x v="70"/>
    <x v="84"/>
    <x v="2"/>
    <s v="automatic"/>
    <s v="wddkk5kf3cf164464"/>
    <s v="ca"/>
    <n v="21"/>
    <x v="1446"/>
    <s v="gray"/>
    <s v="black"/>
    <s v="the hertz corporation"/>
    <n v="33800"/>
    <x v="296"/>
    <s v="Wed Dec 31 2014 12:30:00 GMT-0800 (PST)"/>
    <n v="2014"/>
    <x v="136"/>
    <x v="2"/>
    <s v="Medium"/>
  </r>
  <r>
    <n v="2012"/>
    <x v="12"/>
    <x v="45"/>
    <x v="36"/>
    <x v="8"/>
    <s v="automatic"/>
    <s v="jn1cv6ap0cm627388"/>
    <s v="ca"/>
    <n v="35"/>
    <x v="1447"/>
    <s v="black"/>
    <s v="black"/>
    <s v="nissan infiniti lt"/>
    <n v="22200"/>
    <x v="63"/>
    <s v="Thu Dec 18 2014 12:30:00 GMT-0800 (PST)"/>
    <n v="2014"/>
    <x v="50"/>
    <x v="2"/>
    <s v="Medium"/>
  </r>
  <r>
    <n v="2012"/>
    <x v="12"/>
    <x v="44"/>
    <x v="188"/>
    <x v="7"/>
    <s v="automatic"/>
    <s v="jn1cv6ek9cm422005"/>
    <s v="ca"/>
    <n v="42"/>
    <x v="1448"/>
    <s v="black"/>
    <s v="black"/>
    <s v="nissan infiniti lt"/>
    <n v="20300"/>
    <x v="63"/>
    <s v="Thu Dec 18 2014 12:30:00 GMT-0800 (PST)"/>
    <n v="2014"/>
    <x v="359"/>
    <x v="1"/>
    <s v="Medium"/>
  </r>
  <r>
    <n v="2012"/>
    <x v="17"/>
    <x v="73"/>
    <x v="5"/>
    <x v="5"/>
    <s v="manual"/>
    <s v="wmwsu3c58ct185503"/>
    <s v="ca"/>
    <n v="36"/>
    <x v="1449"/>
    <s v="gray"/>
    <s v="black"/>
    <s v="a and a auto mart inc"/>
    <n v="11400"/>
    <x v="82"/>
    <s v="Tue Dec 16 2014 12:30:00 GMT-0800 (PST)"/>
    <n v="2014"/>
    <x v="99"/>
    <x v="2"/>
    <s v="Low"/>
  </r>
  <r>
    <n v="2012"/>
    <x v="11"/>
    <x v="207"/>
    <x v="5"/>
    <x v="1"/>
    <s v="automatic"/>
    <s v="jthbf5c25c5181152"/>
    <s v="ca"/>
    <n v="36"/>
    <x v="259"/>
    <s v="black"/>
    <s v="black"/>
    <s v="lexus financial services"/>
    <n v="22800"/>
    <x v="106"/>
    <s v="Wed Dec 17 2014 12:30:00 GMT-0800 (PST)"/>
    <n v="2014"/>
    <x v="370"/>
    <x v="2"/>
    <s v="Medium"/>
  </r>
  <r>
    <n v="2012"/>
    <x v="17"/>
    <x v="73"/>
    <x v="5"/>
    <x v="5"/>
    <s v="automatic"/>
    <s v="wmwsu3c5xct255549"/>
    <s v="ca"/>
    <n v="43"/>
    <x v="1450"/>
    <s v="white"/>
    <s v="black"/>
    <s v="bmw mini financial services"/>
    <n v="15700"/>
    <x v="188"/>
    <s v="Thu Dec 18 2014 12:30:00 GMT-0800 (PST)"/>
    <n v="2014"/>
    <x v="99"/>
    <x v="1"/>
    <s v="Low"/>
  </r>
  <r>
    <n v="2012"/>
    <x v="11"/>
    <x v="207"/>
    <x v="5"/>
    <x v="1"/>
    <s v="automatic"/>
    <s v="jthbf5c24c5160616"/>
    <s v="ca"/>
    <n v="37"/>
    <x v="1451"/>
    <s v="brown"/>
    <s v="beige"/>
    <s v="lexus financial services"/>
    <n v="21900"/>
    <x v="102"/>
    <s v="Wed Dec 17 2014 12:30:00 GMT-0800 (PST)"/>
    <n v="2014"/>
    <x v="370"/>
    <x v="2"/>
    <s v="Medium"/>
  </r>
  <r>
    <n v="2012"/>
    <x v="0"/>
    <x v="66"/>
    <x v="5"/>
    <x v="4"/>
    <s v="automatic"/>
    <s v="kndjt2a57c7432856"/>
    <s v="ca"/>
    <n v="35"/>
    <x v="1452"/>
    <s v="silver"/>
    <s v="black"/>
    <s v="kia motors finance"/>
    <n v="8150"/>
    <x v="274"/>
    <s v="Tue Dec 16 2014 12:00:00 GMT-0800 (PST)"/>
    <n v="2014"/>
    <x v="92"/>
    <x v="2"/>
    <s v="Low"/>
  </r>
  <r>
    <n v="2012"/>
    <x v="13"/>
    <x v="57"/>
    <x v="74"/>
    <x v="0"/>
    <s v="automatic"/>
    <s v="1c4bjwdg7cl197008"/>
    <s v="ca"/>
    <n v="3"/>
    <x v="1453"/>
    <s v="red"/>
    <s v="black"/>
    <s v="the hertz corporation"/>
    <n v="23300"/>
    <x v="63"/>
    <s v="Thu Jan 08 2015 11:30:00 GMT-0800 (PST)"/>
    <n v="2015"/>
    <x v="119"/>
    <x v="0"/>
    <s v="Medium"/>
  </r>
  <r>
    <n v="2012"/>
    <x v="18"/>
    <x v="93"/>
    <x v="200"/>
    <x v="0"/>
    <s v="automatic"/>
    <s v="salsf2d47ca720225"/>
    <s v="ca"/>
    <n v="44"/>
    <x v="1454"/>
    <s v="gray"/>
    <s v="black"/>
    <s v="jpmorgan chase bank n.a."/>
    <n v="44300"/>
    <x v="77"/>
    <s v="Thu Dec 18 2014 12:30:00 GMT-0800 (PST)"/>
    <n v="2014"/>
    <x v="396"/>
    <x v="1"/>
    <s v="Medium"/>
  </r>
  <r>
    <n v="2012"/>
    <x v="17"/>
    <x v="73"/>
    <x v="5"/>
    <x v="5"/>
    <s v="automatic"/>
    <s v="wmwsu3c57ct258585"/>
    <s v="ca"/>
    <n v="38"/>
    <x v="1455"/>
    <s v="red"/>
    <s v="black"/>
    <s v="bmw mini financial services"/>
    <n v="14650"/>
    <x v="239"/>
    <s v="Thu Dec 18 2014 12:30:00 GMT-0800 (PST)"/>
    <n v="2014"/>
    <x v="99"/>
    <x v="2"/>
    <s v="Low"/>
  </r>
  <r>
    <n v="2012"/>
    <x v="0"/>
    <x v="10"/>
    <x v="54"/>
    <x v="1"/>
    <s v="automatic"/>
    <s v="5xxgr4a63cg001290"/>
    <s v="ca"/>
    <n v="46"/>
    <x v="1456"/>
    <s v="gray"/>
    <s v="black"/>
    <s v="kia motors america  inc"/>
    <n v="17150"/>
    <x v="130"/>
    <s v="Tue Dec 16 2014 12:30:00 GMT-0800 (PST)"/>
    <n v="2014"/>
    <x v="83"/>
    <x v="1"/>
    <s v="Medium"/>
  </r>
  <r>
    <n v="2012"/>
    <x v="12"/>
    <x v="64"/>
    <x v="58"/>
    <x v="1"/>
    <s v="automatic"/>
    <s v="jn1by1ap7cm332021"/>
    <s v="ca"/>
    <n v="43"/>
    <x v="1457"/>
    <s v="silver"/>
    <s v="black"/>
    <s v="nissan infiniti lt"/>
    <n v="29500"/>
    <x v="34"/>
    <s v="Thu Dec 18 2014 12:30:00 GMT-0800 (PST)"/>
    <n v="2014"/>
    <x v="89"/>
    <x v="1"/>
    <s v="Medium"/>
  </r>
  <r>
    <n v="2012"/>
    <x v="17"/>
    <x v="73"/>
    <x v="5"/>
    <x v="5"/>
    <s v="automatic"/>
    <s v="wmwsu3c55ct261971"/>
    <s v="ca"/>
    <n v="4"/>
    <x v="1458"/>
    <s v="blue"/>
    <s v="â€”"/>
    <s v="bmw mini financial services"/>
    <n v="14150"/>
    <x v="173"/>
    <s v="Thu Dec 18 2014 12:30:00 GMT-0800 (PST)"/>
    <n v="2014"/>
    <x v="99"/>
    <x v="0"/>
    <s v="Low"/>
  </r>
  <r>
    <n v="2012"/>
    <x v="16"/>
    <x v="71"/>
    <x v="65"/>
    <x v="5"/>
    <s v="automatic"/>
    <s v="jm1bl1l8xc1612096"/>
    <s v="ca"/>
    <n v="46"/>
    <x v="1459"/>
    <s v="gray"/>
    <s v="black"/>
    <s v="jpmorgan chase bank n.a."/>
    <n v="12550"/>
    <x v="247"/>
    <s v="Tue Dec 16 2014 12:30:00 GMT-0800 (PST)"/>
    <n v="2014"/>
    <x v="104"/>
    <x v="1"/>
    <s v="Low"/>
  </r>
  <r>
    <n v="2012"/>
    <x v="0"/>
    <x v="10"/>
    <x v="167"/>
    <x v="1"/>
    <s v="automatic"/>
    <s v="knagm4ad3c5030092"/>
    <s v="ca"/>
    <n v="42"/>
    <x v="1460"/>
    <s v="white"/>
    <s v="gray"/>
    <s v="kearny pearson kia"/>
    <n v="15350"/>
    <x v="357"/>
    <s v="Wed Dec 17 2014 12:30:00 GMT-0800 (PST)"/>
    <n v="2014"/>
    <x v="397"/>
    <x v="1"/>
    <s v="Low"/>
  </r>
  <r>
    <n v="2012"/>
    <x v="12"/>
    <x v="209"/>
    <x v="194"/>
    <x v="0"/>
    <s v="automatic"/>
    <s v="jn8az2nf2c9515492"/>
    <s v="ca"/>
    <n v="44"/>
    <x v="1461"/>
    <s v="gray"/>
    <s v="black"/>
    <s v="street smartz auto sales corporation"/>
    <n v="43600"/>
    <x v="194"/>
    <s v="Thu Dec 18 2014 12:30:00 GMT-0800 (PST)"/>
    <n v="2014"/>
    <x v="373"/>
    <x v="1"/>
    <s v="Medium"/>
  </r>
  <r>
    <n v="2012"/>
    <x v="12"/>
    <x v="45"/>
    <x v="36"/>
    <x v="8"/>
    <s v="automatic"/>
    <s v="jn1cv6ap4cm626714"/>
    <s v="ca"/>
    <n v="34"/>
    <x v="1462"/>
    <s v="gray"/>
    <s v="black"/>
    <s v="nissan infiniti lt"/>
    <n v="22000"/>
    <x v="185"/>
    <s v="Tue Dec 23 2014 12:30:00 GMT-0800 (PST)"/>
    <n v="2014"/>
    <x v="50"/>
    <x v="2"/>
    <s v="Medium"/>
  </r>
  <r>
    <n v="2012"/>
    <x v="0"/>
    <x v="10"/>
    <x v="0"/>
    <x v="1"/>
    <s v="automatic"/>
    <s v="5xxgm4a75cg027509"/>
    <s v="ca"/>
    <n v="45"/>
    <x v="1463"/>
    <s v="silver"/>
    <s v="gray"/>
    <s v="kia motors america  inc -lemon law buybacks"/>
    <n v="11700"/>
    <x v="82"/>
    <s v="Tue Dec 16 2014 12:30:00 GMT-0800 (PST)"/>
    <n v="2014"/>
    <x v="10"/>
    <x v="1"/>
    <s v="Low"/>
  </r>
  <r>
    <n v="2012"/>
    <x v="14"/>
    <x v="61"/>
    <x v="56"/>
    <x v="1"/>
    <s v="automatic"/>
    <s v="wddgf4hb6cr221246"/>
    <s v="ca"/>
    <n v="42"/>
    <x v="1464"/>
    <s v="white"/>
    <s v="gray"/>
    <s v="hoehn motors inc"/>
    <n v="21600"/>
    <x v="29"/>
    <s v="Tue Dec 16 2014 12:30:00 GMT-0800 (PST)"/>
    <n v="2014"/>
    <x v="87"/>
    <x v="1"/>
    <s v="Medium"/>
  </r>
  <r>
    <n v="2012"/>
    <x v="12"/>
    <x v="44"/>
    <x v="188"/>
    <x v="7"/>
    <s v="automatic"/>
    <s v="jn1cv6ek5cm424009"/>
    <s v="ca"/>
    <n v="29"/>
    <x v="1465"/>
    <s v="black"/>
    <s v="black"/>
    <s v="nissan infiniti lt"/>
    <n v="22000"/>
    <x v="29"/>
    <s v="Tue Dec 23 2014 12:30:00 GMT-0800 (PST)"/>
    <n v="2014"/>
    <x v="359"/>
    <x v="2"/>
    <s v="Medium"/>
  </r>
  <r>
    <n v="2012"/>
    <x v="12"/>
    <x v="45"/>
    <x v="36"/>
    <x v="8"/>
    <s v="automatic"/>
    <s v="jn1cv6ap8cm629275"/>
    <s v="ca"/>
    <n v="34"/>
    <x v="1466"/>
    <s v="black"/>
    <s v="black"/>
    <s v="nissan infiniti lt"/>
    <n v="22700"/>
    <x v="114"/>
    <s v="Thu Dec 18 2014 12:30:00 GMT-0800 (PST)"/>
    <n v="2014"/>
    <x v="50"/>
    <x v="2"/>
    <s v="Medium"/>
  </r>
  <r>
    <n v="2012"/>
    <x v="12"/>
    <x v="45"/>
    <x v="36"/>
    <x v="8"/>
    <s v="automatic"/>
    <s v="jn1cv6ap4cm620895"/>
    <s v="ca"/>
    <n v="38"/>
    <x v="1467"/>
    <s v="gray"/>
    <s v="black"/>
    <s v="nissan infiniti lt"/>
    <n v="20200"/>
    <x v="226"/>
    <s v="Thu Dec 18 2014 12:30:00 GMT-0800 (PST)"/>
    <n v="2014"/>
    <x v="50"/>
    <x v="2"/>
    <s v="Medium"/>
  </r>
  <r>
    <n v="2012"/>
    <x v="13"/>
    <x v="57"/>
    <x v="74"/>
    <x v="0"/>
    <s v="automatic"/>
    <s v="1c4bjwdg6cl192916"/>
    <s v="ca"/>
    <n v="36"/>
    <x v="1468"/>
    <s v="red"/>
    <s v="black"/>
    <s v="the hertz corporation"/>
    <n v="21700"/>
    <x v="288"/>
    <s v="Thu Jan 08 2015 11:30:00 GMT-0800 (PST)"/>
    <n v="2015"/>
    <x v="119"/>
    <x v="2"/>
    <s v="Medium"/>
  </r>
  <r>
    <n v="2012"/>
    <x v="12"/>
    <x v="45"/>
    <x v="36"/>
    <x v="8"/>
    <s v="automatic"/>
    <s v="jn1cv6ap6cm621711"/>
    <s v="ca"/>
    <n v="43"/>
    <x v="1469"/>
    <s v="black"/>
    <s v="black"/>
    <s v="nissan infiniti lt"/>
    <n v="22000"/>
    <x v="27"/>
    <s v="Thu Dec 18 2014 12:30:00 GMT-0800 (PST)"/>
    <n v="2014"/>
    <x v="50"/>
    <x v="1"/>
    <s v="Medium"/>
  </r>
  <r>
    <n v="2012"/>
    <x v="17"/>
    <x v="73"/>
    <x v="5"/>
    <x v="5"/>
    <s v="manual"/>
    <s v="wmwsu3c51ct185066"/>
    <s v="ca"/>
    <n v="36"/>
    <x v="1470"/>
    <s v="silver"/>
    <s v="black"/>
    <s v="bmw mini financial services"/>
    <n v="13450"/>
    <x v="11"/>
    <s v="Thu Jan 29 2015 04:30:00 GMT-0800 (PST)"/>
    <n v="2015"/>
    <x v="99"/>
    <x v="2"/>
    <s v="Low"/>
  </r>
  <r>
    <n v="2012"/>
    <x v="17"/>
    <x v="73"/>
    <x v="5"/>
    <x v="5"/>
    <s v="automatic"/>
    <s v="wmwsu3c54ct263100"/>
    <s v="ca"/>
    <n v="39"/>
    <x v="1471"/>
    <s v="blue"/>
    <s v="black"/>
    <s v="bmw mini financial services"/>
    <n v="15250"/>
    <x v="245"/>
    <s v="Thu Dec 18 2014 12:30:00 GMT-0800 (PST)"/>
    <n v="2014"/>
    <x v="99"/>
    <x v="2"/>
    <s v="Low"/>
  </r>
  <r>
    <n v="2012"/>
    <x v="12"/>
    <x v="64"/>
    <x v="58"/>
    <x v="1"/>
    <s v="automatic"/>
    <s v="jn1by1ap2cm332637"/>
    <s v="ca"/>
    <n v="39"/>
    <x v="1472"/>
    <s v="gray"/>
    <s v="beige"/>
    <s v="nissan infiniti lt"/>
    <n v="26200"/>
    <x v="113"/>
    <s v="Thu Dec 18 2014 12:30:00 GMT-0800 (PST)"/>
    <n v="2014"/>
    <x v="89"/>
    <x v="2"/>
    <s v="Medium"/>
  </r>
  <r>
    <n v="2012"/>
    <x v="20"/>
    <x v="205"/>
    <x v="5"/>
    <x v="1"/>
    <s v="automatic"/>
    <s v="sajwa1cb2clv28735"/>
    <s v="ca"/>
    <n v="25"/>
    <x v="1473"/>
    <s v="black"/>
    <s v="black"/>
    <s v="jpmorgan chase bank n.a."/>
    <n v="39300"/>
    <x v="358"/>
    <s v="Thu Dec 18 2014 12:30:00 GMT-0800 (PST)"/>
    <n v="2014"/>
    <x v="367"/>
    <x v="2"/>
    <s v="Medium"/>
  </r>
  <r>
    <n v="2012"/>
    <x v="11"/>
    <x v="69"/>
    <x v="5"/>
    <x v="1"/>
    <s v="automatic"/>
    <s v="jthbk1eg6c2490790"/>
    <s v="ca"/>
    <n v="25"/>
    <x v="1474"/>
    <s v="gold"/>
    <s v="tan"/>
    <s v="lexus financial services"/>
    <n v="24700"/>
    <x v="102"/>
    <s v="Tue Dec 30 2014 00:00:00 GMT-0800 (PST)"/>
    <n v="2014"/>
    <x v="95"/>
    <x v="2"/>
    <s v="Medium"/>
  </r>
  <r>
    <n v="2012"/>
    <x v="20"/>
    <x v="88"/>
    <x v="199"/>
    <x v="1"/>
    <s v="automatic"/>
    <s v="sajwa0hb3cls59258"/>
    <s v="ca"/>
    <n v="35"/>
    <x v="1475"/>
    <s v="black"/>
    <s v="black"/>
    <s v="walters auto sales/service inc"/>
    <n v="29000"/>
    <x v="296"/>
    <s v="Tue Dec 16 2014 12:30:00 GMT-0800 (PST)"/>
    <n v="2014"/>
    <x v="387"/>
    <x v="2"/>
    <s v="Medium"/>
  </r>
  <r>
    <n v="2012"/>
    <x v="16"/>
    <x v="71"/>
    <x v="65"/>
    <x v="1"/>
    <s v="manual"/>
    <s v="jm1bl1v89c1673274"/>
    <s v="ca"/>
    <n v="42"/>
    <x v="1476"/>
    <s v="white"/>
    <s v="black"/>
    <s v="bmw of riverside"/>
    <n v="10750"/>
    <x v="189"/>
    <s v="Tue Dec 23 2014 12:30:00 GMT-0800 (PST)"/>
    <n v="2014"/>
    <x v="104"/>
    <x v="1"/>
    <s v="Low"/>
  </r>
  <r>
    <n v="2012"/>
    <x v="0"/>
    <x v="66"/>
    <x v="5"/>
    <x v="4"/>
    <s v="automatic"/>
    <s v="kndjt2a57c7389362"/>
    <s v="ca"/>
    <n v="48"/>
    <x v="1477"/>
    <s v="white"/>
    <s v="black"/>
    <s v="kia motors america  inc"/>
    <n v="10250"/>
    <x v="148"/>
    <s v="Tue Dec 16 2014 12:30:00 GMT-0800 (PST)"/>
    <n v="2014"/>
    <x v="92"/>
    <x v="1"/>
    <s v="Low"/>
  </r>
  <r>
    <n v="2012"/>
    <x v="17"/>
    <x v="73"/>
    <x v="89"/>
    <x v="5"/>
    <s v="automatic"/>
    <s v="wmwsv3c50cty18198"/>
    <s v="ca"/>
    <n v="41"/>
    <x v="1478"/>
    <s v="gray"/>
    <s v="â€”"/>
    <s v="bmw mini financial services"/>
    <n v="17050"/>
    <x v="16"/>
    <s v="Thu Dec 18 2014 12:30:00 GMT-0800 (PST)"/>
    <n v="2014"/>
    <x v="386"/>
    <x v="1"/>
    <s v="Low"/>
  </r>
  <r>
    <n v="2012"/>
    <x v="17"/>
    <x v="73"/>
    <x v="89"/>
    <x v="5"/>
    <s v="manual"/>
    <s v="wmwsv3c53cty25954"/>
    <s v="ca"/>
    <n v="39"/>
    <x v="1479"/>
    <s v="gray"/>
    <s v="â€”"/>
    <s v="bmw mini financial services"/>
    <n v="15750"/>
    <x v="318"/>
    <s v="Thu Dec 18 2014 12:30:00 GMT-0800 (PST)"/>
    <n v="2014"/>
    <x v="386"/>
    <x v="2"/>
    <s v="Low"/>
  </r>
  <r>
    <n v="2012"/>
    <x v="19"/>
    <x v="212"/>
    <x v="5"/>
    <x v="1"/>
    <s v="automatic"/>
    <s v="3lnhl2gc1cr814700"/>
    <s v="ca"/>
    <n v="35"/>
    <x v="1480"/>
    <s v="blue"/>
    <s v="black"/>
    <s v="galpin ford studio rentals"/>
    <n v="14850"/>
    <x v="349"/>
    <s v="Tue Dec 23 2014 12:00:00 GMT-0800 (PST)"/>
    <n v="2014"/>
    <x v="376"/>
    <x v="2"/>
    <s v="Low"/>
  </r>
  <r>
    <n v="2012"/>
    <x v="12"/>
    <x v="45"/>
    <x v="67"/>
    <x v="8"/>
    <s v="automatic"/>
    <s v="jn1cv6ar1cm673295"/>
    <s v="ca"/>
    <n v="47"/>
    <x v="1481"/>
    <s v="white"/>
    <s v="gray"/>
    <s v="nissan infiniti lt"/>
    <n v="19200"/>
    <x v="43"/>
    <s v="Thu Dec 18 2014 12:30:00 GMT-0800 (PST)"/>
    <n v="2014"/>
    <x v="106"/>
    <x v="1"/>
    <s v="Medium"/>
  </r>
  <r>
    <n v="2012"/>
    <x v="0"/>
    <x v="10"/>
    <x v="167"/>
    <x v="1"/>
    <s v="automatic"/>
    <s v="knagm4adxc5024323"/>
    <s v="ca"/>
    <n v="39"/>
    <x v="1482"/>
    <s v="silver"/>
    <s v="black"/>
    <s v="kia motors america  inc"/>
    <n v="16350"/>
    <x v="16"/>
    <s v="Tue Dec 16 2014 12:30:00 GMT-0800 (PST)"/>
    <n v="2014"/>
    <x v="397"/>
    <x v="2"/>
    <s v="Low"/>
  </r>
  <r>
    <n v="2012"/>
    <x v="0"/>
    <x v="10"/>
    <x v="167"/>
    <x v="1"/>
    <s v="automatic"/>
    <s v="knagm4ad8c5031853"/>
    <s v="ca"/>
    <n v="38"/>
    <x v="1483"/>
    <s v="silver"/>
    <s v="black"/>
    <s v="kia motors finance"/>
    <n v="13750"/>
    <x v="191"/>
    <s v="Tue Dec 16 2014 12:00:00 GMT-0800 (PST)"/>
    <n v="2014"/>
    <x v="397"/>
    <x v="2"/>
    <s v="Low"/>
  </r>
  <r>
    <n v="2012"/>
    <x v="17"/>
    <x v="152"/>
    <x v="5"/>
    <x v="5"/>
    <s v="automatic"/>
    <s v="wmwsx1c5xct163613"/>
    <s v="ca"/>
    <n v="39"/>
    <x v="1484"/>
    <s v="blue"/>
    <s v="black"/>
    <s v="bmw mini financial services"/>
    <n v="12950"/>
    <x v="239"/>
    <s v="Thu Dec 18 2014 12:30:00 GMT-0800 (PST)"/>
    <n v="2014"/>
    <x v="398"/>
    <x v="2"/>
    <s v="Low"/>
  </r>
  <r>
    <n v="2012"/>
    <x v="0"/>
    <x v="10"/>
    <x v="54"/>
    <x v="1"/>
    <s v="automatic"/>
    <s v="5xxgr4a68cg001060"/>
    <s v="ca"/>
    <n v="45"/>
    <x v="1485"/>
    <s v="black"/>
    <s v="black"/>
    <s v="kia motors america  inc"/>
    <n v="17650"/>
    <x v="173"/>
    <s v="Tue May 19 2015 05:00:00 GMT-0700 (PDT)"/>
    <n v="2015"/>
    <x v="83"/>
    <x v="1"/>
    <s v="Low"/>
  </r>
  <r>
    <n v="2012"/>
    <x v="12"/>
    <x v="44"/>
    <x v="188"/>
    <x v="7"/>
    <s v="automatic"/>
    <s v="jn1cv6ekxcm420585"/>
    <s v="ca"/>
    <n v="22"/>
    <x v="1340"/>
    <s v="white"/>
    <s v="beige"/>
    <s v="nissan infiniti lt"/>
    <n v="21200"/>
    <x v="24"/>
    <s v="Tue Dec 16 2014 12:30:00 GMT-0800 (PST)"/>
    <n v="2014"/>
    <x v="359"/>
    <x v="2"/>
    <s v="Medium"/>
  </r>
  <r>
    <n v="2012"/>
    <x v="17"/>
    <x v="91"/>
    <x v="5"/>
    <x v="4"/>
    <s v="automatic"/>
    <s v="wmwzb3c58cwm05077"/>
    <s v="ca"/>
    <n v="47"/>
    <x v="1486"/>
    <s v="beige"/>
    <s v="â€”"/>
    <s v="bmw mini financial services"/>
    <n v="18550"/>
    <x v="211"/>
    <s v="Thu Dec 18 2014 12:30:00 GMT-0800 (PST)"/>
    <n v="2014"/>
    <x v="130"/>
    <x v="1"/>
    <s v="Low"/>
  </r>
  <r>
    <n v="2012"/>
    <x v="14"/>
    <x v="70"/>
    <x v="192"/>
    <x v="1"/>
    <s v="automatic"/>
    <s v="wddhf5kb2ca594172"/>
    <s v="ca"/>
    <n v="44"/>
    <x v="1487"/>
    <s v="gray"/>
    <s v="black"/>
    <s v="mercedes-benz financial services"/>
    <n v="28700"/>
    <x v="266"/>
    <s v="Thu Dec 18 2014 12:30:00 GMT-0800 (PST)"/>
    <n v="2014"/>
    <x v="368"/>
    <x v="1"/>
    <s v="Medium"/>
  </r>
  <r>
    <n v="2012"/>
    <x v="12"/>
    <x v="64"/>
    <x v="58"/>
    <x v="1"/>
    <s v="automatic"/>
    <s v="jn1by1ap7cm330656"/>
    <s v="ca"/>
    <n v="42"/>
    <x v="1488"/>
    <s v="â€”"/>
    <s v="black"/>
    <s v="nissan infiniti lt"/>
    <n v="27900"/>
    <x v="59"/>
    <s v="Thu Jan 15 2015 04:30:00 GMT-0800 (PST)"/>
    <n v="2015"/>
    <x v="89"/>
    <x v="1"/>
    <s v="Medium"/>
  </r>
  <r>
    <n v="2012"/>
    <x v="12"/>
    <x v="44"/>
    <x v="188"/>
    <x v="7"/>
    <s v="manual"/>
    <s v="jn1cv6ek0cm421759"/>
    <s v="ca"/>
    <n v="34"/>
    <x v="1489"/>
    <s v="white"/>
    <s v="black"/>
    <s v="nissan infiniti lt"/>
    <n v="24200"/>
    <x v="20"/>
    <s v="Tue Jan 06 2015 04:30:00 GMT-0800 (PST)"/>
    <n v="2015"/>
    <x v="359"/>
    <x v="2"/>
    <s v="Medium"/>
  </r>
  <r>
    <n v="2012"/>
    <x v="11"/>
    <x v="207"/>
    <x v="5"/>
    <x v="1"/>
    <s v="automatic"/>
    <s v="jthbf5c28c5160859"/>
    <s v="ca"/>
    <n v="37"/>
    <x v="1490"/>
    <s v="black"/>
    <s v="black"/>
    <s v="jpmorgan chase bank n.a."/>
    <n v="21200"/>
    <x v="40"/>
    <s v="Thu Dec 18 2014 12:30:00 GMT-0800 (PST)"/>
    <n v="2014"/>
    <x v="370"/>
    <x v="2"/>
    <s v="Medium"/>
  </r>
  <r>
    <n v="2012"/>
    <x v="12"/>
    <x v="44"/>
    <x v="188"/>
    <x v="7"/>
    <s v="manual"/>
    <s v="jn1cv6ek7cm420415"/>
    <s v="ca"/>
    <n v="4"/>
    <x v="1491"/>
    <s v="black"/>
    <s v="black"/>
    <s v="nissan infiniti lt"/>
    <n v="25900"/>
    <x v="34"/>
    <s v="Thu Dec 18 2014 12:30:00 GMT-0800 (PST)"/>
    <n v="2014"/>
    <x v="359"/>
    <x v="0"/>
    <s v="Medium"/>
  </r>
  <r>
    <n v="2012"/>
    <x v="26"/>
    <x v="36"/>
    <x v="121"/>
    <x v="12"/>
    <s v="automatic"/>
    <s v="salmf1e46ca360169"/>
    <s v="ca"/>
    <n v="29"/>
    <x v="1492"/>
    <s v="black"/>
    <s v="black"/>
    <s v="jpmorgan chase bank n.a."/>
    <n v="47600"/>
    <x v="283"/>
    <s v="Thu Jan 15 2015 04:30:00 GMT-0800 (PST)"/>
    <n v="2015"/>
    <x v="217"/>
    <x v="2"/>
    <s v="Medium"/>
  </r>
  <r>
    <n v="2012"/>
    <x v="16"/>
    <x v="80"/>
    <x v="42"/>
    <x v="11"/>
    <s v="automatic"/>
    <s v="jm1cw2bl0c0109917"/>
    <s v="ca"/>
    <n v="27"/>
    <x v="1493"/>
    <s v="gray"/>
    <s v="black"/>
    <s v="exeter finance corp"/>
    <n v="8250"/>
    <x v="138"/>
    <s v="Thu Dec 18 2014 12:00:00 GMT-0800 (PST)"/>
    <n v="2014"/>
    <x v="115"/>
    <x v="2"/>
    <s v="Low"/>
  </r>
  <r>
    <n v="2012"/>
    <x v="0"/>
    <x v="66"/>
    <x v="5"/>
    <x v="4"/>
    <s v="automatic"/>
    <s v="kndjt2a5xc7430888"/>
    <s v="ca"/>
    <n v="1"/>
    <x v="1494"/>
    <s v="black"/>
    <s v="black"/>
    <s v="kia motors finance"/>
    <n v="10150"/>
    <x v="359"/>
    <s v="Tue Jan 13 2015 13:00:00 GMT-0800 (PST)"/>
    <n v="2015"/>
    <x v="92"/>
    <x v="0"/>
    <s v="Low"/>
  </r>
  <r>
    <n v="2012"/>
    <x v="11"/>
    <x v="69"/>
    <x v="5"/>
    <x v="1"/>
    <s v="automatic"/>
    <s v="jthbk1eg5c2475682"/>
    <s v="ca"/>
    <n v="39"/>
    <x v="1495"/>
    <s v="silver"/>
    <s v="black"/>
    <s v="lexus financial services"/>
    <n v="22800"/>
    <x v="64"/>
    <s v="Wed Dec 17 2014 12:30:00 GMT-0800 (PST)"/>
    <n v="2014"/>
    <x v="95"/>
    <x v="2"/>
    <s v="Medium"/>
  </r>
  <r>
    <n v="2012"/>
    <x v="11"/>
    <x v="207"/>
    <x v="5"/>
    <x v="1"/>
    <s v="automatic"/>
    <s v="jthbf5c26c5162917"/>
    <s v="ca"/>
    <n v="36"/>
    <x v="1496"/>
    <s v="blue"/>
    <s v="beige"/>
    <s v="lexus financial services"/>
    <n v="22400"/>
    <x v="0"/>
    <s v="Tue Dec 23 2014 00:00:00 GMT-0800 (PST)"/>
    <n v="2014"/>
    <x v="370"/>
    <x v="2"/>
    <s v="Medium"/>
  </r>
  <r>
    <n v="2012"/>
    <x v="12"/>
    <x v="45"/>
    <x v="36"/>
    <x v="8"/>
    <s v="automatic"/>
    <s v="jn1cv6ap0cm624670"/>
    <s v="ca"/>
    <n v="42"/>
    <x v="1497"/>
    <s v="â€”"/>
    <s v="black"/>
    <s v="nissan infiniti lt"/>
    <n v="21600"/>
    <x v="40"/>
    <s v="Thu Dec 18 2014 12:30:00 GMT-0800 (PST)"/>
    <n v="2014"/>
    <x v="50"/>
    <x v="1"/>
    <s v="Medium"/>
  </r>
  <r>
    <n v="2012"/>
    <x v="12"/>
    <x v="64"/>
    <x v="206"/>
    <x v="1"/>
    <s v="automatic"/>
    <s v="jn1by1ar9cm390553"/>
    <s v="ca"/>
    <n v="43"/>
    <x v="1498"/>
    <s v="gray"/>
    <s v="black"/>
    <s v="nissan infiniti lt"/>
    <n v="25700"/>
    <x v="86"/>
    <s v="Tue Jan 06 2015 04:30:00 GMT-0800 (PST)"/>
    <n v="2015"/>
    <x v="399"/>
    <x v="1"/>
    <s v="Medium"/>
  </r>
  <r>
    <n v="2012"/>
    <x v="12"/>
    <x v="45"/>
    <x v="36"/>
    <x v="8"/>
    <s v="automatic"/>
    <s v="jn1cv6ap8cm622956"/>
    <s v="ca"/>
    <n v="39"/>
    <x v="1499"/>
    <s v="white"/>
    <s v="black"/>
    <s v="nissan infiniti lt"/>
    <n v="22400"/>
    <x v="97"/>
    <s v="Thu Dec 18 2014 12:30:00 GMT-0800 (PST)"/>
    <n v="2014"/>
    <x v="50"/>
    <x v="2"/>
    <s v="Medium"/>
  </r>
  <r>
    <n v="2012"/>
    <x v="0"/>
    <x v="0"/>
    <x v="54"/>
    <x v="0"/>
    <s v="automatic"/>
    <s v="5xykw4a2xcg255560"/>
    <s v="ca"/>
    <n v="39"/>
    <x v="1500"/>
    <s v="white"/>
    <s v="black"/>
    <s v="kia motors finance"/>
    <n v="18300"/>
    <x v="306"/>
    <s v="Tue Dec 16 2014 12:00:00 GMT-0800 (PST)"/>
    <n v="2014"/>
    <x v="102"/>
    <x v="2"/>
    <s v="Medium"/>
  </r>
  <r>
    <n v="2012"/>
    <x v="12"/>
    <x v="45"/>
    <x v="36"/>
    <x v="8"/>
    <s v="automatic"/>
    <s v="jn1cv6ap8cm620401"/>
    <s v="ca"/>
    <n v="23"/>
    <x v="1047"/>
    <s v="blue"/>
    <s v="black"/>
    <s v="nissan infiniti lt"/>
    <n v="20300"/>
    <x v="320"/>
    <s v="Tue Dec 16 2014 12:30:00 GMT-0800 (PST)"/>
    <n v="2014"/>
    <x v="50"/>
    <x v="2"/>
    <s v="Low"/>
  </r>
  <r>
    <n v="2012"/>
    <x v="12"/>
    <x v="45"/>
    <x v="36"/>
    <x v="8"/>
    <s v="automatic"/>
    <s v="jn1cv6ap3cm625473"/>
    <s v="ca"/>
    <n v="42"/>
    <x v="1501"/>
    <s v="black"/>
    <s v="black"/>
    <s v="nissan infiniti lt"/>
    <n v="20200"/>
    <x v="106"/>
    <s v="Wed Dec 17 2014 12:30:00 GMT-0800 (PST)"/>
    <n v="2014"/>
    <x v="50"/>
    <x v="1"/>
    <s v="Medium"/>
  </r>
  <r>
    <n v="2012"/>
    <x v="13"/>
    <x v="206"/>
    <x v="42"/>
    <x v="0"/>
    <s v="automatic"/>
    <s v="1c4pjmak5cw183626"/>
    <s v="ca"/>
    <n v="35"/>
    <x v="566"/>
    <s v="silver"/>
    <s v="black"/>
    <s v="dtg operations inc"/>
    <n v="14450"/>
    <x v="13"/>
    <s v="Thu Dec 18 2014 11:30:00 GMT-0800 (PST)"/>
    <n v="2014"/>
    <x v="369"/>
    <x v="2"/>
    <s v="Low"/>
  </r>
  <r>
    <n v="2012"/>
    <x v="12"/>
    <x v="45"/>
    <x v="36"/>
    <x v="8"/>
    <s v="automatic"/>
    <s v="jn1cv6ap6cm934600"/>
    <s v="ca"/>
    <n v="44"/>
    <x v="1502"/>
    <s v="blue"/>
    <s v="black"/>
    <s v="nissan infiniti lt"/>
    <n v="23200"/>
    <x v="29"/>
    <s v="Thu Dec 18 2014 12:30:00 GMT-0800 (PST)"/>
    <n v="2014"/>
    <x v="50"/>
    <x v="1"/>
    <s v="Medium"/>
  </r>
  <r>
    <n v="2012"/>
    <x v="12"/>
    <x v="45"/>
    <x v="36"/>
    <x v="8"/>
    <s v="automatic"/>
    <s v="jn1cv6ap7cm932340"/>
    <s v="ca"/>
    <n v="42"/>
    <x v="1503"/>
    <s v="blue"/>
    <s v="black"/>
    <s v="nissan infiniti lt"/>
    <n v="21800"/>
    <x v="78"/>
    <s v="Thu Dec 18 2014 12:30:00 GMT-0800 (PST)"/>
    <n v="2014"/>
    <x v="50"/>
    <x v="1"/>
    <s v="Medium"/>
  </r>
  <r>
    <n v="2012"/>
    <x v="12"/>
    <x v="64"/>
    <x v="206"/>
    <x v="1"/>
    <s v="automatic"/>
    <s v="jn1by1ar3cm392623"/>
    <s v="ca"/>
    <n v="38"/>
    <x v="1504"/>
    <s v="black"/>
    <s v="black"/>
    <s v="nissan infiniti lt"/>
    <n v="26300"/>
    <x v="2"/>
    <s v="Thu Dec 18 2014 12:30:00 GMT-0800 (PST)"/>
    <n v="2014"/>
    <x v="399"/>
    <x v="2"/>
    <s v="Medium"/>
  </r>
  <r>
    <n v="2012"/>
    <x v="17"/>
    <x v="73"/>
    <x v="5"/>
    <x v="5"/>
    <s v="automatic"/>
    <s v="wmwsu3c58ct256733"/>
    <s v="ca"/>
    <n v="3"/>
    <x v="1505"/>
    <s v="red"/>
    <s v="â€”"/>
    <s v="bmw mini financial services"/>
    <n v="14150"/>
    <x v="229"/>
    <s v="Thu Jan 15 2015 04:30:00 GMT-0800 (PST)"/>
    <n v="2015"/>
    <x v="99"/>
    <x v="0"/>
    <s v="Low"/>
  </r>
  <r>
    <n v="2012"/>
    <x v="12"/>
    <x v="64"/>
    <x v="58"/>
    <x v="1"/>
    <s v="automatic"/>
    <s v="jn1by1ap5cm332499"/>
    <s v="ca"/>
    <n v="39"/>
    <x v="1506"/>
    <s v="black"/>
    <s v="black"/>
    <s v="nissan infiniti lt"/>
    <n v="27400"/>
    <x v="118"/>
    <s v="Thu Dec 18 2014 12:30:00 GMT-0800 (PST)"/>
    <n v="2014"/>
    <x v="89"/>
    <x v="2"/>
    <s v="Medium"/>
  </r>
  <r>
    <n v="2012"/>
    <x v="12"/>
    <x v="45"/>
    <x v="36"/>
    <x v="8"/>
    <s v="automatic"/>
    <s v="jn1cv6ap7cm622933"/>
    <s v="ca"/>
    <n v="42"/>
    <x v="1507"/>
    <s v="black"/>
    <s v="black"/>
    <s v="nissan infiniti lt"/>
    <n v="20400"/>
    <x v="29"/>
    <s v="Thu Dec 18 2014 12:30:00 GMT-0800 (PST)"/>
    <n v="2014"/>
    <x v="50"/>
    <x v="1"/>
    <s v="Medium"/>
  </r>
  <r>
    <n v="2012"/>
    <x v="12"/>
    <x v="44"/>
    <x v="188"/>
    <x v="7"/>
    <s v="automatic"/>
    <s v="jn1cv6ek1cm422290"/>
    <s v="ca"/>
    <n v="39"/>
    <x v="1508"/>
    <s v="gray"/>
    <s v="black"/>
    <s v="nissan infiniti lt"/>
    <n v="21700"/>
    <x v="105"/>
    <s v="Thu Dec 18 2014 12:30:00 GMT-0800 (PST)"/>
    <n v="2014"/>
    <x v="359"/>
    <x v="2"/>
    <s v="Medium"/>
  </r>
  <r>
    <n v="2012"/>
    <x v="12"/>
    <x v="44"/>
    <x v="188"/>
    <x v="7"/>
    <s v="automatic"/>
    <s v="jn1cv6ek4cm422185"/>
    <s v="ca"/>
    <n v="35"/>
    <x v="1509"/>
    <s v="gray"/>
    <s v="black"/>
    <s v="nissan infiniti lt"/>
    <n v="21600"/>
    <x v="97"/>
    <s v="Wed Dec 17 2014 12:30:00 GMT-0800 (PST)"/>
    <n v="2014"/>
    <x v="359"/>
    <x v="2"/>
    <s v="Medium"/>
  </r>
  <r>
    <n v="2012"/>
    <x v="11"/>
    <x v="217"/>
    <x v="5"/>
    <x v="1"/>
    <s v="automatic"/>
    <s v="jthbe5c27c5029117"/>
    <s v="ca"/>
    <n v="38"/>
    <x v="1510"/>
    <s v="white"/>
    <s v="black"/>
    <s v="lexus of valencia"/>
    <n v="23800"/>
    <x v="27"/>
    <s v="Wed Dec 17 2014 12:15:00 GMT-0800 (PST)"/>
    <n v="2014"/>
    <x v="400"/>
    <x v="2"/>
    <s v="Medium"/>
  </r>
  <r>
    <n v="2012"/>
    <x v="16"/>
    <x v="71"/>
    <x v="65"/>
    <x v="1"/>
    <s v="automatic"/>
    <s v="jm1bl1v88c1676117"/>
    <s v="ca"/>
    <n v="34"/>
    <x v="1511"/>
    <s v="black"/>
    <s v="black"/>
    <s v="jpmorgan chase bank n.a."/>
    <n v="9775"/>
    <x v="250"/>
    <s v="Tue Dec 16 2014 12:30:00 GMT-0800 (PST)"/>
    <n v="2014"/>
    <x v="104"/>
    <x v="2"/>
    <s v="Low"/>
  </r>
  <r>
    <n v="2012"/>
    <x v="12"/>
    <x v="45"/>
    <x v="36"/>
    <x v="8"/>
    <s v="automatic"/>
    <s v="jn1cv6ap0cm620392"/>
    <s v="ca"/>
    <n v="35"/>
    <x v="1512"/>
    <s v="gray"/>
    <s v="black"/>
    <s v="nissan infiniti lt"/>
    <n v="21800"/>
    <x v="105"/>
    <s v="Thu Dec 18 2014 12:30:00 GMT-0800 (PST)"/>
    <n v="2014"/>
    <x v="50"/>
    <x v="2"/>
    <s v="Medium"/>
  </r>
  <r>
    <n v="2012"/>
    <x v="17"/>
    <x v="73"/>
    <x v="5"/>
    <x v="5"/>
    <s v="automatic"/>
    <s v="wmwsu3c56ct257122"/>
    <s v="ca"/>
    <n v="36"/>
    <x v="1513"/>
    <s v="blue"/>
    <s v="â€”"/>
    <s v="bmw mini financial services"/>
    <n v="13750"/>
    <x v="349"/>
    <s v="Thu Jan 15 2015 04:30:00 GMT-0800 (PST)"/>
    <n v="2015"/>
    <x v="99"/>
    <x v="2"/>
    <s v="Low"/>
  </r>
  <r>
    <n v="2012"/>
    <x v="14"/>
    <x v="61"/>
    <x v="56"/>
    <x v="1"/>
    <s v="automatic"/>
    <s v="wddgf4hb8cr233513"/>
    <s v="ca"/>
    <n v="48"/>
    <x v="1514"/>
    <s v="white"/>
    <s v="black"/>
    <s v="aaero sweet company"/>
    <n v="21800"/>
    <x v="102"/>
    <s v="Wed Dec 17 2014 12:15:00 GMT-0800 (PST)"/>
    <n v="2014"/>
    <x v="87"/>
    <x v="1"/>
    <s v="Medium"/>
  </r>
  <r>
    <n v="2012"/>
    <x v="26"/>
    <x v="36"/>
    <x v="121"/>
    <x v="12"/>
    <s v="automatic"/>
    <s v="salmf1e48ca360609"/>
    <s v="ca"/>
    <n v="29"/>
    <x v="1515"/>
    <s v="black"/>
    <s v="black"/>
    <s v="jpmorgan chase bank n.a."/>
    <n v="46400"/>
    <x v="280"/>
    <s v="Thu Feb 12 2015 04:30:00 GMT-0800 (PST)"/>
    <n v="2015"/>
    <x v="217"/>
    <x v="2"/>
    <s v="Medium"/>
  </r>
  <r>
    <n v="2012"/>
    <x v="17"/>
    <x v="73"/>
    <x v="5"/>
    <x v="5"/>
    <s v="manual"/>
    <s v="wmwsu3c53ct185196"/>
    <s v="ca"/>
    <n v="39"/>
    <x v="1516"/>
    <s v="red"/>
    <s v="â€”"/>
    <s v="bmw mini financial services"/>
    <n v="12550"/>
    <x v="39"/>
    <s v="Thu Dec 18 2014 12:30:00 GMT-0800 (PST)"/>
    <n v="2014"/>
    <x v="99"/>
    <x v="2"/>
    <s v="Low"/>
  </r>
  <r>
    <n v="2012"/>
    <x v="12"/>
    <x v="64"/>
    <x v="58"/>
    <x v="1"/>
    <s v="automatic"/>
    <s v="jn1by1ap1cm332581"/>
    <s v="ca"/>
    <n v="42"/>
    <x v="1517"/>
    <s v="black"/>
    <s v="black"/>
    <s v="nissan infiniti lt"/>
    <n v="26400"/>
    <x v="109"/>
    <s v="Tue Jan 06 2015 12:30:00 GMT-0800 (PST)"/>
    <n v="2015"/>
    <x v="89"/>
    <x v="1"/>
    <s v="Medium"/>
  </r>
  <r>
    <n v="2012"/>
    <x v="13"/>
    <x v="206"/>
    <x v="42"/>
    <x v="0"/>
    <s v="automatic"/>
    <s v="1c4pjlak5cw208177"/>
    <s v="ca"/>
    <n v="43"/>
    <x v="1518"/>
    <s v="silver"/>
    <s v="black"/>
    <s v="remarketing by ge/mission fcu"/>
    <n v="14750"/>
    <x v="318"/>
    <s v="Tue Dec 16 2014 12:00:00 GMT-0800 (PST)"/>
    <n v="2014"/>
    <x v="369"/>
    <x v="1"/>
    <s v="Low"/>
  </r>
  <r>
    <n v="2012"/>
    <x v="17"/>
    <x v="73"/>
    <x v="5"/>
    <x v="5"/>
    <s v="automatic"/>
    <s v="wmwsu3c56ct257413"/>
    <s v="ca"/>
    <n v="37"/>
    <x v="1519"/>
    <s v="blue"/>
    <s v="â€”"/>
    <s v="bmw mini financial services"/>
    <n v="12900"/>
    <x v="98"/>
    <s v="Thu Dec 18 2014 12:30:00 GMT-0800 (PST)"/>
    <n v="2014"/>
    <x v="99"/>
    <x v="2"/>
    <s v="Low"/>
  </r>
  <r>
    <n v="2012"/>
    <x v="12"/>
    <x v="64"/>
    <x v="206"/>
    <x v="1"/>
    <s v="automatic"/>
    <s v="jn1by1ar2cm390295"/>
    <s v="ca"/>
    <n v="27"/>
    <x v="1520"/>
    <s v="â€”"/>
    <s v="black"/>
    <s v="nissan infiniti lt"/>
    <n v="28700"/>
    <x v="360"/>
    <s v="Wed Dec 17 2014 12:30:00 GMT-0800 (PST)"/>
    <n v="2014"/>
    <x v="399"/>
    <x v="2"/>
    <s v="Medium"/>
  </r>
  <r>
    <n v="2012"/>
    <x v="20"/>
    <x v="88"/>
    <x v="5"/>
    <x v="1"/>
    <s v="automatic"/>
    <s v="sajwa0fb6cls22675"/>
    <s v="ca"/>
    <n v="48"/>
    <x v="1521"/>
    <s v="white"/>
    <s v="beige"/>
    <s v="jpmorgan chase bank n.a."/>
    <n v="28500"/>
    <x v="89"/>
    <s v="Thu Dec 18 2014 12:30:00 GMT-0800 (PST)"/>
    <n v="2014"/>
    <x v="126"/>
    <x v="1"/>
    <s v="Medium"/>
  </r>
  <r>
    <n v="2012"/>
    <x v="17"/>
    <x v="73"/>
    <x v="5"/>
    <x v="5"/>
    <s v="automatic"/>
    <s v="wmwsu3c55ct256009"/>
    <s v="ca"/>
    <n v="38"/>
    <x v="1522"/>
    <s v="blue"/>
    <s v="â€”"/>
    <s v="bmw mini financial services"/>
    <n v="14200"/>
    <x v="186"/>
    <s v="Thu Dec 18 2014 12:30:00 GMT-0800 (PST)"/>
    <n v="2014"/>
    <x v="99"/>
    <x v="2"/>
    <s v="Low"/>
  </r>
  <r>
    <n v="2012"/>
    <x v="14"/>
    <x v="70"/>
    <x v="192"/>
    <x v="1"/>
    <s v="automatic"/>
    <s v="wddhf5kb3ca561858"/>
    <s v="ca"/>
    <n v="41"/>
    <x v="1523"/>
    <s v="â€”"/>
    <s v="off-white"/>
    <s v="mercedes-benz financial services"/>
    <n v="29200"/>
    <x v="266"/>
    <s v="Thu Dec 18 2014 12:30:00 GMT-0800 (PST)"/>
    <n v="2014"/>
    <x v="368"/>
    <x v="1"/>
    <s v="Medium"/>
  </r>
  <r>
    <n v="2012"/>
    <x v="13"/>
    <x v="218"/>
    <x v="42"/>
    <x v="0"/>
    <s v="automatic"/>
    <s v="1c4njpbb6cd528245"/>
    <s v="ca"/>
    <n v="37"/>
    <x v="1524"/>
    <s v="white"/>
    <s v="black"/>
    <s v="remarketing by ge/xpress rent a car"/>
    <n v="7950"/>
    <x v="361"/>
    <s v="Tue Dec 30 2014 15:00:00 GMT-0800 (PST)"/>
    <n v="2014"/>
    <x v="401"/>
    <x v="2"/>
    <s v="Low"/>
  </r>
  <r>
    <n v="2012"/>
    <x v="12"/>
    <x v="45"/>
    <x v="36"/>
    <x v="8"/>
    <s v="automatic"/>
    <s v="jn1cv6ap2cm623102"/>
    <s v="ca"/>
    <n v="33"/>
    <x v="1525"/>
    <s v="gold"/>
    <s v="beige"/>
    <s v="nissan infiniti lt"/>
    <n v="21400"/>
    <x v="29"/>
    <s v="Thu Dec 18 2014 12:30:00 GMT-0800 (PST)"/>
    <n v="2014"/>
    <x v="50"/>
    <x v="2"/>
    <s v="Medium"/>
  </r>
  <r>
    <n v="2012"/>
    <x v="0"/>
    <x v="75"/>
    <x v="69"/>
    <x v="1"/>
    <s v="automatic"/>
    <s v="knafu4a20c5501478"/>
    <s v="ca"/>
    <n v="26"/>
    <x v="1526"/>
    <s v="gray"/>
    <s v="gray"/>
    <s v="santander consumer"/>
    <n v="7275"/>
    <x v="121"/>
    <s v="Thu Feb 12 2015 04:00:00 GMT-0800 (PST)"/>
    <n v="2015"/>
    <x v="114"/>
    <x v="2"/>
    <s v="Low"/>
  </r>
  <r>
    <n v="2012"/>
    <x v="14"/>
    <x v="61"/>
    <x v="56"/>
    <x v="1"/>
    <s v="automatic"/>
    <s v="wddgf4hbxcr213327"/>
    <s v="ca"/>
    <n v="38"/>
    <x v="1527"/>
    <s v="â€”"/>
    <s v="black"/>
    <s v="mercedes-benz financial services"/>
    <n v="21700"/>
    <x v="185"/>
    <s v="Thu Dec 18 2014 12:30:00 GMT-0800 (PST)"/>
    <n v="2014"/>
    <x v="87"/>
    <x v="2"/>
    <s v="Medium"/>
  </r>
  <r>
    <n v="2012"/>
    <x v="12"/>
    <x v="45"/>
    <x v="36"/>
    <x v="8"/>
    <s v="automatic"/>
    <s v="jn1cv6ap2cm620734"/>
    <s v="ca"/>
    <n v="4"/>
    <x v="1528"/>
    <s v="gray"/>
    <s v="black"/>
    <s v="tradewinds remarketing"/>
    <n v="20400"/>
    <x v="120"/>
    <s v="Tue Dec 16 2014 12:00:00 GMT-0800 (PST)"/>
    <n v="2014"/>
    <x v="50"/>
    <x v="0"/>
    <s v="Medium"/>
  </r>
  <r>
    <n v="2012"/>
    <x v="0"/>
    <x v="216"/>
    <x v="0"/>
    <x v="11"/>
    <m/>
    <s v="kndmg4c7xc6479574"/>
    <s v="ca"/>
    <n v="39"/>
    <x v="1529"/>
    <s v="red"/>
    <s v="beige"/>
    <s v="dtg operations inc"/>
    <n v="8650"/>
    <x v="274"/>
    <s v="Thu Dec 18 2014 11:30:00 GMT-0800 (PST)"/>
    <n v="2014"/>
    <x v="395"/>
    <x v="2"/>
    <s v="Low"/>
  </r>
  <r>
    <n v="2012"/>
    <x v="17"/>
    <x v="73"/>
    <x v="5"/>
    <x v="5"/>
    <s v="automatic"/>
    <s v="wmwsu3c53ct263928"/>
    <s v="ca"/>
    <n v="45"/>
    <x v="1530"/>
    <s v="red"/>
    <s v="black"/>
    <s v="bmw mini financial services"/>
    <n v="14150"/>
    <x v="180"/>
    <s v="Thu Dec 18 2014 12:30:00 GMT-0800 (PST)"/>
    <n v="2014"/>
    <x v="99"/>
    <x v="1"/>
    <s v="Low"/>
  </r>
  <r>
    <n v="2012"/>
    <x v="12"/>
    <x v="64"/>
    <x v="58"/>
    <x v="1"/>
    <s v="automatic"/>
    <s v="jn1by1ap1cm331687"/>
    <s v="ca"/>
    <n v="34"/>
    <x v="1531"/>
    <s v="gray"/>
    <s v="black"/>
    <s v="nissan infiniti lt"/>
    <n v="27400"/>
    <x v="118"/>
    <s v="Thu Dec 18 2014 12:30:00 GMT-0800 (PST)"/>
    <n v="2014"/>
    <x v="89"/>
    <x v="2"/>
    <s v="Medium"/>
  </r>
  <r>
    <n v="2012"/>
    <x v="19"/>
    <x v="213"/>
    <x v="72"/>
    <x v="0"/>
    <m/>
    <s v="5lmjj3h53cel07987"/>
    <s v="ca"/>
    <n v="47"/>
    <x v="1532"/>
    <s v="white"/>
    <s v="gray"/>
    <s v="ford motor credit company llc pd"/>
    <n v="32400"/>
    <x v="235"/>
    <s v="Thu Dec 18 2014 12:00:00 GMT-0800 (PST)"/>
    <n v="2014"/>
    <x v="402"/>
    <x v="1"/>
    <s v="Medium"/>
  </r>
  <r>
    <n v="2012"/>
    <x v="18"/>
    <x v="93"/>
    <x v="200"/>
    <x v="0"/>
    <s v="automatic"/>
    <s v="salsf2d49ca718718"/>
    <s v="ca"/>
    <n v="45"/>
    <x v="1533"/>
    <s v="white"/>
    <s v="tan"/>
    <s v="land rover north america llc"/>
    <n v="42000"/>
    <x v="196"/>
    <s v="Thu Dec 18 2014 12:30:00 GMT-0800 (PST)"/>
    <n v="2014"/>
    <x v="396"/>
    <x v="1"/>
    <s v="Medium"/>
  </r>
  <r>
    <n v="2012"/>
    <x v="17"/>
    <x v="73"/>
    <x v="89"/>
    <x v="5"/>
    <s v="manual"/>
    <s v="wmwsv3c50cty25460"/>
    <s v="ca"/>
    <n v="43"/>
    <x v="1534"/>
    <s v="green"/>
    <s v="â€”"/>
    <s v="bmw mini financial services"/>
    <n v="18300"/>
    <x v="130"/>
    <s v="Thu Dec 18 2014 12:30:00 GMT-0800 (PST)"/>
    <n v="2014"/>
    <x v="386"/>
    <x v="1"/>
    <s v="Medium"/>
  </r>
  <r>
    <n v="2012"/>
    <x v="12"/>
    <x v="45"/>
    <x v="36"/>
    <x v="8"/>
    <s v="automatic"/>
    <s v="jn1cv6ap1cm627934"/>
    <s v="ca"/>
    <n v="42"/>
    <x v="552"/>
    <s v="white"/>
    <s v="black"/>
    <s v="exeter finance corp"/>
    <n v="21900"/>
    <x v="40"/>
    <s v="Thu Dec 18 2014 12:00:00 GMT-0800 (PST)"/>
    <n v="2014"/>
    <x v="50"/>
    <x v="1"/>
    <s v="Medium"/>
  </r>
  <r>
    <n v="2012"/>
    <x v="16"/>
    <x v="71"/>
    <x v="70"/>
    <x v="1"/>
    <s v="automatic"/>
    <s v="jm1bl1ug0c1525605"/>
    <s v="ca"/>
    <n v="37"/>
    <x v="1535"/>
    <s v="gray"/>
    <s v="black"/>
    <s v="jpmorgan chase bank n.a."/>
    <n v="8000"/>
    <x v="74"/>
    <s v="Tue Dec 16 2014 12:30:00 GMT-0800 (PST)"/>
    <n v="2014"/>
    <x v="112"/>
    <x v="2"/>
    <s v="Low"/>
  </r>
  <r>
    <n v="2012"/>
    <x v="3"/>
    <x v="4"/>
    <x v="4"/>
    <x v="1"/>
    <s v="automatic"/>
    <s v="1n4al2apxcn433082"/>
    <s v="ca"/>
    <n v="25"/>
    <x v="1536"/>
    <s v="gray"/>
    <s v="black"/>
    <s v="nissan-infiniti lt"/>
    <n v="12300"/>
    <x v="51"/>
    <s v="Tue Dec 16 2014 12:30:00 GMT-0800 (PST)"/>
    <n v="2014"/>
    <x v="4"/>
    <x v="2"/>
    <s v="Low"/>
  </r>
  <r>
    <n v="2012"/>
    <x v="14"/>
    <x v="58"/>
    <x v="52"/>
    <x v="1"/>
    <s v="automatic"/>
    <s v="wddng7db7ca436127"/>
    <s v="ca"/>
    <n v="33"/>
    <x v="1537"/>
    <s v="â€”"/>
    <s v="black"/>
    <s v="mercedes-benz financial services"/>
    <n v="43100"/>
    <x v="283"/>
    <s v="Thu Jan 29 2015 04:30:00 GMT-0800 (PST)"/>
    <n v="2015"/>
    <x v="79"/>
    <x v="2"/>
    <s v="Medium"/>
  </r>
  <r>
    <n v="2012"/>
    <x v="15"/>
    <x v="219"/>
    <x v="207"/>
    <x v="12"/>
    <s v="automatic"/>
    <s v="4a32b2ff6ce016184"/>
    <s v="ca"/>
    <n v="41"/>
    <x v="1538"/>
    <s v="red"/>
    <s v="black"/>
    <s v="dtg operations inc"/>
    <n v="7925"/>
    <x v="142"/>
    <s v="Tue Dec 16 2014 12:30:00 GMT-0800 (PST)"/>
    <n v="2014"/>
    <x v="403"/>
    <x v="1"/>
    <s v="Low"/>
  </r>
  <r>
    <n v="2012"/>
    <x v="3"/>
    <x v="100"/>
    <x v="208"/>
    <x v="1"/>
    <s v="automatic"/>
    <s v="3n1ab6ap1cl763961"/>
    <s v="ca"/>
    <n v="36"/>
    <x v="1539"/>
    <s v="black"/>
    <s v="gray"/>
    <s v="autonet trading"/>
    <n v="9600"/>
    <x v="231"/>
    <s v="Wed Feb 25 2015 04:30:00 GMT-0800 (PST)"/>
    <n v="2015"/>
    <x v="404"/>
    <x v="2"/>
    <s v="Low"/>
  </r>
  <r>
    <n v="2012"/>
    <x v="14"/>
    <x v="215"/>
    <x v="203"/>
    <x v="2"/>
    <s v="automatic"/>
    <s v="wdbsk7ba3cf169124"/>
    <s v="ca"/>
    <n v="39"/>
    <x v="1540"/>
    <s v="silver"/>
    <s v="black"/>
    <s v="sports trend auto sales"/>
    <n v="58400"/>
    <x v="43"/>
    <s v="Thu Jan 29 2015 04:30:00 GMT-0800 (PST)"/>
    <n v="2015"/>
    <x v="391"/>
    <x v="2"/>
    <s v="Medium"/>
  </r>
  <r>
    <n v="2012"/>
    <x v="3"/>
    <x v="31"/>
    <x v="209"/>
    <x v="5"/>
    <m/>
    <s v="3n1bc1cp1cl373279"/>
    <s v="ca"/>
    <n v="34"/>
    <x v="1541"/>
    <s v="silver"/>
    <s v="black"/>
    <s v="gm financial"/>
    <n v="7875"/>
    <x v="128"/>
    <s v="Wed Dec 17 2014 12:30:00 GMT-0800 (PST)"/>
    <n v="2014"/>
    <x v="405"/>
    <x v="2"/>
    <s v="Low"/>
  </r>
  <r>
    <n v="2012"/>
    <x v="3"/>
    <x v="104"/>
    <x v="93"/>
    <x v="5"/>
    <s v="automatic"/>
    <s v="jn1az0cp8ct015709"/>
    <s v="ca"/>
    <n v="46"/>
    <x v="1542"/>
    <s v="â€”"/>
    <s v="beige"/>
    <s v="nissan-infiniti lt"/>
    <n v="10100"/>
    <x v="11"/>
    <s v="Wed Dec 17 2014 12:30:00 GMT-0800 (PST)"/>
    <n v="2014"/>
    <x v="149"/>
    <x v="1"/>
    <s v="Low"/>
  </r>
  <r>
    <n v="2012"/>
    <x v="3"/>
    <x v="4"/>
    <x v="4"/>
    <x v="1"/>
    <s v="automatic"/>
    <s v="1n4al2apxcn440467"/>
    <s v="ca"/>
    <n v="46"/>
    <x v="1543"/>
    <s v="gold"/>
    <s v="beige"/>
    <s v="nissan-infiniti lt"/>
    <n v="12200"/>
    <x v="259"/>
    <s v="Tue Dec 16 2014 12:30:00 GMT-0800 (PST)"/>
    <n v="2014"/>
    <x v="4"/>
    <x v="1"/>
    <s v="Low"/>
  </r>
  <r>
    <n v="2012"/>
    <x v="33"/>
    <x v="220"/>
    <x v="210"/>
    <x v="23"/>
    <m/>
    <s v="3c6jd6ct4cg277128"/>
    <s v="ca"/>
    <m/>
    <x v="1544"/>
    <s v="gray"/>
    <s v="â€”"/>
    <s v="walters auto sales/service inc"/>
    <n v="19850"/>
    <x v="62"/>
    <s v="Tue Dec 16 2014 12:30:00 GMT-0800 (PST)"/>
    <n v="2014"/>
    <x v="406"/>
    <x v="0"/>
    <s v="Medium"/>
  </r>
  <r>
    <n v="2012"/>
    <x v="3"/>
    <x v="4"/>
    <x v="4"/>
    <x v="1"/>
    <s v="automatic"/>
    <s v="1n4al2ap5cn547233"/>
    <s v="ca"/>
    <n v="35"/>
    <x v="1545"/>
    <s v="red"/>
    <s v="black"/>
    <s v="sama california auto export inc"/>
    <n v="9925"/>
    <x v="6"/>
    <s v="Tue Dec 16 2014 12:30:00 GMT-0800 (PST)"/>
    <n v="2014"/>
    <x v="4"/>
    <x v="2"/>
    <s v="Low"/>
  </r>
  <r>
    <n v="2012"/>
    <x v="33"/>
    <x v="220"/>
    <x v="211"/>
    <x v="23"/>
    <s v="automatic"/>
    <s v="3c6jd6ak6cg143165"/>
    <s v="ca"/>
    <n v="36"/>
    <x v="1546"/>
    <s v="white"/>
    <s v="black"/>
    <s v="myrddin fleet services"/>
    <n v="11750"/>
    <x v="36"/>
    <s v="Thu Dec 18 2014 12:00:00 GMT-0800 (PST)"/>
    <n v="2014"/>
    <x v="407"/>
    <x v="2"/>
    <s v="Low"/>
  </r>
  <r>
    <n v="2012"/>
    <x v="3"/>
    <x v="4"/>
    <x v="4"/>
    <x v="1"/>
    <s v="automatic"/>
    <s v="1n4al2ap5cn454566"/>
    <s v="ca"/>
    <n v="38"/>
    <x v="1547"/>
    <s v="white"/>
    <s v="black"/>
    <s v="nissan-infiniti lt"/>
    <n v="12250"/>
    <x v="11"/>
    <s v="Tue Dec 16 2014 12:30:00 GMT-0800 (PST)"/>
    <n v="2014"/>
    <x v="4"/>
    <x v="2"/>
    <s v="Low"/>
  </r>
  <r>
    <n v="2012"/>
    <x v="3"/>
    <x v="31"/>
    <x v="209"/>
    <x v="5"/>
    <m/>
    <s v="3n1bc1cp1ck816312"/>
    <s v="ca"/>
    <n v="36"/>
    <x v="1548"/>
    <s v="black"/>
    <s v="black"/>
    <s v="merchants leasing"/>
    <n v="7825"/>
    <x v="142"/>
    <s v="Wed Dec 17 2014 12:30:00 GMT-0800 (PST)"/>
    <n v="2014"/>
    <x v="405"/>
    <x v="2"/>
    <s v="Low"/>
  </r>
  <r>
    <n v="2012"/>
    <x v="3"/>
    <x v="4"/>
    <x v="4"/>
    <x v="1"/>
    <s v="automatic"/>
    <s v="1n4al2ap7cn400752"/>
    <s v="ca"/>
    <n v="25"/>
    <x v="1549"/>
    <s v="blue"/>
    <s v="black"/>
    <s v="balboa thrift &amp; loan association"/>
    <n v="9125"/>
    <x v="184"/>
    <s v="Tue Dec 16 2014 12:00:00 GMT-0800 (PST)"/>
    <n v="2014"/>
    <x v="4"/>
    <x v="2"/>
    <s v="Low"/>
  </r>
  <r>
    <n v="2012"/>
    <x v="3"/>
    <x v="100"/>
    <x v="208"/>
    <x v="1"/>
    <m/>
    <s v="3n1ab6ap8cl622983"/>
    <s v="ca"/>
    <n v="19"/>
    <x v="1550"/>
    <s v="black"/>
    <s v="gray"/>
    <s v="california republic bank"/>
    <n v="8450"/>
    <x v="165"/>
    <s v="Wed Dec 17 2014 11:00:00 GMT-0800 (PST)"/>
    <n v="2014"/>
    <x v="404"/>
    <x v="0"/>
    <s v="Low"/>
  </r>
  <r>
    <n v="2012"/>
    <x v="22"/>
    <x v="111"/>
    <x v="5"/>
    <x v="1"/>
    <s v="automatic"/>
    <s v="4t1bk3db3cu449763"/>
    <s v="ca"/>
    <n v="35"/>
    <x v="1551"/>
    <s v="black"/>
    <s v="black"/>
    <s v="rd cars"/>
    <n v="17000"/>
    <x v="16"/>
    <s v="Wed Dec 17 2014 12:30:00 GMT-0800 (PST)"/>
    <n v="2014"/>
    <x v="408"/>
    <x v="2"/>
    <s v="Low"/>
  </r>
  <r>
    <n v="2012"/>
    <x v="3"/>
    <x v="118"/>
    <x v="110"/>
    <x v="1"/>
    <s v="automatic"/>
    <s v="1n4aa5ap0cc842808"/>
    <s v="ca"/>
    <n v="19"/>
    <x v="1552"/>
    <s v="blue"/>
    <s v="black"/>
    <s v="the hertz corporation"/>
    <n v="15100"/>
    <x v="36"/>
    <s v="Thu Feb 05 2015 03:30:00 GMT-0800 (PST)"/>
    <n v="2015"/>
    <x v="187"/>
    <x v="0"/>
    <s v="Low"/>
  </r>
  <r>
    <n v="2012"/>
    <x v="15"/>
    <x v="219"/>
    <x v="207"/>
    <x v="12"/>
    <s v="automatic"/>
    <s v="4a32b2ff0ce016262"/>
    <s v="ca"/>
    <n v="31"/>
    <x v="1553"/>
    <s v="white"/>
    <s v="gray"/>
    <s v="dtg operations inc"/>
    <n v="8000"/>
    <x v="128"/>
    <s v="Thu Dec 18 2014 11:30:00 GMT-0800 (PST)"/>
    <n v="2014"/>
    <x v="403"/>
    <x v="2"/>
    <s v="Low"/>
  </r>
  <r>
    <n v="2012"/>
    <x v="15"/>
    <x v="219"/>
    <x v="207"/>
    <x v="12"/>
    <s v="automatic"/>
    <s v="4a32b2ff5ce008853"/>
    <s v="ca"/>
    <n v="26"/>
    <x v="1554"/>
    <s v="black"/>
    <s v="black"/>
    <s v="balboa thrift &amp; loan association"/>
    <n v="7650"/>
    <x v="327"/>
    <s v="Tue Dec 16 2014 12:30:00 GMT-0800 (PST)"/>
    <n v="2014"/>
    <x v="403"/>
    <x v="2"/>
    <s v="Low"/>
  </r>
  <r>
    <n v="2012"/>
    <x v="3"/>
    <x v="4"/>
    <x v="4"/>
    <x v="1"/>
    <s v="automatic"/>
    <s v="1n4al2ap5cn576568"/>
    <s v="ca"/>
    <n v="29"/>
    <x v="1555"/>
    <s v="blue"/>
    <s v="black"/>
    <s v="santander consumer"/>
    <n v="10300"/>
    <x v="36"/>
    <s v="Thu Dec 18 2014 12:00:00 GMT-0800 (PST)"/>
    <n v="2014"/>
    <x v="4"/>
    <x v="2"/>
    <s v="Low"/>
  </r>
  <r>
    <n v="2012"/>
    <x v="3"/>
    <x v="31"/>
    <x v="209"/>
    <x v="5"/>
    <s v="automatic"/>
    <s v="3n1bc1cp8ck806330"/>
    <s v="ca"/>
    <m/>
    <x v="1556"/>
    <s v="silver"/>
    <s v="black"/>
    <s v="lease plan usa"/>
    <n v="8900"/>
    <x v="150"/>
    <s v="Tue Dec 16 2014 13:00:00 GMT-0800 (PST)"/>
    <n v="2014"/>
    <x v="405"/>
    <x v="0"/>
    <s v="Low"/>
  </r>
  <r>
    <n v="2012"/>
    <x v="3"/>
    <x v="4"/>
    <x v="4"/>
    <x v="1"/>
    <s v="automatic"/>
    <s v="1n4al2ap8cn467277"/>
    <s v="ca"/>
    <n v="26"/>
    <x v="1557"/>
    <s v="white"/>
    <s v="gray"/>
    <s v="the hertz corporation"/>
    <n v="11000"/>
    <x v="231"/>
    <s v="Fri Dec 26 2014 12:00:00 GMT-0800 (PST)"/>
    <n v="2014"/>
    <x v="4"/>
    <x v="2"/>
    <s v="Low"/>
  </r>
  <r>
    <n v="2012"/>
    <x v="3"/>
    <x v="4"/>
    <x v="4"/>
    <x v="1"/>
    <s v="automatic"/>
    <s v="1n4al2ap0cc137726"/>
    <s v="ca"/>
    <n v="38"/>
    <x v="1558"/>
    <s v="â€”"/>
    <s v="gray"/>
    <s v="nissan-infiniti lt"/>
    <n v="11500"/>
    <x v="41"/>
    <s v="Wed Dec 17 2014 12:30:00 GMT-0800 (PST)"/>
    <n v="2014"/>
    <x v="4"/>
    <x v="2"/>
    <s v="Low"/>
  </r>
  <r>
    <n v="2012"/>
    <x v="3"/>
    <x v="4"/>
    <x v="4"/>
    <x v="1"/>
    <s v="automatic"/>
    <s v="1n4al2ap6cn429658"/>
    <s v="ca"/>
    <n v="29"/>
    <x v="1559"/>
    <s v="black"/>
    <s v="gray"/>
    <s v="nissan-infiniti lt"/>
    <n v="12100"/>
    <x v="149"/>
    <s v="Wed Dec 17 2014 12:30:00 GMT-0800 (PST)"/>
    <n v="2014"/>
    <x v="4"/>
    <x v="2"/>
    <s v="Low"/>
  </r>
  <r>
    <n v="2012"/>
    <x v="3"/>
    <x v="4"/>
    <x v="4"/>
    <x v="1"/>
    <s v="automatic"/>
    <s v="1n4al2ap3cc116675"/>
    <s v="ca"/>
    <n v="45"/>
    <x v="1560"/>
    <s v="black"/>
    <s v="gray"/>
    <s v="nissan-infiniti lt"/>
    <n v="12350"/>
    <x v="132"/>
    <s v="Wed Dec 17 2014 12:30:00 GMT-0800 (PST)"/>
    <n v="2014"/>
    <x v="4"/>
    <x v="1"/>
    <s v="Low"/>
  </r>
  <r>
    <n v="2012"/>
    <x v="3"/>
    <x v="31"/>
    <x v="209"/>
    <x v="5"/>
    <s v="automatic"/>
    <s v="3n1bc1cp0ck808394"/>
    <s v="ca"/>
    <n v="25"/>
    <x v="1561"/>
    <s v="silver"/>
    <s v="black"/>
    <s v="exeter finance corp"/>
    <n v="8750"/>
    <x v="116"/>
    <s v="Tue Dec 30 2014 15:00:00 GMT-0800 (PST)"/>
    <n v="2014"/>
    <x v="405"/>
    <x v="2"/>
    <s v="Low"/>
  </r>
  <r>
    <n v="2012"/>
    <x v="3"/>
    <x v="4"/>
    <x v="4"/>
    <x v="1"/>
    <s v="automatic"/>
    <s v="1n4al2ap0cn450652"/>
    <s v="ca"/>
    <n v="36"/>
    <x v="1562"/>
    <s v="white"/>
    <s v="black"/>
    <s v="nissan-infiniti lt"/>
    <n v="12000"/>
    <x v="25"/>
    <s v="Tue Dec 16 2014 12:30:00 GMT-0800 (PST)"/>
    <n v="2014"/>
    <x v="4"/>
    <x v="2"/>
    <s v="Low"/>
  </r>
  <r>
    <n v="2012"/>
    <x v="3"/>
    <x v="102"/>
    <x v="212"/>
    <x v="13"/>
    <s v="automatic"/>
    <s v="1n6af0ly1cn102996"/>
    <s v="ca"/>
    <n v="19"/>
    <x v="1563"/>
    <s v="white"/>
    <s v="gray"/>
    <s v="nissan-infiniti lt"/>
    <n v="9525"/>
    <x v="51"/>
    <s v="Tue Dec 16 2014 12:30:00 GMT-0800 (PST)"/>
    <n v="2014"/>
    <x v="409"/>
    <x v="0"/>
    <s v="Low"/>
  </r>
  <r>
    <n v="2012"/>
    <x v="3"/>
    <x v="118"/>
    <x v="110"/>
    <x v="1"/>
    <s v="automatic"/>
    <s v="1n4aa5ap5cc825311"/>
    <s v="ca"/>
    <n v="21"/>
    <x v="1564"/>
    <s v="black"/>
    <s v="black"/>
    <s v="nissan motor acceptance corporation"/>
    <n v="17100"/>
    <x v="173"/>
    <s v="Tue Dec 16 2014 12:30:00 GMT-0800 (PST)"/>
    <n v="2014"/>
    <x v="187"/>
    <x v="2"/>
    <s v="Low"/>
  </r>
  <r>
    <n v="2012"/>
    <x v="23"/>
    <x v="140"/>
    <x v="213"/>
    <x v="5"/>
    <s v="manual"/>
    <s v="jf1gr7e64cg236940"/>
    <s v="ca"/>
    <n v="3"/>
    <x v="1565"/>
    <s v="blue"/>
    <s v="black"/>
    <s v="remarketing by ge/southern california financial"/>
    <n v="21400"/>
    <x v="20"/>
    <s v="Tue Dec 16 2014 12:00:00 GMT-0800 (PST)"/>
    <n v="2014"/>
    <x v="410"/>
    <x v="0"/>
    <s v="Medium"/>
  </r>
  <r>
    <n v="2012"/>
    <x v="22"/>
    <x v="126"/>
    <x v="60"/>
    <x v="1"/>
    <s v="automatic"/>
    <s v="4t1bd1fk6cu007829"/>
    <s v="ca"/>
    <n v="43"/>
    <x v="1566"/>
    <s v="red"/>
    <s v="beige"/>
    <s v="jpmorgan chase bank n.a."/>
    <n v="14900"/>
    <x v="362"/>
    <s v="Thu Dec 18 2014 12:00:00 GMT-0800 (PST)"/>
    <n v="2014"/>
    <x v="210"/>
    <x v="1"/>
    <s v="Low"/>
  </r>
  <r>
    <n v="2012"/>
    <x v="3"/>
    <x v="4"/>
    <x v="4"/>
    <x v="1"/>
    <s v="automatic"/>
    <s v="1n4al2ap2cn413411"/>
    <s v="ca"/>
    <n v="42"/>
    <x v="1567"/>
    <s v="â€”"/>
    <s v="black"/>
    <s v="nissan-infiniti lt"/>
    <n v="11950"/>
    <x v="186"/>
    <s v="Wed Dec 17 2014 12:30:00 GMT-0800 (PST)"/>
    <n v="2014"/>
    <x v="4"/>
    <x v="1"/>
    <s v="Low"/>
  </r>
  <r>
    <n v="2012"/>
    <x v="3"/>
    <x v="4"/>
    <x v="4"/>
    <x v="1"/>
    <s v="automatic"/>
    <s v="1n4al2ap6cn565692"/>
    <s v="ca"/>
    <n v="35"/>
    <x v="1568"/>
    <s v="gray"/>
    <s v="black"/>
    <s v="metro nissan of montclair"/>
    <n v="12100"/>
    <x v="231"/>
    <s v="Thu Dec 18 2014 12:00:00 GMT-0800 (PST)"/>
    <n v="2014"/>
    <x v="4"/>
    <x v="2"/>
    <s v="Low"/>
  </r>
  <r>
    <n v="2012"/>
    <x v="3"/>
    <x v="100"/>
    <x v="208"/>
    <x v="1"/>
    <s v="automatic"/>
    <s v="3n1ab6ap5cl694787"/>
    <s v="ca"/>
    <n v="28"/>
    <x v="1569"/>
    <s v="white"/>
    <s v="gray"/>
    <s v="california republic bank"/>
    <n v="7575"/>
    <x v="363"/>
    <s v="Wed Dec 17 2014 12:30:00 GMT-0800 (PST)"/>
    <n v="2014"/>
    <x v="404"/>
    <x v="2"/>
    <s v="Low"/>
  </r>
  <r>
    <n v="2012"/>
    <x v="3"/>
    <x v="133"/>
    <x v="105"/>
    <x v="0"/>
    <s v="automatic"/>
    <s v="5n1aa0ne1cn611292"/>
    <s v="ca"/>
    <n v="27"/>
    <x v="1570"/>
    <s v="black"/>
    <s v="black"/>
    <s v="nissan motor acceptance corporation"/>
    <n v="28800"/>
    <x v="109"/>
    <s v="Tue Dec 16 2014 12:30:00 GMT-0800 (PST)"/>
    <n v="2014"/>
    <x v="190"/>
    <x v="2"/>
    <s v="Medium"/>
  </r>
  <r>
    <n v="2012"/>
    <x v="3"/>
    <x v="221"/>
    <x v="214"/>
    <x v="3"/>
    <s v="automatic"/>
    <s v="jn1ar5efxcm251015"/>
    <s v="ca"/>
    <n v="37"/>
    <x v="1571"/>
    <s v="gray"/>
    <s v="black"/>
    <s v="remarketing services of el paso"/>
    <n v="70000"/>
    <x v="364"/>
    <s v="Thu Dec 18 2014 12:30:00 GMT-0800 (PST)"/>
    <n v="2014"/>
    <x v="411"/>
    <x v="2"/>
    <s v="High"/>
  </r>
  <r>
    <n v="2012"/>
    <x v="3"/>
    <x v="104"/>
    <x v="93"/>
    <x v="5"/>
    <s v="automatic"/>
    <s v="jn1az0cp4ct025329"/>
    <s v="ca"/>
    <n v="28"/>
    <x v="1572"/>
    <s v="black"/>
    <s v="tan"/>
    <s v="nissan-infiniti lt"/>
    <n v="11250"/>
    <x v="250"/>
    <s v="Tue Dec 16 2014 12:30:00 GMT-0800 (PST)"/>
    <n v="2014"/>
    <x v="149"/>
    <x v="2"/>
    <s v="Low"/>
  </r>
  <r>
    <n v="2012"/>
    <x v="14"/>
    <x v="90"/>
    <x v="215"/>
    <x v="0"/>
    <s v="automatic"/>
    <s v="4jgda5hb3ca097478"/>
    <s v="ca"/>
    <n v="44"/>
    <x v="1573"/>
    <s v="white"/>
    <s v="beige"/>
    <s v="mercedes benz of ontario"/>
    <n v="37100"/>
    <x v="311"/>
    <s v="Thu Dec 18 2014 12:00:00 GMT-0800 (PST)"/>
    <n v="2014"/>
    <x v="412"/>
    <x v="1"/>
    <s v="Medium"/>
  </r>
  <r>
    <n v="2012"/>
    <x v="14"/>
    <x v="90"/>
    <x v="215"/>
    <x v="0"/>
    <s v="automatic"/>
    <s v="4jgda5hb2ca087296"/>
    <s v="ca"/>
    <n v="46"/>
    <x v="1574"/>
    <s v="gray"/>
    <s v="tan"/>
    <s v="orange coast chrysler jeep dodge"/>
    <n v="35600"/>
    <x v="23"/>
    <s v="Wed Dec 17 2014 12:30:00 GMT-0800 (PST)"/>
    <n v="2014"/>
    <x v="412"/>
    <x v="1"/>
    <s v="Medium"/>
  </r>
  <r>
    <n v="2012"/>
    <x v="3"/>
    <x v="4"/>
    <x v="4"/>
    <x v="1"/>
    <s v="automatic"/>
    <s v="1n4al2ap2cn436963"/>
    <s v="ca"/>
    <n v="35"/>
    <x v="1575"/>
    <s v="white"/>
    <s v="black"/>
    <s v="nissan-infiniti lt"/>
    <n v="10150"/>
    <x v="51"/>
    <s v="Tue Dec 16 2014 12:30:00 GMT-0800 (PST)"/>
    <n v="2014"/>
    <x v="4"/>
    <x v="2"/>
    <s v="Low"/>
  </r>
  <r>
    <n v="2012"/>
    <x v="3"/>
    <x v="31"/>
    <x v="209"/>
    <x v="5"/>
    <s v="automatic"/>
    <s v="3n1bc1cp2ck279255"/>
    <s v="ca"/>
    <n v="31"/>
    <x v="1576"/>
    <s v="black"/>
    <s v="black"/>
    <s v="santander consumer"/>
    <n v="7525"/>
    <x v="142"/>
    <s v="Thu Dec 18 2014 12:00:00 GMT-0800 (PST)"/>
    <n v="2014"/>
    <x v="405"/>
    <x v="2"/>
    <s v="Low"/>
  </r>
  <r>
    <n v="2012"/>
    <x v="15"/>
    <x v="219"/>
    <x v="207"/>
    <x v="12"/>
    <s v="automatic"/>
    <s v="4a32b2ff2ce023486"/>
    <s v="ca"/>
    <n v="2"/>
    <x v="1577"/>
    <s v="black"/>
    <s v="black"/>
    <s v="fox rent a car tra"/>
    <n v="8225"/>
    <x v="76"/>
    <s v="Tue Dec 23 2014 12:00:00 GMT-0800 (PST)"/>
    <n v="2014"/>
    <x v="403"/>
    <x v="0"/>
    <s v="Low"/>
  </r>
  <r>
    <n v="2012"/>
    <x v="14"/>
    <x v="89"/>
    <x v="78"/>
    <x v="0"/>
    <s v="automatic"/>
    <s v="4jgbf7be9ca782589"/>
    <s v="ca"/>
    <n v="3"/>
    <x v="1578"/>
    <s v="gray"/>
    <s v="black"/>
    <s v="the hertz corporation"/>
    <n v="29200"/>
    <x v="296"/>
    <s v="Tue Dec 16 2014 12:30:00 GMT-0800 (PST)"/>
    <n v="2014"/>
    <x v="127"/>
    <x v="0"/>
    <s v="Medium"/>
  </r>
  <r>
    <n v="2012"/>
    <x v="3"/>
    <x v="104"/>
    <x v="93"/>
    <x v="5"/>
    <s v="automatic"/>
    <s v="jn1az0cp7ct015796"/>
    <s v="ca"/>
    <n v="46"/>
    <x v="1579"/>
    <s v="â€”"/>
    <s v="beige"/>
    <s v="nissan-infiniti lt"/>
    <n v="10350"/>
    <x v="348"/>
    <s v="Tue Dec 23 2014 12:30:00 GMT-0800 (PST)"/>
    <n v="2014"/>
    <x v="149"/>
    <x v="1"/>
    <s v="Low"/>
  </r>
  <r>
    <n v="2012"/>
    <x v="14"/>
    <x v="89"/>
    <x v="78"/>
    <x v="0"/>
    <s v="automatic"/>
    <s v="4jgbf7bexca783234"/>
    <s v="ca"/>
    <n v="35"/>
    <x v="1580"/>
    <s v="gray"/>
    <s v="gray"/>
    <s v="mercedes-benz finc wholesale advantage"/>
    <n v="28100"/>
    <x v="2"/>
    <s v="Thu Dec 18 2014 12:30:00 GMT-0800 (PST)"/>
    <n v="2014"/>
    <x v="127"/>
    <x v="2"/>
    <s v="Medium"/>
  </r>
  <r>
    <n v="2012"/>
    <x v="25"/>
    <x v="119"/>
    <x v="5"/>
    <x v="0"/>
    <s v="automatic"/>
    <s v="wp1aa2a25cla01045"/>
    <s v="ca"/>
    <n v="39"/>
    <x v="1581"/>
    <s v="black"/>
    <s v="beige"/>
    <s v="elad motors"/>
    <n v="39000"/>
    <x v="365"/>
    <s v="Tue Dec 16 2014 12:00:00 GMT-0800 (PST)"/>
    <n v="2014"/>
    <x v="169"/>
    <x v="2"/>
    <s v="Medium"/>
  </r>
  <r>
    <n v="2012"/>
    <x v="3"/>
    <x v="133"/>
    <x v="93"/>
    <x v="0"/>
    <s v="automatic"/>
    <s v="5n1aa0nc8cn607416"/>
    <s v="ca"/>
    <n v="33"/>
    <x v="1582"/>
    <s v="silver"/>
    <s v="gray"/>
    <s v="the hertz corporation"/>
    <n v="27300"/>
    <x v="146"/>
    <s v="Thu Jan 08 2015 11:30:00 GMT-0800 (PST)"/>
    <n v="2015"/>
    <x v="413"/>
    <x v="2"/>
    <s v="Medium"/>
  </r>
  <r>
    <n v="2012"/>
    <x v="3"/>
    <x v="4"/>
    <x v="4"/>
    <x v="1"/>
    <s v="automatic"/>
    <s v="1n4al2ap8cc153673"/>
    <s v="ca"/>
    <n v="43"/>
    <x v="1583"/>
    <s v="white"/>
    <s v="tan"/>
    <s v="nissan-infiniti lt"/>
    <n v="12900"/>
    <x v="247"/>
    <s v="Tue Dec 16 2014 12:30:00 GMT-0800 (PST)"/>
    <n v="2014"/>
    <x v="4"/>
    <x v="1"/>
    <s v="Low"/>
  </r>
  <r>
    <n v="2012"/>
    <x v="25"/>
    <x v="137"/>
    <x v="113"/>
    <x v="1"/>
    <s v="automatic"/>
    <s v="wp0ad2a76cl045477"/>
    <s v="ca"/>
    <n v="41"/>
    <x v="1584"/>
    <s v="gray"/>
    <s v="black"/>
    <s v="elad motors"/>
    <n v="52800"/>
    <x v="9"/>
    <s v="Tue Dec 16 2014 12:30:00 GMT-0800 (PST)"/>
    <n v="2014"/>
    <x v="414"/>
    <x v="1"/>
    <s v="Medium"/>
  </r>
  <r>
    <n v="2012"/>
    <x v="22"/>
    <x v="105"/>
    <x v="10"/>
    <x v="1"/>
    <s v="automatic"/>
    <s v="4t1bf1fk6cu084288"/>
    <s v="ca"/>
    <n v="28"/>
    <x v="1585"/>
    <s v="black"/>
    <s v="black"/>
    <s v="toyota financial services"/>
    <n v="13550"/>
    <x v="168"/>
    <s v="Tue Dec 23 2014 00:00:00 GMT-0800 (PST)"/>
    <n v="2014"/>
    <x v="206"/>
    <x v="2"/>
    <s v="Low"/>
  </r>
  <r>
    <n v="2012"/>
    <x v="3"/>
    <x v="4"/>
    <x v="4"/>
    <x v="1"/>
    <s v="automatic"/>
    <s v="1n4al2ap8cc153415"/>
    <s v="ca"/>
    <n v="43"/>
    <x v="1586"/>
    <s v="gray"/>
    <s v="black"/>
    <s v="nissan-infiniti lt"/>
    <n v="13850"/>
    <x v="173"/>
    <s v="Tue Dec 16 2014 12:30:00 GMT-0800 (PST)"/>
    <n v="2014"/>
    <x v="4"/>
    <x v="1"/>
    <s v="Low"/>
  </r>
  <r>
    <n v="2012"/>
    <x v="23"/>
    <x v="138"/>
    <x v="216"/>
    <x v="0"/>
    <s v="automatic"/>
    <s v="jf2shabc9ch423486"/>
    <s v="ca"/>
    <n v="23"/>
    <x v="1587"/>
    <s v="gray"/>
    <s v="gray"/>
    <s v="jpmorgan chase bank n.a."/>
    <n v="16700"/>
    <x v="245"/>
    <s v="Thu Dec 18 2014 12:00:00 GMT-0800 (PST)"/>
    <n v="2014"/>
    <x v="415"/>
    <x v="2"/>
    <s v="Low"/>
  </r>
  <r>
    <n v="2012"/>
    <x v="33"/>
    <x v="220"/>
    <x v="217"/>
    <x v="26"/>
    <s v="automatic"/>
    <s v="1c6rd6gp9cs100115"/>
    <s v="ca"/>
    <n v="44"/>
    <x v="1588"/>
    <s v="white"/>
    <s v="black"/>
    <s v="wells fargo dealer services"/>
    <n v="15900"/>
    <x v="48"/>
    <s v="Thu Dec 18 2014 12:00:00 GMT-0800 (PST)"/>
    <n v="2014"/>
    <x v="416"/>
    <x v="1"/>
    <s v="Low"/>
  </r>
  <r>
    <n v="2012"/>
    <x v="3"/>
    <x v="4"/>
    <x v="4"/>
    <x v="1"/>
    <s v="automatic"/>
    <s v="1n4al2ap5cn442160"/>
    <s v="ca"/>
    <n v="39"/>
    <x v="1589"/>
    <s v="â€”"/>
    <s v="black"/>
    <s v="nissan-infiniti lt"/>
    <n v="12600"/>
    <x v="259"/>
    <s v="Tue Dec 16 2014 12:30:00 GMT-0800 (PST)"/>
    <n v="2014"/>
    <x v="4"/>
    <x v="2"/>
    <s v="Low"/>
  </r>
  <r>
    <n v="2012"/>
    <x v="25"/>
    <x v="137"/>
    <x v="5"/>
    <x v="1"/>
    <s v="automatic"/>
    <s v="wp0aa2a79cl012594"/>
    <s v="ca"/>
    <n v="38"/>
    <x v="1590"/>
    <s v="red"/>
    <s v="tan"/>
    <s v="downtown motors inc"/>
    <n v="50300"/>
    <x v="203"/>
    <s v="Thu Dec 18 2014 12:30:00 GMT-0800 (PST)"/>
    <n v="2014"/>
    <x v="196"/>
    <x v="2"/>
    <s v="High"/>
  </r>
  <r>
    <n v="2012"/>
    <x v="24"/>
    <x v="117"/>
    <x v="5"/>
    <x v="5"/>
    <s v="automatic"/>
    <s v="jtkjf5c76c3033122"/>
    <s v="ca"/>
    <n v="3"/>
    <x v="1591"/>
    <s v="burgundy"/>
    <s v="black"/>
    <s v="toyota financial services"/>
    <n v="13700"/>
    <x v="39"/>
    <s v="Tue Dec 23 2014 00:00:00 GMT-0800 (PST)"/>
    <n v="2014"/>
    <x v="167"/>
    <x v="0"/>
    <s v="Low"/>
  </r>
  <r>
    <n v="2012"/>
    <x v="14"/>
    <x v="89"/>
    <x v="78"/>
    <x v="0"/>
    <s v="automatic"/>
    <s v="4jgbf7bexca779751"/>
    <s v="ca"/>
    <n v="24"/>
    <x v="1592"/>
    <s v="black"/>
    <s v="black"/>
    <s v="the hertz corporation"/>
    <n v="27300"/>
    <x v="85"/>
    <s v="Thu Dec 18 2014 12:30:00 GMT-0800 (PST)"/>
    <n v="2014"/>
    <x v="127"/>
    <x v="2"/>
    <s v="Medium"/>
  </r>
  <r>
    <n v="2012"/>
    <x v="3"/>
    <x v="4"/>
    <x v="4"/>
    <x v="1"/>
    <s v="automatic"/>
    <s v="1n4al2ap4cn404113"/>
    <s v="ca"/>
    <n v="44"/>
    <x v="1593"/>
    <s v="black"/>
    <s v="black"/>
    <s v="nissan-infiniti lt"/>
    <n v="11700"/>
    <x v="137"/>
    <s v="Wed Dec 17 2014 12:30:00 GMT-0800 (PST)"/>
    <n v="2014"/>
    <x v="4"/>
    <x v="1"/>
    <s v="Low"/>
  </r>
  <r>
    <n v="2012"/>
    <x v="3"/>
    <x v="4"/>
    <x v="4"/>
    <x v="3"/>
    <s v="automatic"/>
    <s v="1n4al2ep5cc226976"/>
    <s v="ca"/>
    <n v="2"/>
    <x v="1594"/>
    <s v="blue"/>
    <s v="beige"/>
    <s v="nissan motor acceptance corporation"/>
    <n v="13900"/>
    <x v="273"/>
    <s v="Wed Dec 17 2014 12:30:00 GMT-0800 (PST)"/>
    <n v="2014"/>
    <x v="4"/>
    <x v="0"/>
    <s v="Low"/>
  </r>
  <r>
    <n v="2012"/>
    <x v="25"/>
    <x v="119"/>
    <x v="5"/>
    <x v="0"/>
    <s v="automatic"/>
    <s v="wp1aa2a20cla03236"/>
    <s v="ca"/>
    <n v="46"/>
    <x v="1595"/>
    <s v="gray"/>
    <s v="beige"/>
    <s v="rusnak pasadena jaguar sterling pasadena"/>
    <n v="40300"/>
    <x v="70"/>
    <s v="Thu Dec 18 2014 12:00:00 GMT-0800 (PST)"/>
    <n v="2014"/>
    <x v="169"/>
    <x v="1"/>
    <s v="Medium"/>
  </r>
  <r>
    <n v="2012"/>
    <x v="15"/>
    <x v="219"/>
    <x v="207"/>
    <x v="12"/>
    <s v="automatic"/>
    <s v="4a32b2ff1ce008333"/>
    <s v="ca"/>
    <n v="19"/>
    <x v="1596"/>
    <s v="black"/>
    <s v="black"/>
    <s v="remarketing by ge/finance &amp; thrift company"/>
    <n v="8450"/>
    <x v="121"/>
    <s v="Tue Dec 16 2014 12:00:00 GMT-0800 (PST)"/>
    <n v="2014"/>
    <x v="403"/>
    <x v="0"/>
    <s v="Low"/>
  </r>
  <r>
    <n v="2012"/>
    <x v="3"/>
    <x v="100"/>
    <x v="208"/>
    <x v="1"/>
    <s v="automatic"/>
    <s v="3n1ab6ap4cl679178"/>
    <s v="ca"/>
    <n v="19"/>
    <x v="1597"/>
    <s v="blue"/>
    <s v="gray"/>
    <s v="remarketing by ge/flagship credit acceptance"/>
    <n v="8600"/>
    <x v="366"/>
    <s v="Wed Feb 04 2015 04:30:00 GMT-0800 (PST)"/>
    <n v="2015"/>
    <x v="404"/>
    <x v="0"/>
    <s v="Low"/>
  </r>
  <r>
    <n v="2012"/>
    <x v="14"/>
    <x v="58"/>
    <x v="218"/>
    <x v="1"/>
    <s v="automatic"/>
    <s v="wddng8db9ca422512"/>
    <s v="ca"/>
    <n v="29"/>
    <x v="1598"/>
    <s v="black"/>
    <s v="black"/>
    <s v="mercedes-benz usa"/>
    <n v="36400"/>
    <x v="313"/>
    <s v="Thu Dec 18 2014 12:00:00 GMT-0800 (PST)"/>
    <n v="2014"/>
    <x v="417"/>
    <x v="2"/>
    <s v="Medium"/>
  </r>
  <r>
    <n v="2012"/>
    <x v="24"/>
    <x v="117"/>
    <x v="5"/>
    <x v="5"/>
    <s v="manual"/>
    <s v="jtkjf5c7xc3027985"/>
    <s v="ca"/>
    <m/>
    <x v="1599"/>
    <s v="yellow"/>
    <s v="â€”"/>
    <s v="cardinale gmc truck"/>
    <n v="13600"/>
    <x v="241"/>
    <s v="Wed Dec 17 2014 12:30:00 GMT-0800 (PST)"/>
    <n v="2014"/>
    <x v="167"/>
    <x v="0"/>
    <s v="Low"/>
  </r>
  <r>
    <n v="2012"/>
    <x v="3"/>
    <x v="4"/>
    <x v="51"/>
    <x v="1"/>
    <s v="automatic"/>
    <s v="1n4al2ap8cc254986"/>
    <s v="ca"/>
    <n v="29"/>
    <x v="1600"/>
    <s v="red"/>
    <s v="beige"/>
    <s v="dtg operations inc"/>
    <n v="10700"/>
    <x v="174"/>
    <s v="Thu Dec 18 2014 11:30:00 GMT-0800 (PST)"/>
    <n v="2014"/>
    <x v="78"/>
    <x v="2"/>
    <s v="Low"/>
  </r>
  <r>
    <n v="2012"/>
    <x v="3"/>
    <x v="4"/>
    <x v="4"/>
    <x v="1"/>
    <s v="automatic"/>
    <s v="1n4al2ap9cc126546"/>
    <s v="ca"/>
    <n v="19"/>
    <x v="1601"/>
    <s v="white"/>
    <s v="black"/>
    <s v="nissan-infiniti lt"/>
    <n v="12050"/>
    <x v="226"/>
    <s v="Mon Jan 06 2014 12:30:00 GMT-0800 (PST)"/>
    <n v="2014"/>
    <x v="4"/>
    <x v="0"/>
    <s v="Medium"/>
  </r>
  <r>
    <n v="2012"/>
    <x v="3"/>
    <x v="31"/>
    <x v="209"/>
    <x v="5"/>
    <m/>
    <s v="3n1bc1cp8ck196087"/>
    <s v="ca"/>
    <n v="38"/>
    <x v="25"/>
    <s v="blue"/>
    <s v="gray"/>
    <s v="nissan motor acceptance corporation"/>
    <n v="10500"/>
    <x v="25"/>
    <s v="Tue Dec 16 2014 12:30:00 GMT-0800 (PST)"/>
    <n v="2014"/>
    <x v="405"/>
    <x v="2"/>
    <s v="Low"/>
  </r>
  <r>
    <n v="2012"/>
    <x v="3"/>
    <x v="4"/>
    <x v="4"/>
    <x v="1"/>
    <s v="automatic"/>
    <s v="1n4al2ap2cc129546"/>
    <s v="ca"/>
    <n v="41"/>
    <x v="1602"/>
    <s v="â€”"/>
    <s v="black"/>
    <s v="nissan-infiniti lt"/>
    <n v="13000"/>
    <x v="357"/>
    <s v="Wed Dec 17 2014 12:30:00 GMT-0800 (PST)"/>
    <n v="2014"/>
    <x v="4"/>
    <x v="1"/>
    <s v="Low"/>
  </r>
  <r>
    <n v="2012"/>
    <x v="14"/>
    <x v="58"/>
    <x v="218"/>
    <x v="1"/>
    <s v="automatic"/>
    <s v="wddng8db9ca426754"/>
    <s v="ca"/>
    <n v="42"/>
    <x v="1603"/>
    <s v="gray"/>
    <s v="black"/>
    <s v="mercedes-benz usa"/>
    <n v="42400"/>
    <x v="311"/>
    <s v="Thu Dec 18 2014 12:00:00 GMT-0800 (PST)"/>
    <n v="2014"/>
    <x v="417"/>
    <x v="1"/>
    <s v="Medium"/>
  </r>
  <r>
    <n v="2012"/>
    <x v="14"/>
    <x v="89"/>
    <x v="78"/>
    <x v="0"/>
    <s v="automatic"/>
    <s v="4jgbf7be6ca780900"/>
    <s v="ca"/>
    <n v="35"/>
    <x v="1604"/>
    <s v="gray"/>
    <s v="black"/>
    <s v="the hertz corporation"/>
    <n v="27700"/>
    <x v="95"/>
    <s v="Thu Jan 15 2015 04:00:00 GMT-0800 (PST)"/>
    <n v="2015"/>
    <x v="127"/>
    <x v="2"/>
    <s v="Medium"/>
  </r>
  <r>
    <n v="2012"/>
    <x v="3"/>
    <x v="4"/>
    <x v="4"/>
    <x v="1"/>
    <s v="automatic"/>
    <s v="1n4al2ap8cn421206"/>
    <s v="ca"/>
    <n v="41"/>
    <x v="1605"/>
    <s v="beige"/>
    <s v="beige"/>
    <s v="nissan-infiniti lt"/>
    <n v="12000"/>
    <x v="11"/>
    <s v="Tue Dec 16 2014 12:30:00 GMT-0800 (PST)"/>
    <n v="2014"/>
    <x v="4"/>
    <x v="1"/>
    <s v="Low"/>
  </r>
  <r>
    <n v="2012"/>
    <x v="33"/>
    <x v="220"/>
    <x v="217"/>
    <x v="26"/>
    <s v="automatic"/>
    <s v="1c6rd6gp2cs155540"/>
    <s v="ca"/>
    <m/>
    <x v="1606"/>
    <s v="black"/>
    <s v="â€”"/>
    <s v="riverside car store inc"/>
    <n v="16300"/>
    <x v="207"/>
    <s v="Tue Dec 16 2014 12:30:00 GMT-0800 (PST)"/>
    <n v="2014"/>
    <x v="416"/>
    <x v="0"/>
    <s v="Low"/>
  </r>
  <r>
    <n v="2012"/>
    <x v="14"/>
    <x v="58"/>
    <x v="52"/>
    <x v="1"/>
    <s v="automatic"/>
    <s v="wddng7db1ca424913"/>
    <s v="ca"/>
    <n v="35"/>
    <x v="564"/>
    <s v="â€”"/>
    <s v="brown"/>
    <s v="mercedes-benz financial services"/>
    <n v="43300"/>
    <x v="367"/>
    <s v="Thu Jan 15 2015 04:30:00 GMT-0800 (PST)"/>
    <n v="2015"/>
    <x v="79"/>
    <x v="2"/>
    <s v="Medium"/>
  </r>
  <r>
    <n v="2012"/>
    <x v="3"/>
    <x v="4"/>
    <x v="4"/>
    <x v="1"/>
    <s v="automatic"/>
    <s v="1n4al2ap5cn429618"/>
    <s v="ca"/>
    <n v="37"/>
    <x v="1607"/>
    <s v="blue"/>
    <s v="black"/>
    <s v="nissan-infiniti lt"/>
    <n v="13000"/>
    <x v="39"/>
    <s v="Tue Dec 16 2014 12:30:00 GMT-0800 (PST)"/>
    <n v="2014"/>
    <x v="4"/>
    <x v="2"/>
    <s v="Low"/>
  </r>
  <r>
    <n v="2012"/>
    <x v="14"/>
    <x v="89"/>
    <x v="78"/>
    <x v="0"/>
    <s v="automatic"/>
    <s v="4jgbf7be4ca779566"/>
    <s v="ca"/>
    <n v="38"/>
    <x v="1608"/>
    <s v="black"/>
    <s v="gray"/>
    <s v="the hertz corporation"/>
    <n v="26900"/>
    <x v="368"/>
    <s v="Wed Dec 17 2014 12:30:00 GMT-0800 (PST)"/>
    <n v="2014"/>
    <x v="127"/>
    <x v="2"/>
    <s v="Medium"/>
  </r>
  <r>
    <n v="2012"/>
    <x v="33"/>
    <x v="222"/>
    <x v="211"/>
    <x v="6"/>
    <s v="manual"/>
    <s v="3c6ud5hl5cg142479"/>
    <s v="ca"/>
    <n v="46"/>
    <x v="1609"/>
    <s v="white"/>
    <s v="â€”"/>
    <s v="century dealer services corp"/>
    <n v="31100"/>
    <x v="151"/>
    <s v="Wed Dec 17 2014 12:15:00 GMT-0800 (PST)"/>
    <n v="2014"/>
    <x v="418"/>
    <x v="1"/>
    <s v="Medium"/>
  </r>
  <r>
    <n v="2012"/>
    <x v="3"/>
    <x v="4"/>
    <x v="4"/>
    <x v="1"/>
    <s v="automatic"/>
    <s v="1n4al2ap8cn474181"/>
    <s v="ca"/>
    <n v="44"/>
    <x v="1610"/>
    <s v="white"/>
    <s v="gray"/>
    <s v="nissan-infiniti lt"/>
    <n v="13750"/>
    <x v="347"/>
    <s v="Tue Dec 16 2014 12:30:00 GMT-0800 (PST)"/>
    <n v="2014"/>
    <x v="4"/>
    <x v="1"/>
    <s v="Low"/>
  </r>
  <r>
    <n v="2012"/>
    <x v="3"/>
    <x v="100"/>
    <x v="208"/>
    <x v="1"/>
    <m/>
    <s v="3n1ab6ap7cl660012"/>
    <s v="ca"/>
    <m/>
    <x v="1611"/>
    <s v="red"/>
    <s v="â€”"/>
    <s v="corona auto wholesale inc"/>
    <n v="8450"/>
    <x v="275"/>
    <s v="Tue Dec 16 2014 12:30:00 GMT-0800 (PST)"/>
    <n v="2014"/>
    <x v="404"/>
    <x v="0"/>
    <s v="Low"/>
  </r>
  <r>
    <n v="2012"/>
    <x v="3"/>
    <x v="100"/>
    <x v="208"/>
    <x v="1"/>
    <m/>
    <s v="3n1ab6apxcl629997"/>
    <s v="ca"/>
    <n v="21"/>
    <x v="1612"/>
    <s v="blue"/>
    <s v="gray"/>
    <s v="merchants leasing"/>
    <n v="9675"/>
    <x v="272"/>
    <s v="Wed Feb 04 2015 04:30:00 GMT-0800 (PST)"/>
    <n v="2015"/>
    <x v="404"/>
    <x v="2"/>
    <s v="Low"/>
  </r>
  <r>
    <n v="2012"/>
    <x v="25"/>
    <x v="120"/>
    <x v="219"/>
    <x v="3"/>
    <s v="automatic"/>
    <s v="wp0ab2a95cs121218"/>
    <s v="ca"/>
    <n v="44"/>
    <x v="1613"/>
    <s v="black"/>
    <s v="gray"/>
    <s v="mckenna audi/mckenna bmw"/>
    <n v="70000"/>
    <x v="369"/>
    <s v="Thu Dec 18 2014 12:00:00 GMT-0800 (PST)"/>
    <n v="2014"/>
    <x v="419"/>
    <x v="1"/>
    <s v="High"/>
  </r>
  <r>
    <n v="2012"/>
    <x v="3"/>
    <x v="4"/>
    <x v="4"/>
    <x v="1"/>
    <s v="automatic"/>
    <s v="1n4al2ap0cn424407"/>
    <s v="ca"/>
    <n v="41"/>
    <x v="1614"/>
    <s v="silver"/>
    <s v="black"/>
    <s v="nissan-infiniti lt"/>
    <n v="10650"/>
    <x v="161"/>
    <s v="Tue Dec 16 2014 12:30:00 GMT-0800 (PST)"/>
    <n v="2014"/>
    <x v="4"/>
    <x v="1"/>
    <s v="Low"/>
  </r>
  <r>
    <n v="2012"/>
    <x v="3"/>
    <x v="4"/>
    <x v="4"/>
    <x v="1"/>
    <s v="automatic"/>
    <s v="1n4al2ap3cn402255"/>
    <s v="ca"/>
    <n v="43"/>
    <x v="1615"/>
    <s v="white"/>
    <s v="gray"/>
    <s v="nissan-infiniti lt"/>
    <n v="11250"/>
    <x v="250"/>
    <s v="Tue Dec 16 2014 12:30:00 GMT-0800 (PST)"/>
    <n v="2014"/>
    <x v="4"/>
    <x v="1"/>
    <s v="Low"/>
  </r>
  <r>
    <n v="2012"/>
    <x v="3"/>
    <x v="104"/>
    <x v="93"/>
    <x v="5"/>
    <s v="automatic"/>
    <s v="jn1az0cp4ct026805"/>
    <s v="ca"/>
    <n v="39"/>
    <x v="1616"/>
    <s v="white"/>
    <s v="beige"/>
    <s v="nissan-infiniti lt"/>
    <n v="11500"/>
    <x v="161"/>
    <s v="Tue Dec 16 2014 12:30:00 GMT-0800 (PST)"/>
    <n v="2014"/>
    <x v="149"/>
    <x v="2"/>
    <s v="Low"/>
  </r>
  <r>
    <n v="2012"/>
    <x v="3"/>
    <x v="4"/>
    <x v="4"/>
    <x v="1"/>
    <s v="automatic"/>
    <s v="1n4al2ap8cn428611"/>
    <s v="ca"/>
    <n v="43"/>
    <x v="1617"/>
    <s v="â€”"/>
    <s v="gray"/>
    <s v="nissan-infiniti lt"/>
    <n v="12400"/>
    <x v="11"/>
    <s v="Tue Dec 16 2014 12:30:00 GMT-0800 (PST)"/>
    <n v="2014"/>
    <x v="4"/>
    <x v="1"/>
    <s v="Low"/>
  </r>
  <r>
    <n v="2012"/>
    <x v="3"/>
    <x v="4"/>
    <x v="4"/>
    <x v="1"/>
    <s v="automatic"/>
    <s v="1n4al2ap8cc150000"/>
    <s v="ca"/>
    <n v="36"/>
    <x v="1618"/>
    <s v="black"/>
    <s v="black"/>
    <s v="merchants automotive group"/>
    <n v="9850"/>
    <x v="6"/>
    <s v="Wed Dec 17 2014 12:30:00 GMT-0800 (PST)"/>
    <n v="2014"/>
    <x v="4"/>
    <x v="2"/>
    <s v="Low"/>
  </r>
  <r>
    <n v="2012"/>
    <x v="3"/>
    <x v="4"/>
    <x v="4"/>
    <x v="1"/>
    <s v="automatic"/>
    <s v="1n4al2ap9cn499901"/>
    <s v="ca"/>
    <n v="39"/>
    <x v="1619"/>
    <s v="white"/>
    <s v="gray"/>
    <s v="nissan-infiniti lt"/>
    <n v="13300"/>
    <x v="347"/>
    <s v="Tue Dec 16 2014 12:30:00 GMT-0800 (PST)"/>
    <n v="2014"/>
    <x v="4"/>
    <x v="2"/>
    <s v="Low"/>
  </r>
  <r>
    <n v="2012"/>
    <x v="3"/>
    <x v="4"/>
    <x v="4"/>
    <x v="1"/>
    <s v="automatic"/>
    <s v="1n4al2ap5cn458231"/>
    <s v="ca"/>
    <n v="35"/>
    <x v="1620"/>
    <s v="white"/>
    <s v="black"/>
    <s v="nissan-infiniti lt"/>
    <n v="12450"/>
    <x v="161"/>
    <s v="Tue Dec 16 2014 12:30:00 GMT-0800 (PST)"/>
    <n v="2014"/>
    <x v="4"/>
    <x v="2"/>
    <s v="Low"/>
  </r>
  <r>
    <n v="2012"/>
    <x v="14"/>
    <x v="89"/>
    <x v="78"/>
    <x v="0"/>
    <s v="automatic"/>
    <s v="4jgbf7be2ca778965"/>
    <s v="ca"/>
    <n v="38"/>
    <x v="1621"/>
    <s v="â€”"/>
    <s v="black"/>
    <s v="mercedes-benz finc wholesale advantage"/>
    <n v="27800"/>
    <x v="2"/>
    <s v="Thu Dec 18 2014 12:30:00 GMT-0800 (PST)"/>
    <n v="2014"/>
    <x v="127"/>
    <x v="2"/>
    <s v="Medium"/>
  </r>
  <r>
    <n v="2012"/>
    <x v="3"/>
    <x v="31"/>
    <x v="209"/>
    <x v="5"/>
    <s v="automatic"/>
    <s v="3n1bc1cp3ck229013"/>
    <s v="ca"/>
    <n v="42"/>
    <x v="1622"/>
    <s v="white"/>
    <s v="beige"/>
    <s v="wells fargo dealer services"/>
    <n v="8275"/>
    <x v="274"/>
    <s v="Thu Dec 18 2014 12:00:00 GMT-0800 (PST)"/>
    <n v="2014"/>
    <x v="405"/>
    <x v="1"/>
    <s v="Low"/>
  </r>
  <r>
    <n v="2012"/>
    <x v="3"/>
    <x v="101"/>
    <x v="89"/>
    <x v="0"/>
    <s v="automatic"/>
    <s v="jn8as5mv8cw412187"/>
    <s v="ca"/>
    <n v="4"/>
    <x v="1623"/>
    <s v="white"/>
    <s v="beige"/>
    <s v="nissan motor acceptance corporation"/>
    <n v="16150"/>
    <x v="245"/>
    <s v="Wed Dec 17 2014 12:30:00 GMT-0800 (PST)"/>
    <n v="2014"/>
    <x v="145"/>
    <x v="0"/>
    <s v="Low"/>
  </r>
  <r>
    <n v="2012"/>
    <x v="3"/>
    <x v="4"/>
    <x v="4"/>
    <x v="1"/>
    <s v="automatic"/>
    <s v="1n4al2ap1cn434122"/>
    <s v="ca"/>
    <n v="36"/>
    <x v="1624"/>
    <s v="white"/>
    <s v="black"/>
    <s v="nissan-infiniti lt"/>
    <n v="12950"/>
    <x v="39"/>
    <s v="Tue Dec 16 2014 12:30:00 GMT-0800 (PST)"/>
    <n v="2014"/>
    <x v="4"/>
    <x v="2"/>
    <s v="Low"/>
  </r>
  <r>
    <n v="2012"/>
    <x v="3"/>
    <x v="4"/>
    <x v="4"/>
    <x v="1"/>
    <s v="automatic"/>
    <s v="1n4al2ap4cn400496"/>
    <s v="ca"/>
    <n v="37"/>
    <x v="1625"/>
    <s v="black"/>
    <s v="gray"/>
    <s v="nissan-infiniti lt"/>
    <n v="12550"/>
    <x v="218"/>
    <s v="Wed Dec 17 2014 12:30:00 GMT-0800 (PST)"/>
    <n v="2014"/>
    <x v="4"/>
    <x v="2"/>
    <s v="Low"/>
  </r>
  <r>
    <n v="2012"/>
    <x v="3"/>
    <x v="4"/>
    <x v="4"/>
    <x v="1"/>
    <s v="automatic"/>
    <s v="1n4al2ap8cc126876"/>
    <s v="ca"/>
    <n v="39"/>
    <x v="1626"/>
    <s v="white"/>
    <s v="black"/>
    <s v="nissan-infiniti lt"/>
    <n v="11750"/>
    <x v="25"/>
    <s v="Tue Dec 16 2014 12:30:00 GMT-0800 (PST)"/>
    <n v="2014"/>
    <x v="4"/>
    <x v="2"/>
    <s v="Low"/>
  </r>
  <r>
    <n v="2012"/>
    <x v="3"/>
    <x v="4"/>
    <x v="4"/>
    <x v="3"/>
    <s v="automatic"/>
    <s v="1n4al2ep7cc106371"/>
    <s v="ca"/>
    <n v="44"/>
    <x v="1627"/>
    <s v="white"/>
    <s v="black"/>
    <s v="nissan-infiniti lt"/>
    <n v="15000"/>
    <x v="218"/>
    <s v="Tue Dec 16 2014 12:30:00 GMT-0800 (PST)"/>
    <n v="2014"/>
    <x v="4"/>
    <x v="1"/>
    <s v="Low"/>
  </r>
  <r>
    <n v="2012"/>
    <x v="3"/>
    <x v="4"/>
    <x v="4"/>
    <x v="1"/>
    <s v="automatic"/>
    <s v="1n4al2ap6cn427568"/>
    <s v="ca"/>
    <n v="43"/>
    <x v="1628"/>
    <s v="white"/>
    <s v="black"/>
    <s v="nissan-infiniti lt"/>
    <n v="12400"/>
    <x v="247"/>
    <s v="Tue Dec 16 2014 12:30:00 GMT-0800 (PST)"/>
    <n v="2014"/>
    <x v="4"/>
    <x v="1"/>
    <s v="Low"/>
  </r>
  <r>
    <n v="2012"/>
    <x v="3"/>
    <x v="4"/>
    <x v="4"/>
    <x v="1"/>
    <s v="automatic"/>
    <s v="1n4al2apxcc125390"/>
    <s v="ca"/>
    <n v="41"/>
    <x v="1629"/>
    <s v="white"/>
    <s v="black"/>
    <s v="nissan-infiniti lt"/>
    <n v="13200"/>
    <x v="39"/>
    <s v="Tue Dec 16 2014 12:30:00 GMT-0800 (PST)"/>
    <n v="2014"/>
    <x v="4"/>
    <x v="1"/>
    <s v="Low"/>
  </r>
  <r>
    <n v="2012"/>
    <x v="25"/>
    <x v="137"/>
    <x v="220"/>
    <x v="1"/>
    <s v="automatic"/>
    <s v="wp0aa2a71cl010872"/>
    <s v="ca"/>
    <n v="41"/>
    <x v="1630"/>
    <s v="brown"/>
    <s v="brown"/>
    <s v="prestige auto"/>
    <n v="49700"/>
    <x v="278"/>
    <s v="Thu Jan 15 2015 12:30:00 GMT-0800 (PST)"/>
    <n v="2015"/>
    <x v="420"/>
    <x v="1"/>
    <s v="High"/>
  </r>
  <r>
    <n v="2012"/>
    <x v="24"/>
    <x v="127"/>
    <x v="5"/>
    <x v="4"/>
    <s v="automatic"/>
    <s v="jtlze4fe6cj010019"/>
    <s v="ca"/>
    <n v="35"/>
    <x v="1631"/>
    <s v="silver"/>
    <s v="black"/>
    <s v="toyota financial services"/>
    <n v="12200"/>
    <x v="132"/>
    <s v="Tue Jan 06 2015 16:00:00 GMT-0800 (PST)"/>
    <n v="2015"/>
    <x v="179"/>
    <x v="2"/>
    <s v="Low"/>
  </r>
  <r>
    <n v="2012"/>
    <x v="25"/>
    <x v="119"/>
    <x v="5"/>
    <x v="0"/>
    <s v="automatic"/>
    <s v="wp1aa2a21cla00605"/>
    <s v="ca"/>
    <n v="43"/>
    <x v="1632"/>
    <s v="gray"/>
    <s v="black"/>
    <s v="porsche of hawaii"/>
    <n v="41400"/>
    <x v="28"/>
    <s v="Thu Dec 18 2014 12:30:00 GMT-0800 (PST)"/>
    <n v="2014"/>
    <x v="169"/>
    <x v="1"/>
    <s v="Medium"/>
  </r>
  <r>
    <n v="2012"/>
    <x v="3"/>
    <x v="4"/>
    <x v="4"/>
    <x v="1"/>
    <s v="automatic"/>
    <s v="1n4al2ap0cn510350"/>
    <s v="ca"/>
    <n v="27"/>
    <x v="1633"/>
    <s v="white"/>
    <s v="black"/>
    <s v="nissan motor acceptance corporation"/>
    <n v="9525"/>
    <x v="370"/>
    <s v="Tue Dec 16 2014 12:30:00 GMT-0800 (PST)"/>
    <n v="2014"/>
    <x v="4"/>
    <x v="2"/>
    <s v="Low"/>
  </r>
  <r>
    <n v="2012"/>
    <x v="15"/>
    <x v="219"/>
    <x v="85"/>
    <x v="1"/>
    <s v="automatic"/>
    <s v="4a32b3ff8ce009274"/>
    <s v="ca"/>
    <n v="25"/>
    <x v="1634"/>
    <s v="silver"/>
    <s v="black"/>
    <s v="wells fargo dealer services"/>
    <n v="8125"/>
    <x v="74"/>
    <s v="Thu Dec 18 2014 12:00:00 GMT-0800 (PST)"/>
    <n v="2014"/>
    <x v="421"/>
    <x v="2"/>
    <s v="Low"/>
  </r>
  <r>
    <n v="2012"/>
    <x v="3"/>
    <x v="4"/>
    <x v="4"/>
    <x v="1"/>
    <s v="automatic"/>
    <s v="1n4al2ap6cc128710"/>
    <s v="ca"/>
    <n v="37"/>
    <x v="1635"/>
    <s v="white"/>
    <s v="gray"/>
    <s v="nissan-infiniti lt"/>
    <n v="13250"/>
    <x v="11"/>
    <s v="Tue Dec 23 2014 12:30:00 GMT-0800 (PST)"/>
    <n v="2014"/>
    <x v="4"/>
    <x v="2"/>
    <s v="Low"/>
  </r>
  <r>
    <n v="2012"/>
    <x v="3"/>
    <x v="4"/>
    <x v="4"/>
    <x v="1"/>
    <s v="automatic"/>
    <s v="1n4al2ap5cn471724"/>
    <s v="ca"/>
    <n v="29"/>
    <x v="1636"/>
    <s v="white"/>
    <s v="beige"/>
    <s v="nissan-infiniti lt"/>
    <n v="11650"/>
    <x v="148"/>
    <s v="Wed Dec 17 2014 12:30:00 GMT-0800 (PST)"/>
    <n v="2014"/>
    <x v="4"/>
    <x v="2"/>
    <s v="Low"/>
  </r>
  <r>
    <n v="2012"/>
    <x v="22"/>
    <x v="105"/>
    <x v="10"/>
    <x v="1"/>
    <s v="automatic"/>
    <s v="4t1bf1fkxcu022487"/>
    <s v="ca"/>
    <n v="29"/>
    <x v="1637"/>
    <s v="black"/>
    <s v="black"/>
    <s v="california republic bank"/>
    <n v="12000"/>
    <x v="137"/>
    <s v="Wed Jan 14 2015 04:30:00 GMT-0800 (PST)"/>
    <n v="2015"/>
    <x v="206"/>
    <x v="2"/>
    <s v="Low"/>
  </r>
  <r>
    <n v="2012"/>
    <x v="3"/>
    <x v="4"/>
    <x v="4"/>
    <x v="1"/>
    <s v="automatic"/>
    <s v="1n4al2ap7cn406650"/>
    <s v="ca"/>
    <n v="38"/>
    <x v="1638"/>
    <s v="â€”"/>
    <s v="black"/>
    <s v="nissan-infiniti lt"/>
    <n v="11700"/>
    <x v="250"/>
    <s v="Tue Dec 16 2014 12:30:00 GMT-0800 (PST)"/>
    <n v="2014"/>
    <x v="4"/>
    <x v="2"/>
    <s v="Low"/>
  </r>
  <r>
    <n v="2012"/>
    <x v="3"/>
    <x v="124"/>
    <x v="89"/>
    <x v="17"/>
    <s v="automatic"/>
    <s v="1n6bd0ct2cc446833"/>
    <s v="ca"/>
    <n v="2"/>
    <x v="1639"/>
    <s v="white"/>
    <s v="gray"/>
    <s v="o'reilly auto parts"/>
    <n v="5000"/>
    <x v="371"/>
    <s v="Thu Dec 18 2014 12:00:00 GMT-0800 (PST)"/>
    <n v="2014"/>
    <x v="198"/>
    <x v="0"/>
    <s v="Low"/>
  </r>
  <r>
    <n v="2012"/>
    <x v="3"/>
    <x v="4"/>
    <x v="4"/>
    <x v="1"/>
    <s v="automatic"/>
    <s v="1n4al2ap2cc130891"/>
    <s v="ca"/>
    <n v="4"/>
    <x v="1640"/>
    <s v="white"/>
    <s v="beige"/>
    <s v="nissan-infiniti lt"/>
    <n v="11750"/>
    <x v="168"/>
    <s v="Wed Dec 17 2014 12:30:00 GMT-0800 (PST)"/>
    <n v="2014"/>
    <x v="4"/>
    <x v="0"/>
    <s v="Low"/>
  </r>
  <r>
    <n v="2012"/>
    <x v="3"/>
    <x v="4"/>
    <x v="4"/>
    <x v="1"/>
    <s v="automatic"/>
    <s v="1n4al2ap1cc177703"/>
    <s v="ca"/>
    <n v="38"/>
    <x v="1641"/>
    <s v="â€”"/>
    <s v="black"/>
    <s v="nissan-infiniti lt"/>
    <n v="10350"/>
    <x v="82"/>
    <s v="Tue Dec 16 2014 12:30:00 GMT-0800 (PST)"/>
    <n v="2014"/>
    <x v="4"/>
    <x v="2"/>
    <s v="Low"/>
  </r>
  <r>
    <n v="2012"/>
    <x v="14"/>
    <x v="70"/>
    <x v="221"/>
    <x v="1"/>
    <s v="automatic"/>
    <s v="wddhf8jb4ca571916"/>
    <s v="ca"/>
    <n v="38"/>
    <x v="1642"/>
    <s v="black"/>
    <s v="black"/>
    <s v="the hertz corporation"/>
    <n v="26900"/>
    <x v="146"/>
    <s v="Tue Dec 16 2014 12:30:00 GMT-0800 (PST)"/>
    <n v="2014"/>
    <x v="422"/>
    <x v="2"/>
    <s v="Medium"/>
  </r>
  <r>
    <n v="2012"/>
    <x v="14"/>
    <x v="58"/>
    <x v="52"/>
    <x v="1"/>
    <s v="automatic"/>
    <s v="wddng7db5ca487674"/>
    <s v="ca"/>
    <n v="35"/>
    <x v="1643"/>
    <s v="black"/>
    <s v="black"/>
    <s v="mercedes-benz financial services"/>
    <n v="43900"/>
    <x v="294"/>
    <s v="Thu Jan 15 2015 04:30:00 GMT-0800 (PST)"/>
    <n v="2015"/>
    <x v="79"/>
    <x v="2"/>
    <s v="Medium"/>
  </r>
  <r>
    <n v="2012"/>
    <x v="3"/>
    <x v="4"/>
    <x v="4"/>
    <x v="1"/>
    <s v="automatic"/>
    <s v="1n4al2ap9cn405239"/>
    <s v="ca"/>
    <n v="25"/>
    <x v="1644"/>
    <s v="â€”"/>
    <s v="black"/>
    <s v="nissan-infiniti lt"/>
    <n v="13250"/>
    <x v="250"/>
    <s v="Tue Dec 16 2014 12:30:00 GMT-0800 (PST)"/>
    <n v="2014"/>
    <x v="4"/>
    <x v="2"/>
    <s v="Low"/>
  </r>
  <r>
    <n v="2012"/>
    <x v="22"/>
    <x v="105"/>
    <x v="10"/>
    <x v="1"/>
    <s v="automatic"/>
    <s v="4t1bf1fk6cu095761"/>
    <s v="ca"/>
    <m/>
    <x v="1645"/>
    <s v="gray"/>
    <s v="blue"/>
    <s v="hertz/tra"/>
    <n v="14000"/>
    <x v="372"/>
    <s v="Tue Dec 16 2014 13:00:00 GMT-0800 (PST)"/>
    <n v="2014"/>
    <x v="206"/>
    <x v="0"/>
    <s v="Low"/>
  </r>
  <r>
    <n v="2012"/>
    <x v="3"/>
    <x v="4"/>
    <x v="4"/>
    <x v="1"/>
    <s v="automatic"/>
    <s v="1n4al2ap1cn460655"/>
    <s v="ca"/>
    <n v="26"/>
    <x v="1646"/>
    <s v="white"/>
    <s v="beige"/>
    <s v="the hertz corporation"/>
    <n v="11000"/>
    <x v="250"/>
    <s v="Thu Dec 18 2014 11:30:00 GMT-0800 (PST)"/>
    <n v="2014"/>
    <x v="4"/>
    <x v="2"/>
    <s v="Low"/>
  </r>
  <r>
    <n v="2012"/>
    <x v="14"/>
    <x v="90"/>
    <x v="222"/>
    <x v="0"/>
    <s v="automatic"/>
    <s v="4jgda2eb1ca025472"/>
    <s v="ca"/>
    <n v="28"/>
    <x v="1647"/>
    <s v="white"/>
    <s v="black"/>
    <s v="mercedes benz of ontario"/>
    <n v="33200"/>
    <x v="89"/>
    <s v="Thu Jan 15 2015 04:00:00 GMT-0800 (PST)"/>
    <n v="2015"/>
    <x v="423"/>
    <x v="2"/>
    <s v="Medium"/>
  </r>
  <r>
    <n v="2012"/>
    <x v="3"/>
    <x v="4"/>
    <x v="4"/>
    <x v="3"/>
    <s v="automatic"/>
    <s v="1n4al2epxcc171389"/>
    <s v="ca"/>
    <n v="36"/>
    <x v="1648"/>
    <s v="gray"/>
    <s v="black"/>
    <s v="santander consumer"/>
    <n v="12300"/>
    <x v="11"/>
    <s v="Thu Dec 18 2014 12:00:00 GMT-0800 (PST)"/>
    <n v="2014"/>
    <x v="4"/>
    <x v="2"/>
    <s v="Low"/>
  </r>
  <r>
    <n v="2012"/>
    <x v="3"/>
    <x v="133"/>
    <x v="105"/>
    <x v="0"/>
    <s v="automatic"/>
    <s v="5n1aa0nc3cn607033"/>
    <s v="ca"/>
    <n v="24"/>
    <x v="1649"/>
    <s v="gray"/>
    <s v="black"/>
    <s v="the hertz corporation"/>
    <n v="25500"/>
    <x v="146"/>
    <s v="Thu Dec 18 2014 11:30:00 GMT-0800 (PST)"/>
    <n v="2014"/>
    <x v="190"/>
    <x v="2"/>
    <s v="Medium"/>
  </r>
  <r>
    <n v="2012"/>
    <x v="3"/>
    <x v="4"/>
    <x v="4"/>
    <x v="1"/>
    <s v="automatic"/>
    <s v="1n4al2apxcn453946"/>
    <s v="ca"/>
    <n v="42"/>
    <x v="1650"/>
    <s v="white"/>
    <s v="black"/>
    <s v="nissan motor acceptance corporation"/>
    <n v="9775"/>
    <x v="82"/>
    <s v="Tue Dec 16 2014 12:30:00 GMT-0800 (PST)"/>
    <n v="2014"/>
    <x v="4"/>
    <x v="1"/>
    <s v="Low"/>
  </r>
  <r>
    <n v="2012"/>
    <x v="3"/>
    <x v="4"/>
    <x v="4"/>
    <x v="1"/>
    <s v="automatic"/>
    <s v="1n4al2ap8cc139112"/>
    <s v="ca"/>
    <n v="21"/>
    <x v="1461"/>
    <s v="â€”"/>
    <s v="black"/>
    <s v="nissan-infiniti lt"/>
    <n v="12350"/>
    <x v="253"/>
    <s v="Wed Dec 17 2014 12:30:00 GMT-0800 (PST)"/>
    <n v="2014"/>
    <x v="4"/>
    <x v="2"/>
    <s v="Low"/>
  </r>
  <r>
    <n v="2012"/>
    <x v="3"/>
    <x v="104"/>
    <x v="93"/>
    <x v="5"/>
    <s v="automatic"/>
    <s v="jn1az0cp7ct023963"/>
    <s v="ca"/>
    <n v="44"/>
    <x v="1651"/>
    <s v="â€”"/>
    <s v="gray"/>
    <s v="nissan-infiniti lt"/>
    <n v="11600"/>
    <x v="178"/>
    <s v="Tue Dec 16 2014 12:30:00 GMT-0800 (PST)"/>
    <n v="2014"/>
    <x v="149"/>
    <x v="1"/>
    <s v="Low"/>
  </r>
  <r>
    <n v="2012"/>
    <x v="3"/>
    <x v="4"/>
    <x v="4"/>
    <x v="1"/>
    <s v="automatic"/>
    <s v="1n4al2ap2cc256166"/>
    <s v="ca"/>
    <n v="3"/>
    <x v="200"/>
    <s v="beige"/>
    <s v="beige"/>
    <s v="nissan motor acceptance corporation"/>
    <n v="13700"/>
    <x v="25"/>
    <s v="Tue Dec 23 2014 12:30:00 GMT-0800 (PST)"/>
    <n v="2014"/>
    <x v="4"/>
    <x v="0"/>
    <s v="Low"/>
  </r>
  <r>
    <n v="2012"/>
    <x v="15"/>
    <x v="67"/>
    <x v="10"/>
    <x v="0"/>
    <s v="automatic"/>
    <s v="ja4ap4au5cz004435"/>
    <s v="ca"/>
    <n v="39"/>
    <x v="1652"/>
    <s v="gray"/>
    <s v="black"/>
    <s v="first investors servicing corp"/>
    <n v="11300"/>
    <x v="276"/>
    <s v="Tue Dec 16 2014 12:30:00 GMT-0800 (PST)"/>
    <n v="2014"/>
    <x v="424"/>
    <x v="2"/>
    <s v="Low"/>
  </r>
  <r>
    <n v="2012"/>
    <x v="3"/>
    <x v="4"/>
    <x v="4"/>
    <x v="1"/>
    <s v="automatic"/>
    <s v="1n4al2ap9cn479356"/>
    <s v="ca"/>
    <n v="36"/>
    <x v="1653"/>
    <s v="white"/>
    <s v="gray"/>
    <s v="nissan-infiniti lt"/>
    <n v="13300"/>
    <x v="161"/>
    <s v="Tue Dec 16 2014 12:30:00 GMT-0800 (PST)"/>
    <n v="2014"/>
    <x v="4"/>
    <x v="2"/>
    <s v="Low"/>
  </r>
  <r>
    <n v="2012"/>
    <x v="14"/>
    <x v="89"/>
    <x v="78"/>
    <x v="0"/>
    <s v="automatic"/>
    <s v="4jgbf7bexca781158"/>
    <s v="ca"/>
    <n v="34"/>
    <x v="1654"/>
    <s v="black"/>
    <s v="black"/>
    <s v="the hertz corporation"/>
    <n v="27500"/>
    <x v="373"/>
    <s v="Tue Dec 23 2014 12:30:00 GMT-0800 (PST)"/>
    <n v="2014"/>
    <x v="127"/>
    <x v="2"/>
    <s v="Medium"/>
  </r>
  <r>
    <n v="2012"/>
    <x v="3"/>
    <x v="4"/>
    <x v="4"/>
    <x v="1"/>
    <s v="automatic"/>
    <s v="1n4al2ap4cn421025"/>
    <s v="ca"/>
    <n v="37"/>
    <x v="1655"/>
    <s v="â€”"/>
    <s v="black"/>
    <s v="nissan-infiniti lt"/>
    <n v="13000"/>
    <x v="11"/>
    <s v="Tue Dec 16 2014 12:30:00 GMT-0800 (PST)"/>
    <n v="2014"/>
    <x v="4"/>
    <x v="2"/>
    <s v="Low"/>
  </r>
  <r>
    <n v="2012"/>
    <x v="15"/>
    <x v="60"/>
    <x v="10"/>
    <x v="0"/>
    <s v="automatic"/>
    <s v="ja4jt3aw8cu003302"/>
    <s v="ca"/>
    <n v="26"/>
    <x v="1656"/>
    <s v="blue"/>
    <s v="black"/>
    <s v="wells fargo dealer services"/>
    <n v="12300"/>
    <x v="39"/>
    <s v="Thu Dec 18 2014 12:00:00 GMT-0800 (PST)"/>
    <n v="2014"/>
    <x v="81"/>
    <x v="2"/>
    <s v="Low"/>
  </r>
  <r>
    <n v="2012"/>
    <x v="3"/>
    <x v="101"/>
    <x v="105"/>
    <x v="0"/>
    <s v="automatic"/>
    <s v="jn8as5mv0cw352146"/>
    <s v="ca"/>
    <n v="36"/>
    <x v="229"/>
    <s v="gray"/>
    <s v="black"/>
    <s v="nissan-infiniti lt"/>
    <n v="16300"/>
    <x v="218"/>
    <s v="Tue Dec 16 2014 12:30:00 GMT-0800 (PST)"/>
    <n v="2014"/>
    <x v="184"/>
    <x v="2"/>
    <s v="Low"/>
  </r>
  <r>
    <n v="2012"/>
    <x v="3"/>
    <x v="4"/>
    <x v="4"/>
    <x v="1"/>
    <s v="automatic"/>
    <s v="1n4al2apxcn403077"/>
    <s v="ca"/>
    <n v="21"/>
    <x v="1657"/>
    <s v="white"/>
    <s v="tan"/>
    <s v="nissan-infiniti lt"/>
    <n v="12950"/>
    <x v="348"/>
    <s v="Tue Dec 16 2014 12:30:00 GMT-0800 (PST)"/>
    <n v="2014"/>
    <x v="4"/>
    <x v="2"/>
    <s v="Low"/>
  </r>
  <r>
    <n v="2012"/>
    <x v="3"/>
    <x v="4"/>
    <x v="4"/>
    <x v="1"/>
    <s v="automatic"/>
    <s v="1n4al2ap0cn419692"/>
    <s v="ca"/>
    <n v="35"/>
    <x v="1658"/>
    <s v="white"/>
    <s v="black"/>
    <s v="nissan-infiniti lt"/>
    <n v="13900"/>
    <x v="68"/>
    <s v="Wed Dec 17 2014 12:30:00 GMT-0800 (PST)"/>
    <n v="2014"/>
    <x v="4"/>
    <x v="2"/>
    <s v="Low"/>
  </r>
  <r>
    <n v="2012"/>
    <x v="23"/>
    <x v="140"/>
    <x v="213"/>
    <x v="1"/>
    <s v="manual"/>
    <s v="jf1gv7e67cg024559"/>
    <s v="ca"/>
    <n v="27"/>
    <x v="1659"/>
    <s v="blue"/>
    <s v="black"/>
    <s v="prestige chrysler jeep dodge"/>
    <n v="18550"/>
    <x v="164"/>
    <s v="Tue Dec 16 2014 12:30:00 GMT-0800 (PST)"/>
    <n v="2014"/>
    <x v="410"/>
    <x v="2"/>
    <s v="Medium"/>
  </r>
  <r>
    <n v="2012"/>
    <x v="3"/>
    <x v="104"/>
    <x v="93"/>
    <x v="5"/>
    <s v="automatic"/>
    <s v="jn1az0cpxct017946"/>
    <s v="ca"/>
    <n v="45"/>
    <x v="530"/>
    <s v="silver"/>
    <s v="gray"/>
    <s v="mossy nissan oceanside"/>
    <n v="10750"/>
    <x v="54"/>
    <s v="Wed Jan 07 2015 12:30:00 GMT-0800 (PST)"/>
    <n v="2015"/>
    <x v="149"/>
    <x v="1"/>
    <s v="Low"/>
  </r>
  <r>
    <n v="2012"/>
    <x v="3"/>
    <x v="104"/>
    <x v="93"/>
    <x v="5"/>
    <s v="automatic"/>
    <s v="jn1az0cp5ct016056"/>
    <s v="ca"/>
    <n v="48"/>
    <x v="1660"/>
    <s v="black"/>
    <s v="beige"/>
    <s v="nissan-infiniti lt"/>
    <n v="11050"/>
    <x v="11"/>
    <s v="Tue Dec 23 2014 12:30:00 GMT-0800 (PST)"/>
    <n v="2014"/>
    <x v="149"/>
    <x v="1"/>
    <s v="Low"/>
  </r>
  <r>
    <n v="2012"/>
    <x v="3"/>
    <x v="4"/>
    <x v="4"/>
    <x v="1"/>
    <s v="automatic"/>
    <s v="1n4al2ap1cn499388"/>
    <s v="ca"/>
    <n v="34"/>
    <x v="1661"/>
    <s v="black"/>
    <s v="black"/>
    <s v="the hertz corporation"/>
    <n v="9675"/>
    <x v="51"/>
    <s v="Tue Dec 16 2014 12:30:00 GMT-0800 (PST)"/>
    <n v="2014"/>
    <x v="4"/>
    <x v="2"/>
    <s v="Low"/>
  </r>
  <r>
    <n v="2012"/>
    <x v="3"/>
    <x v="4"/>
    <x v="4"/>
    <x v="1"/>
    <s v="automatic"/>
    <s v="1n4al2ap9cn417746"/>
    <s v="ca"/>
    <n v="37"/>
    <x v="1662"/>
    <s v="â€”"/>
    <s v="gray"/>
    <s v="nissan-infiniti lt"/>
    <n v="12250"/>
    <x v="162"/>
    <s v="Wed Dec 17 2014 12:30:00 GMT-0800 (PST)"/>
    <n v="2014"/>
    <x v="4"/>
    <x v="2"/>
    <s v="Low"/>
  </r>
  <r>
    <n v="2012"/>
    <x v="3"/>
    <x v="100"/>
    <x v="208"/>
    <x v="1"/>
    <s v="automatic"/>
    <s v="3n1ab6ap1cl769100"/>
    <s v="ca"/>
    <n v="35"/>
    <x v="1663"/>
    <s v="black"/>
    <s v="gray"/>
    <s v="wells fargo dealer services"/>
    <n v="9300"/>
    <x v="231"/>
    <s v="Thu Dec 18 2014 12:00:00 GMT-0800 (PST)"/>
    <n v="2014"/>
    <x v="404"/>
    <x v="2"/>
    <s v="Low"/>
  </r>
  <r>
    <n v="2012"/>
    <x v="3"/>
    <x v="104"/>
    <x v="93"/>
    <x v="5"/>
    <s v="automatic"/>
    <s v="jn1az0cp0ct020919"/>
    <s v="ca"/>
    <n v="34"/>
    <x v="1664"/>
    <s v="black"/>
    <s v="beige"/>
    <s v="nissan-infiniti lt"/>
    <n v="11650"/>
    <x v="49"/>
    <s v="Wed Jan 28 2015 04:30:00 GMT-0800 (PST)"/>
    <n v="2015"/>
    <x v="149"/>
    <x v="2"/>
    <s v="Low"/>
  </r>
  <r>
    <n v="2012"/>
    <x v="3"/>
    <x v="31"/>
    <x v="209"/>
    <x v="5"/>
    <s v="automatic"/>
    <s v="3n1bc1cp0ck815359"/>
    <s v="ca"/>
    <n v="29"/>
    <x v="1665"/>
    <s v="red"/>
    <s v="black"/>
    <s v="santander consumer"/>
    <n v="8650"/>
    <x v="189"/>
    <s v="Thu Dec 18 2014 12:00:00 GMT-0800 (PST)"/>
    <n v="2014"/>
    <x v="405"/>
    <x v="2"/>
    <s v="Low"/>
  </r>
  <r>
    <n v="2012"/>
    <x v="3"/>
    <x v="101"/>
    <x v="89"/>
    <x v="0"/>
    <s v="automatic"/>
    <s v="jn8as5mt5cw259184"/>
    <s v="ca"/>
    <n v="29"/>
    <x v="1666"/>
    <s v="red"/>
    <s v="black"/>
    <s v="santander consumer"/>
    <n v="13000"/>
    <x v="180"/>
    <s v="Thu Dec 18 2014 12:00:00 GMT-0800 (PST)"/>
    <n v="2014"/>
    <x v="145"/>
    <x v="2"/>
    <s v="Low"/>
  </r>
  <r>
    <n v="2012"/>
    <x v="3"/>
    <x v="4"/>
    <x v="4"/>
    <x v="1"/>
    <s v="automatic"/>
    <s v="1n4al2ap3cc158506"/>
    <s v="ca"/>
    <n v="43"/>
    <x v="1667"/>
    <s v="gray"/>
    <s v="black"/>
    <s v="nissan-infiniti lt"/>
    <n v="13400"/>
    <x v="188"/>
    <s v="Tue Dec 16 2014 12:30:00 GMT-0800 (PST)"/>
    <n v="2014"/>
    <x v="4"/>
    <x v="1"/>
    <s v="Low"/>
  </r>
  <r>
    <n v="2012"/>
    <x v="3"/>
    <x v="4"/>
    <x v="4"/>
    <x v="1"/>
    <s v="automatic"/>
    <s v="1n4al2ap7cn429376"/>
    <s v="ca"/>
    <n v="32"/>
    <x v="1668"/>
    <s v="white"/>
    <s v="black"/>
    <s v="nissan-infiniti lt"/>
    <n v="12000"/>
    <x v="137"/>
    <s v="Wed Dec 17 2014 12:30:00 GMT-0800 (PST)"/>
    <n v="2014"/>
    <x v="4"/>
    <x v="2"/>
    <s v="Low"/>
  </r>
  <r>
    <n v="2012"/>
    <x v="23"/>
    <x v="132"/>
    <x v="223"/>
    <x v="1"/>
    <s v="automatic"/>
    <s v="4s3bmcb6xc3029413"/>
    <s v="ca"/>
    <n v="29"/>
    <x v="1669"/>
    <s v="gray"/>
    <s v="black"/>
    <s v="ge fleet services for itself/servicer"/>
    <n v="12050"/>
    <x v="161"/>
    <s v="Tue Dec 16 2014 12:00:00 GMT-0800 (PST)"/>
    <n v="2014"/>
    <x v="425"/>
    <x v="2"/>
    <s v="Low"/>
  </r>
  <r>
    <n v="2012"/>
    <x v="14"/>
    <x v="89"/>
    <x v="78"/>
    <x v="0"/>
    <s v="automatic"/>
    <s v="4jgbf7be4ca778188"/>
    <s v="ca"/>
    <n v="45"/>
    <x v="1670"/>
    <s v="silver"/>
    <s v="gray"/>
    <s v="the hertz corporation"/>
    <n v="24600"/>
    <x v="85"/>
    <s v="Wed Dec 17 2014 12:30:00 GMT-0800 (PST)"/>
    <n v="2014"/>
    <x v="127"/>
    <x v="1"/>
    <s v="Medium"/>
  </r>
  <r>
    <n v="2012"/>
    <x v="15"/>
    <x v="60"/>
    <x v="10"/>
    <x v="0"/>
    <s v="automatic"/>
    <s v="ja4as3awxcu013364"/>
    <s v="ca"/>
    <n v="42"/>
    <x v="1671"/>
    <s v="black"/>
    <s v="black"/>
    <s v="jpmorgan chase bank n.a."/>
    <n v="12150"/>
    <x v="149"/>
    <s v="Thu Dec 18 2014 12:00:00 GMT-0800 (PST)"/>
    <n v="2014"/>
    <x v="81"/>
    <x v="1"/>
    <s v="Low"/>
  </r>
  <r>
    <n v="2012"/>
    <x v="3"/>
    <x v="101"/>
    <x v="89"/>
    <x v="0"/>
    <s v="automatic"/>
    <s v="jn8as5mt0cw251381"/>
    <s v="ca"/>
    <n v="26"/>
    <x v="1672"/>
    <s v="silver"/>
    <s v="black"/>
    <s v="nissan motor acceptance corporation"/>
    <n v="15200"/>
    <x v="259"/>
    <s v="Tue Dec 16 2014 12:30:00 GMT-0800 (PST)"/>
    <n v="2014"/>
    <x v="145"/>
    <x v="2"/>
    <s v="Low"/>
  </r>
  <r>
    <n v="2012"/>
    <x v="14"/>
    <x v="89"/>
    <x v="78"/>
    <x v="0"/>
    <s v="automatic"/>
    <s v="4jgbf7be7ca782669"/>
    <s v="ca"/>
    <n v="31"/>
    <x v="1673"/>
    <s v="gray"/>
    <s v="black"/>
    <s v="the hertz corporation"/>
    <n v="27000"/>
    <x v="95"/>
    <s v="Tue Dec 16 2014 12:30:00 GMT-0800 (PST)"/>
    <n v="2014"/>
    <x v="127"/>
    <x v="2"/>
    <s v="Medium"/>
  </r>
  <r>
    <n v="2012"/>
    <x v="3"/>
    <x v="124"/>
    <x v="105"/>
    <x v="6"/>
    <s v="automatic"/>
    <s v="1n6ad0erxcc421224"/>
    <s v="ca"/>
    <n v="21"/>
    <x v="1674"/>
    <s v="black"/>
    <s v="gray"/>
    <s v="jpmorgan chase bank n.a."/>
    <n v="14200"/>
    <x v="197"/>
    <s v="Thu Dec 18 2014 12:00:00 GMT-0800 (PST)"/>
    <n v="2014"/>
    <x v="175"/>
    <x v="2"/>
    <s v="Low"/>
  </r>
  <r>
    <n v="2012"/>
    <x v="14"/>
    <x v="90"/>
    <x v="215"/>
    <x v="0"/>
    <s v="automatic"/>
    <s v="4jgda5hb6ca044788"/>
    <s v="ca"/>
    <n v="22"/>
    <x v="1675"/>
    <s v="gray"/>
    <s v="black"/>
    <s v="fletcher jones motorcars"/>
    <n v="33700"/>
    <x v="356"/>
    <s v="Thu Dec 18 2014 12:00:00 GMT-0800 (PST)"/>
    <n v="2014"/>
    <x v="412"/>
    <x v="2"/>
    <s v="Medium"/>
  </r>
  <r>
    <n v="2012"/>
    <x v="14"/>
    <x v="89"/>
    <x v="78"/>
    <x v="0"/>
    <s v="automatic"/>
    <s v="4jgbf7bexca782696"/>
    <s v="ca"/>
    <n v="27"/>
    <x v="1676"/>
    <s v="gray"/>
    <s v="black"/>
    <s v="the hertz corporation"/>
    <n v="28700"/>
    <x v="354"/>
    <s v="Wed Jan 07 2015 12:30:00 GMT-0800 (PST)"/>
    <n v="2015"/>
    <x v="127"/>
    <x v="2"/>
    <s v="Medium"/>
  </r>
  <r>
    <n v="2012"/>
    <x v="3"/>
    <x v="4"/>
    <x v="4"/>
    <x v="3"/>
    <s v="automatic"/>
    <s v="1n4al2ep8cc191074"/>
    <s v="ca"/>
    <n v="34"/>
    <x v="1677"/>
    <s v="silver"/>
    <s v="black"/>
    <s v="phillips auto brokerage"/>
    <n v="13850"/>
    <x v="186"/>
    <s v="Wed Dec 17 2014 12:30:00 GMT-0800 (PST)"/>
    <n v="2014"/>
    <x v="4"/>
    <x v="2"/>
    <s v="Low"/>
  </r>
  <r>
    <n v="2012"/>
    <x v="3"/>
    <x v="4"/>
    <x v="51"/>
    <x v="1"/>
    <s v="automatic"/>
    <s v="1n4al2ap5cc225980"/>
    <s v="ca"/>
    <n v="41"/>
    <x v="1678"/>
    <s v="white"/>
    <s v="black"/>
    <s v="onemain rem/delta dealer"/>
    <n v="11150"/>
    <x v="142"/>
    <s v="Wed Dec 17 2014 12:30:00 GMT-0800 (PST)"/>
    <n v="2014"/>
    <x v="78"/>
    <x v="1"/>
    <s v="Low"/>
  </r>
  <r>
    <n v="2012"/>
    <x v="14"/>
    <x v="89"/>
    <x v="78"/>
    <x v="0"/>
    <s v="automatic"/>
    <s v="4jgbf7be7ca773583"/>
    <s v="ca"/>
    <n v="46"/>
    <x v="1679"/>
    <s v="white"/>
    <s v="brown"/>
    <s v="mercedes-benz usa"/>
    <n v="41000"/>
    <x v="301"/>
    <s v="Thu Dec 18 2014 12:00:00 GMT-0800 (PST)"/>
    <n v="2014"/>
    <x v="127"/>
    <x v="1"/>
    <s v="Medium"/>
  </r>
  <r>
    <n v="2012"/>
    <x v="3"/>
    <x v="4"/>
    <x v="4"/>
    <x v="1"/>
    <s v="automatic"/>
    <s v="1n4al2ap7cn417437"/>
    <s v="ca"/>
    <n v="45"/>
    <x v="1680"/>
    <s v="white"/>
    <s v="gray"/>
    <s v="nissan-infiniti lt"/>
    <n v="12850"/>
    <x v="39"/>
    <s v="Tue Dec 16 2014 12:30:00 GMT-0800 (PST)"/>
    <n v="2014"/>
    <x v="4"/>
    <x v="1"/>
    <s v="Low"/>
  </r>
  <r>
    <n v="2012"/>
    <x v="3"/>
    <x v="101"/>
    <x v="89"/>
    <x v="0"/>
    <s v="automatic"/>
    <s v="jn8as5mt3cw291728"/>
    <s v="ca"/>
    <n v="41"/>
    <x v="1681"/>
    <s v="black"/>
    <s v="black"/>
    <s v="nissan motor acceptance corporation"/>
    <n v="15650"/>
    <x v="349"/>
    <s v="Wed Dec 17 2014 12:30:00 GMT-0800 (PST)"/>
    <n v="2014"/>
    <x v="145"/>
    <x v="1"/>
    <s v="Low"/>
  </r>
  <r>
    <n v="2012"/>
    <x v="3"/>
    <x v="4"/>
    <x v="51"/>
    <x v="1"/>
    <s v="automatic"/>
    <s v="1n4al2ap1cn482459"/>
    <s v="ca"/>
    <n v="28"/>
    <x v="1682"/>
    <s v="white"/>
    <s v="black"/>
    <s v="the hertz corporation"/>
    <n v="10750"/>
    <x v="12"/>
    <s v="Wed Dec 17 2014 12:30:00 GMT-0800 (PST)"/>
    <n v="2014"/>
    <x v="78"/>
    <x v="2"/>
    <s v="Low"/>
  </r>
  <r>
    <n v="2012"/>
    <x v="3"/>
    <x v="4"/>
    <x v="4"/>
    <x v="1"/>
    <s v="automatic"/>
    <s v="1n4al2ap1cn418275"/>
    <s v="ca"/>
    <n v="48"/>
    <x v="1683"/>
    <s v="â€”"/>
    <s v="black"/>
    <s v="nissan-infiniti lt"/>
    <n v="12450"/>
    <x v="161"/>
    <s v="Wed Dec 17 2014 12:30:00 GMT-0800 (PST)"/>
    <n v="2014"/>
    <x v="4"/>
    <x v="1"/>
    <s v="Low"/>
  </r>
  <r>
    <n v="2012"/>
    <x v="3"/>
    <x v="104"/>
    <x v="93"/>
    <x v="5"/>
    <s v="automatic"/>
    <s v="jn1az0cp4ct023001"/>
    <s v="ca"/>
    <n v="48"/>
    <x v="1684"/>
    <s v="black"/>
    <s v="beige"/>
    <s v="nissan motor acceptance corporation"/>
    <n v="11800"/>
    <x v="168"/>
    <s v="Wed Dec 17 2014 12:30:00 GMT-0800 (PST)"/>
    <n v="2014"/>
    <x v="149"/>
    <x v="1"/>
    <s v="Low"/>
  </r>
  <r>
    <n v="2012"/>
    <x v="3"/>
    <x v="104"/>
    <x v="93"/>
    <x v="5"/>
    <s v="automatic"/>
    <s v="jn1az0cp1ct016331"/>
    <s v="ca"/>
    <n v="44"/>
    <x v="1685"/>
    <s v="black"/>
    <s v="gray"/>
    <s v="nissan-infiniti lt"/>
    <n v="10400"/>
    <x v="148"/>
    <s v="Wed Dec 17 2014 12:30:00 GMT-0800 (PST)"/>
    <n v="2014"/>
    <x v="149"/>
    <x v="1"/>
    <s v="Low"/>
  </r>
  <r>
    <n v="2012"/>
    <x v="3"/>
    <x v="100"/>
    <x v="208"/>
    <x v="1"/>
    <s v="automatic"/>
    <s v="3n1ab6ap3cl625581"/>
    <s v="ca"/>
    <n v="37"/>
    <x v="1686"/>
    <s v="silver"/>
    <s v="gray"/>
    <s v="metro nissan of montclair"/>
    <n v="7750"/>
    <x v="174"/>
    <s v="Thu Dec 18 2014 12:00:00 GMT-0800 (PST)"/>
    <n v="2014"/>
    <x v="404"/>
    <x v="2"/>
    <s v="Low"/>
  </r>
  <r>
    <n v="2012"/>
    <x v="3"/>
    <x v="4"/>
    <x v="4"/>
    <x v="1"/>
    <s v="automatic"/>
    <s v="1n4al2ap3cc216730"/>
    <s v="ca"/>
    <n v="39"/>
    <x v="1687"/>
    <s v="white"/>
    <s v="black"/>
    <s v="nissan motor acceptance corporation"/>
    <n v="11200"/>
    <x v="110"/>
    <s v="Wed Dec 17 2014 12:30:00 GMT-0800 (PST)"/>
    <n v="2014"/>
    <x v="4"/>
    <x v="2"/>
    <s v="Low"/>
  </r>
  <r>
    <n v="2012"/>
    <x v="3"/>
    <x v="4"/>
    <x v="4"/>
    <x v="1"/>
    <s v="automatic"/>
    <s v="1n4al2ap9cn453999"/>
    <s v="ca"/>
    <n v="3"/>
    <x v="1688"/>
    <s v="white"/>
    <s v="gray"/>
    <s v="nissan-infiniti lt"/>
    <n v="11850"/>
    <x v="36"/>
    <s v="Tue Dec 23 2014 12:30:00 GMT-0800 (PST)"/>
    <n v="2014"/>
    <x v="4"/>
    <x v="0"/>
    <s v="Low"/>
  </r>
  <r>
    <n v="2012"/>
    <x v="14"/>
    <x v="89"/>
    <x v="78"/>
    <x v="0"/>
    <s v="automatic"/>
    <s v="4jgbf7be8ca778985"/>
    <s v="ca"/>
    <n v="19"/>
    <x v="1689"/>
    <s v="gray"/>
    <s v="black"/>
    <s v="the hertz corporation"/>
    <n v="25600"/>
    <x v="102"/>
    <s v="Tue Dec 23 2014 12:30:00 GMT-0800 (PST)"/>
    <n v="2014"/>
    <x v="127"/>
    <x v="0"/>
    <s v="Medium"/>
  </r>
  <r>
    <n v="2012"/>
    <x v="14"/>
    <x v="89"/>
    <x v="78"/>
    <x v="0"/>
    <s v="automatic"/>
    <s v="4jgbf7be5ca780127"/>
    <s v="ca"/>
    <n v="27"/>
    <x v="1690"/>
    <s v="black"/>
    <s v="black"/>
    <s v="the hertz corporation"/>
    <n v="27100"/>
    <x v="56"/>
    <s v="Tue Dec 16 2014 12:30:00 GMT-0800 (PST)"/>
    <n v="2014"/>
    <x v="127"/>
    <x v="2"/>
    <s v="Medium"/>
  </r>
  <r>
    <n v="2012"/>
    <x v="3"/>
    <x v="118"/>
    <x v="102"/>
    <x v="1"/>
    <s v="automatic"/>
    <s v="1n4aa5ap2cc808904"/>
    <s v="ca"/>
    <n v="31"/>
    <x v="1691"/>
    <s v="â€”"/>
    <s v="black"/>
    <s v="nissan-infiniti lt"/>
    <n v="14500"/>
    <x v="101"/>
    <s v="Tue Dec 16 2014 12:30:00 GMT-0800 (PST)"/>
    <n v="2014"/>
    <x v="168"/>
    <x v="2"/>
    <s v="Low"/>
  </r>
  <r>
    <n v="2012"/>
    <x v="14"/>
    <x v="90"/>
    <x v="224"/>
    <x v="0"/>
    <m/>
    <s v="4jgda7eb0ca049551"/>
    <s v="ca"/>
    <m/>
    <x v="694"/>
    <m/>
    <m/>
    <s v="high bid trading co inc"/>
    <n v="69000"/>
    <x v="73"/>
    <s v="Thu Dec 18 2014 12:00:00 GMT-0800 (PST)"/>
    <n v="2014"/>
    <x v="426"/>
    <x v="0"/>
    <s v="Medium"/>
  </r>
  <r>
    <n v="2012"/>
    <x v="14"/>
    <x v="89"/>
    <x v="78"/>
    <x v="0"/>
    <s v="automatic"/>
    <s v="4jgbf7be1ca778875"/>
    <s v="ca"/>
    <n v="42"/>
    <x v="1692"/>
    <s v="black"/>
    <s v="gray"/>
    <s v="mercedes-benz finc wholesale advantage"/>
    <n v="27600"/>
    <x v="71"/>
    <s v="Thu Dec 18 2014 12:30:00 GMT-0800 (PST)"/>
    <n v="2014"/>
    <x v="127"/>
    <x v="1"/>
    <s v="Medium"/>
  </r>
  <r>
    <n v="2012"/>
    <x v="22"/>
    <x v="105"/>
    <x v="10"/>
    <x v="1"/>
    <s v="automatic"/>
    <s v="4t1bf1fkxcu063573"/>
    <s v="ca"/>
    <n v="28"/>
    <x v="1693"/>
    <s v="silver"/>
    <s v="black"/>
    <s v="onemain rem/m&amp;m auto traders"/>
    <n v="14750"/>
    <x v="205"/>
    <s v="Thu Dec 18 2014 12:00:00 GMT-0800 (PST)"/>
    <n v="2014"/>
    <x v="206"/>
    <x v="2"/>
    <s v="Low"/>
  </r>
  <r>
    <n v="2012"/>
    <x v="3"/>
    <x v="4"/>
    <x v="4"/>
    <x v="1"/>
    <s v="automatic"/>
    <s v="1n4al2ap3cn432632"/>
    <s v="ca"/>
    <n v="2"/>
    <x v="1694"/>
    <s v="white"/>
    <s v="gray"/>
    <s v="nissan-infiniti lt"/>
    <n v="12850"/>
    <x v="49"/>
    <s v="Tue Dec 16 2014 12:30:00 GMT-0800 (PST)"/>
    <n v="2014"/>
    <x v="4"/>
    <x v="0"/>
    <s v="Low"/>
  </r>
  <r>
    <n v="2012"/>
    <x v="3"/>
    <x v="4"/>
    <x v="4"/>
    <x v="1"/>
    <s v="automatic"/>
    <s v="1n4al2ap3cc259271"/>
    <s v="ca"/>
    <n v="23"/>
    <x v="1695"/>
    <s v="silver"/>
    <s v="black"/>
    <s v="remarketing by ge/manheim california"/>
    <n v="11350"/>
    <x v="82"/>
    <s v="Wed Dec 17 2014 12:30:00 GMT-0800 (PST)"/>
    <n v="2014"/>
    <x v="4"/>
    <x v="2"/>
    <s v="Low"/>
  </r>
  <r>
    <n v="2012"/>
    <x v="3"/>
    <x v="31"/>
    <x v="225"/>
    <x v="1"/>
    <m/>
    <s v="3n1cn7ap0cl945298"/>
    <s v="ca"/>
    <n v="43"/>
    <x v="1696"/>
    <s v="gray"/>
    <s v="black"/>
    <s v="wells fargo dealer services"/>
    <n v="9600"/>
    <x v="138"/>
    <s v="Thu Dec 18 2014 12:00:00 GMT-0800 (PST)"/>
    <n v="2014"/>
    <x v="427"/>
    <x v="1"/>
    <s v="Low"/>
  </r>
  <r>
    <n v="2012"/>
    <x v="3"/>
    <x v="104"/>
    <x v="93"/>
    <x v="5"/>
    <s v="automatic"/>
    <s v="jn1az0cp3ct023930"/>
    <s v="ca"/>
    <n v="41"/>
    <x v="1697"/>
    <s v="blue"/>
    <s v="gray"/>
    <s v="nissan-infiniti lt"/>
    <n v="10500"/>
    <x v="49"/>
    <s v="Tue Dec 23 2014 12:30:00 GMT-0800 (PST)"/>
    <n v="2014"/>
    <x v="149"/>
    <x v="1"/>
    <s v="Low"/>
  </r>
  <r>
    <n v="2012"/>
    <x v="3"/>
    <x v="4"/>
    <x v="4"/>
    <x v="1"/>
    <s v="automatic"/>
    <s v="1n4al2ap9cn412028"/>
    <s v="ca"/>
    <n v="26"/>
    <x v="1698"/>
    <s v="white"/>
    <s v="black"/>
    <s v="nissan-infiniti lt"/>
    <n v="12700"/>
    <x v="348"/>
    <s v="Tue Dec 16 2014 12:30:00 GMT-0800 (PST)"/>
    <n v="2014"/>
    <x v="4"/>
    <x v="2"/>
    <s v="Low"/>
  </r>
  <r>
    <n v="2012"/>
    <x v="33"/>
    <x v="220"/>
    <x v="217"/>
    <x v="26"/>
    <s v="automatic"/>
    <s v="1c6rd6gp8cs225557"/>
    <s v="ca"/>
    <n v="45"/>
    <x v="1699"/>
    <s v="silver"/>
    <s v="gray"/>
    <s v="symbolic motor cars"/>
    <n v="14850"/>
    <x v="318"/>
    <s v="Tue Dec 16 2014 12:30:00 GMT-0800 (PST)"/>
    <n v="2014"/>
    <x v="416"/>
    <x v="1"/>
    <s v="Low"/>
  </r>
  <r>
    <n v="2012"/>
    <x v="3"/>
    <x v="4"/>
    <x v="4"/>
    <x v="1"/>
    <s v="automatic"/>
    <s v="1n4al2ap3cn429617"/>
    <s v="ca"/>
    <n v="38"/>
    <x v="1700"/>
    <s v="â€”"/>
    <s v="black"/>
    <s v="nissan-infiniti lt"/>
    <n v="12250"/>
    <x v="162"/>
    <s v="Wed Dec 17 2014 12:30:00 GMT-0800 (PST)"/>
    <n v="2014"/>
    <x v="4"/>
    <x v="2"/>
    <s v="Low"/>
  </r>
  <r>
    <n v="2012"/>
    <x v="3"/>
    <x v="31"/>
    <x v="225"/>
    <x v="1"/>
    <s v="automatic"/>
    <s v="3n1cn7ap7cl866033"/>
    <s v="ca"/>
    <n v="44"/>
    <x v="1701"/>
    <s v="blue"/>
    <s v="black"/>
    <s v="exeter finance corp"/>
    <n v="7925"/>
    <x v="275"/>
    <s v="Thu Dec 18 2014 12:00:00 GMT-0800 (PST)"/>
    <n v="2014"/>
    <x v="427"/>
    <x v="1"/>
    <s v="Low"/>
  </r>
  <r>
    <n v="2012"/>
    <x v="34"/>
    <x v="223"/>
    <x v="226"/>
    <x v="5"/>
    <s v="automatic"/>
    <s v="wmeej3baxck524809"/>
    <s v="ca"/>
    <n v="44"/>
    <x v="1702"/>
    <s v="silver"/>
    <s v="black"/>
    <s v="mercedes-benz financial services"/>
    <n v="5975"/>
    <x v="374"/>
    <s v="Thu Dec 18 2014 12:30:00 GMT-0800 (PST)"/>
    <n v="2014"/>
    <x v="428"/>
    <x v="1"/>
    <s v="Low"/>
  </r>
  <r>
    <n v="2012"/>
    <x v="3"/>
    <x v="4"/>
    <x v="4"/>
    <x v="1"/>
    <s v="automatic"/>
    <s v="1n4al2ap3cn413739"/>
    <s v="ca"/>
    <n v="41"/>
    <x v="1703"/>
    <s v="black"/>
    <s v="gray"/>
    <s v="nissan-infiniti lt"/>
    <n v="14250"/>
    <x v="39"/>
    <s v="Tue Dec 16 2014 12:30:00 GMT-0800 (PST)"/>
    <n v="2014"/>
    <x v="4"/>
    <x v="1"/>
    <s v="Low"/>
  </r>
  <r>
    <n v="2012"/>
    <x v="15"/>
    <x v="219"/>
    <x v="121"/>
    <x v="12"/>
    <s v="automatic"/>
    <s v="4a32b2ff9ce018740"/>
    <s v="ca"/>
    <n v="41"/>
    <x v="1704"/>
    <s v="white"/>
    <s v="gray"/>
    <s v="dtg operations inc"/>
    <n v="7900"/>
    <x v="184"/>
    <s v="Wed Dec 17 2014 12:30:00 GMT-0800 (PST)"/>
    <n v="2014"/>
    <x v="429"/>
    <x v="1"/>
    <s v="Low"/>
  </r>
  <r>
    <n v="2012"/>
    <x v="3"/>
    <x v="4"/>
    <x v="4"/>
    <x v="1"/>
    <s v="automatic"/>
    <s v="1n4al2ap7cn432892"/>
    <s v="ca"/>
    <n v="32"/>
    <x v="1705"/>
    <s v="white"/>
    <s v="black"/>
    <s v="nissan-infiniti lt"/>
    <n v="13150"/>
    <x v="178"/>
    <s v="Tue Dec 16 2014 12:30:00 GMT-0800 (PST)"/>
    <n v="2014"/>
    <x v="4"/>
    <x v="2"/>
    <s v="Low"/>
  </r>
  <r>
    <n v="2011"/>
    <x v="1"/>
    <x v="1"/>
    <x v="126"/>
    <x v="3"/>
    <s v="automatic"/>
    <s v="wbake3c57be768905"/>
    <s v="ca"/>
    <n v="28"/>
    <x v="1706"/>
    <s v="white"/>
    <s v="black"/>
    <s v="financial services remarketing (lease)"/>
    <n v="20700"/>
    <x v="78"/>
    <s v="Thu Dec 18 2014 12:30:00 GMT-0800 (PST)"/>
    <n v="2014"/>
    <x v="223"/>
    <x v="2"/>
    <s v="Medium"/>
  </r>
  <r>
    <n v="2011"/>
    <x v="1"/>
    <x v="1"/>
    <x v="133"/>
    <x v="2"/>
    <s v="automatic"/>
    <s v="wbadx7c58be743926"/>
    <s v="ca"/>
    <n v="39"/>
    <x v="1707"/>
    <s v="black"/>
    <s v="black"/>
    <s v="financial services remarketing (lease)"/>
    <n v="28200"/>
    <x v="90"/>
    <s v="Thu Dec 18 2014 12:30:00 GMT-0800 (PST)"/>
    <n v="2014"/>
    <x v="233"/>
    <x v="2"/>
    <s v="Medium"/>
  </r>
  <r>
    <n v="2011"/>
    <x v="1"/>
    <x v="1"/>
    <x v="126"/>
    <x v="1"/>
    <s v="automatic"/>
    <s v="wbaph5c59bf093304"/>
    <s v="ca"/>
    <n v="4"/>
    <x v="1708"/>
    <s v="black"/>
    <s v="beige"/>
    <s v="financial services remarketing (lease)"/>
    <n v="16950"/>
    <x v="135"/>
    <s v="Thu Dec 18 2014 12:30:00 GMT-0800 (PST)"/>
    <n v="2014"/>
    <x v="223"/>
    <x v="0"/>
    <s v="Low"/>
  </r>
  <r>
    <n v="2011"/>
    <x v="1"/>
    <x v="1"/>
    <x v="126"/>
    <x v="1"/>
    <s v="automatic"/>
    <s v="wbaph5g55bnm79007"/>
    <s v="ca"/>
    <n v="43"/>
    <x v="1709"/>
    <s v="black"/>
    <s v="black"/>
    <s v="financial services remarketing (lease)"/>
    <n v="19850"/>
    <x v="27"/>
    <s v="Thu Dec 18 2014 12:30:00 GMT-0800 (PST)"/>
    <n v="2014"/>
    <x v="223"/>
    <x v="1"/>
    <s v="Medium"/>
  </r>
  <r>
    <n v="2011"/>
    <x v="1"/>
    <x v="1"/>
    <x v="126"/>
    <x v="1"/>
    <s v="automatic"/>
    <s v="wbaph7c53be850277"/>
    <s v="ca"/>
    <n v="46"/>
    <x v="1710"/>
    <s v="gray"/>
    <s v="beige"/>
    <s v="financial services remarketing (lease)"/>
    <n v="22500"/>
    <x v="106"/>
    <s v="Thu Dec 18 2014 12:30:00 GMT-0800 (PST)"/>
    <n v="2014"/>
    <x v="223"/>
    <x v="1"/>
    <s v="Medium"/>
  </r>
  <r>
    <n v="2011"/>
    <x v="1"/>
    <x v="16"/>
    <x v="144"/>
    <x v="1"/>
    <s v="automatic"/>
    <s v="wbafu7c57bdu54138"/>
    <s v="ca"/>
    <n v="43"/>
    <x v="1711"/>
    <s v="black"/>
    <s v="black"/>
    <s v="financial services remarketing (lease)"/>
    <n v="29000"/>
    <x v="375"/>
    <s v="Thu Dec 18 2014 12:30:00 GMT-0800 (PST)"/>
    <n v="2014"/>
    <x v="251"/>
    <x v="1"/>
    <s v="Medium"/>
  </r>
  <r>
    <n v="2011"/>
    <x v="5"/>
    <x v="7"/>
    <x v="227"/>
    <x v="1"/>
    <s v="automatic"/>
    <s v="wauafafl9bn013374"/>
    <s v="ca"/>
    <n v="26"/>
    <x v="1712"/>
    <s v="black"/>
    <s v="black"/>
    <s v="high bid trading co inc"/>
    <n v="17100"/>
    <x v="245"/>
    <s v="Wed Dec 17 2014 12:15:00 GMT-0800 (PST)"/>
    <n v="2014"/>
    <x v="430"/>
    <x v="2"/>
    <s v="Low"/>
  </r>
  <r>
    <n v="2012"/>
    <x v="22"/>
    <x v="95"/>
    <x v="60"/>
    <x v="1"/>
    <s v="automatic"/>
    <s v="5yfbu4ee9cp048910"/>
    <s v="ca"/>
    <n v="21"/>
    <x v="1713"/>
    <s v="white"/>
    <s v="gray"/>
    <s v="the hertz corporation"/>
    <n v="9450"/>
    <x v="317"/>
    <s v="Tue Dec 16 2014 12:30:00 GMT-0800 (PST)"/>
    <n v="2014"/>
    <x v="139"/>
    <x v="2"/>
    <s v="Low"/>
  </r>
  <r>
    <n v="2012"/>
    <x v="21"/>
    <x v="224"/>
    <x v="228"/>
    <x v="1"/>
    <s v="automatic"/>
    <s v="3vw4a7aj0cm016826"/>
    <s v="ca"/>
    <n v="1"/>
    <x v="1714"/>
    <s v="black"/>
    <s v="black"/>
    <s v="vw credit"/>
    <n v="14600"/>
    <x v="25"/>
    <s v="Tue Dec 16 2014 12:00:00 GMT-0800 (PST)"/>
    <n v="2014"/>
    <x v="431"/>
    <x v="0"/>
    <s v="Low"/>
  </r>
  <r>
    <n v="2011"/>
    <x v="1"/>
    <x v="1"/>
    <x v="133"/>
    <x v="1"/>
    <s v="automatic"/>
    <s v="wbapm5c52be578482"/>
    <s v="ca"/>
    <n v="43"/>
    <x v="1715"/>
    <s v="gray"/>
    <s v="black"/>
    <s v="financial services remarketing (lease)"/>
    <n v="23700"/>
    <x v="118"/>
    <s v="Thu Dec 18 2014 12:30:00 GMT-0800 (PST)"/>
    <n v="2014"/>
    <x v="233"/>
    <x v="1"/>
    <s v="Medium"/>
  </r>
  <r>
    <n v="2011"/>
    <x v="1"/>
    <x v="1"/>
    <x v="126"/>
    <x v="1"/>
    <s v="automatic"/>
    <s v="wbaph5g55bnm83168"/>
    <s v="ca"/>
    <n v="42"/>
    <x v="1716"/>
    <s v="blue"/>
    <s v="black"/>
    <s v="financial services remarketing (lease)"/>
    <n v="19600"/>
    <x v="185"/>
    <s v="Thu Dec 18 2014 12:30:00 GMT-0800 (PST)"/>
    <n v="2014"/>
    <x v="223"/>
    <x v="1"/>
    <s v="Medium"/>
  </r>
  <r>
    <n v="2011"/>
    <x v="1"/>
    <x v="1"/>
    <x v="126"/>
    <x v="1"/>
    <s v="automatic"/>
    <s v="wbaph7c51be683532"/>
    <s v="ca"/>
    <n v="43"/>
    <x v="1717"/>
    <s v="green"/>
    <s v="â€”"/>
    <s v="financial services remarketing (lease)"/>
    <n v="22400"/>
    <x v="43"/>
    <s v="Thu Jan 15 2015 04:30:00 GMT-0800 (PST)"/>
    <n v="2015"/>
    <x v="223"/>
    <x v="1"/>
    <s v="Medium"/>
  </r>
  <r>
    <n v="2012"/>
    <x v="22"/>
    <x v="122"/>
    <x v="229"/>
    <x v="5"/>
    <s v="automatic"/>
    <s v="jtdkn3du4c1536019"/>
    <s v="ca"/>
    <n v="4"/>
    <x v="1718"/>
    <s v="turquoise"/>
    <s v="gray"/>
    <s v="toyota financial services"/>
    <n v="15800"/>
    <x v="140"/>
    <s v="Wed Dec 17 2014 12:30:00 GMT-0800 (PST)"/>
    <n v="2014"/>
    <x v="432"/>
    <x v="0"/>
    <s v="Low"/>
  </r>
  <r>
    <n v="2011"/>
    <x v="1"/>
    <x v="1"/>
    <x v="133"/>
    <x v="1"/>
    <s v="automatic"/>
    <s v="wbapm5c59be578799"/>
    <s v="ca"/>
    <n v="44"/>
    <x v="1719"/>
    <s v="white"/>
    <s v="black"/>
    <s v="financial services remarketing (lease)"/>
    <n v="26100"/>
    <x v="296"/>
    <s v="Thu Dec 18 2014 12:30:00 GMT-0800 (PST)"/>
    <n v="2014"/>
    <x v="233"/>
    <x v="1"/>
    <s v="Medium"/>
  </r>
  <r>
    <n v="2012"/>
    <x v="2"/>
    <x v="2"/>
    <x v="2"/>
    <x v="1"/>
    <s v="automatic"/>
    <s v="yv1622fsxc2098367"/>
    <s v="ca"/>
    <n v="29"/>
    <x v="1720"/>
    <s v="gray"/>
    <s v="black"/>
    <s v="fiserv/usb dealer services northstar exchange"/>
    <n v="16250"/>
    <x v="204"/>
    <s v="Thu Dec 18 2014 12:30:00 GMT-0800 (PST)"/>
    <n v="2014"/>
    <x v="2"/>
    <x v="2"/>
    <s v="Low"/>
  </r>
  <r>
    <n v="2011"/>
    <x v="1"/>
    <x v="225"/>
    <x v="144"/>
    <x v="5"/>
    <s v="automatic"/>
    <s v="wbasp2c53bc337588"/>
    <s v="ca"/>
    <n v="39"/>
    <x v="1721"/>
    <s v="gray"/>
    <s v="black"/>
    <s v="financial services remarketing (lease)"/>
    <n v="31300"/>
    <x v="291"/>
    <s v="Thu Dec 18 2014 12:30:00 GMT-0800 (PST)"/>
    <n v="2014"/>
    <x v="433"/>
    <x v="2"/>
    <s v="Medium"/>
  </r>
  <r>
    <n v="2011"/>
    <x v="1"/>
    <x v="1"/>
    <x v="126"/>
    <x v="1"/>
    <s v="automatic"/>
    <s v="wbaph5c5xba447103"/>
    <s v="ca"/>
    <n v="41"/>
    <x v="1722"/>
    <s v="gray"/>
    <s v="black"/>
    <s v="financial services remarketing (lease)"/>
    <n v="20100"/>
    <x v="114"/>
    <s v="Thu Dec 18 2014 12:30:00 GMT-0800 (PST)"/>
    <n v="2014"/>
    <x v="223"/>
    <x v="1"/>
    <s v="Medium"/>
  </r>
  <r>
    <n v="2011"/>
    <x v="1"/>
    <x v="1"/>
    <x v="126"/>
    <x v="1"/>
    <s v="automatic"/>
    <s v="wbaph5c56ba443825"/>
    <s v="ca"/>
    <n v="49"/>
    <x v="1723"/>
    <s v="gray"/>
    <s v="black"/>
    <s v="financial services remarketing (lease)"/>
    <n v="21000"/>
    <x v="43"/>
    <s v="Thu Jan 15 2015 04:30:00 GMT-0800 (PST)"/>
    <n v="2015"/>
    <x v="223"/>
    <x v="1"/>
    <s v="Medium"/>
  </r>
  <r>
    <n v="2011"/>
    <x v="1"/>
    <x v="1"/>
    <x v="126"/>
    <x v="1"/>
    <s v="automatic"/>
    <s v="wbaph5c54bf094053"/>
    <s v="ca"/>
    <n v="35"/>
    <x v="1724"/>
    <s v="black"/>
    <s v="black"/>
    <s v="financial services remarketing (lease)"/>
    <n v="21700"/>
    <x v="62"/>
    <s v="Thu Dec 18 2014 12:30:00 GMT-0800 (PST)"/>
    <n v="2014"/>
    <x v="223"/>
    <x v="2"/>
    <s v="Medium"/>
  </r>
  <r>
    <n v="2012"/>
    <x v="2"/>
    <x v="226"/>
    <x v="87"/>
    <x v="0"/>
    <s v="automatic"/>
    <s v="yv4952cy2c1608846"/>
    <s v="ca"/>
    <n v="34"/>
    <x v="1725"/>
    <s v="black"/>
    <s v="beige"/>
    <s v="fiserv/usb dealer services northstar exchange"/>
    <n v="22800"/>
    <x v="106"/>
    <s v="Thu Dec 18 2014 12:30:00 GMT-0800 (PST)"/>
    <n v="2014"/>
    <x v="434"/>
    <x v="2"/>
    <s v="Medium"/>
  </r>
  <r>
    <n v="2011"/>
    <x v="10"/>
    <x v="150"/>
    <x v="230"/>
    <x v="0"/>
    <s v="automatic"/>
    <s v="5j8tb1h58ba002803"/>
    <s v="ca"/>
    <n v="25"/>
    <x v="1726"/>
    <s v="gray"/>
    <s v="black"/>
    <s v="ahfc/honda lease trust/hvt  inc. eot"/>
    <n v="19250"/>
    <x v="115"/>
    <s v="Thu Dec 18 2014 12:00:00 GMT-0800 (PST)"/>
    <n v="2014"/>
    <x v="435"/>
    <x v="2"/>
    <s v="Low"/>
  </r>
  <r>
    <n v="2011"/>
    <x v="1"/>
    <x v="1"/>
    <x v="126"/>
    <x v="1"/>
    <s v="automatic"/>
    <s v="wbaph5c52ba448620"/>
    <s v="ca"/>
    <n v="39"/>
    <x v="1727"/>
    <s v="blue"/>
    <s v="gray"/>
    <s v="financial services remarketing (lease)"/>
    <n v="18900"/>
    <x v="29"/>
    <s v="Thu Dec 18 2014 12:30:00 GMT-0800 (PST)"/>
    <n v="2014"/>
    <x v="223"/>
    <x v="2"/>
    <s v="Medium"/>
  </r>
  <r>
    <n v="2011"/>
    <x v="1"/>
    <x v="1"/>
    <x v="126"/>
    <x v="1"/>
    <s v="automatic"/>
    <s v="wbaph5g59bnm75557"/>
    <s v="ca"/>
    <n v="48"/>
    <x v="1728"/>
    <s v="white"/>
    <s v="black"/>
    <s v="financial services remarketing (lease)"/>
    <n v="20700"/>
    <x v="62"/>
    <s v="Thu Dec 18 2014 12:30:00 GMT-0800 (PST)"/>
    <n v="2014"/>
    <x v="223"/>
    <x v="1"/>
    <s v="Medium"/>
  </r>
  <r>
    <n v="2011"/>
    <x v="5"/>
    <x v="149"/>
    <x v="134"/>
    <x v="3"/>
    <s v="automatic"/>
    <s v="waulfafr0ba028480"/>
    <s v="ca"/>
    <n v="26"/>
    <x v="1549"/>
    <s v="white"/>
    <s v="black"/>
    <s v="walters auto sales/service inc"/>
    <n v="18400"/>
    <x v="120"/>
    <s v="Tue Dec 16 2014 12:30:00 GMT-0800 (PST)"/>
    <n v="2014"/>
    <x v="234"/>
    <x v="2"/>
    <s v="Medium"/>
  </r>
  <r>
    <n v="2012"/>
    <x v="2"/>
    <x v="2"/>
    <x v="2"/>
    <x v="1"/>
    <s v="automatic"/>
    <s v="yv1622fs5c2098583"/>
    <s v="ca"/>
    <n v="41"/>
    <x v="1729"/>
    <s v="white"/>
    <s v="black"/>
    <s v="us bank"/>
    <n v="13900"/>
    <x v="247"/>
    <s v="Thu Dec 18 2014 12:30:00 GMT-0800 (PST)"/>
    <n v="2014"/>
    <x v="2"/>
    <x v="1"/>
    <s v="Low"/>
  </r>
  <r>
    <n v="2011"/>
    <x v="1"/>
    <x v="1"/>
    <x v="133"/>
    <x v="1"/>
    <s v="automatic"/>
    <s v="wbapm5c59be578379"/>
    <s v="ca"/>
    <n v="45"/>
    <x v="1730"/>
    <s v="white"/>
    <s v="black"/>
    <s v="financial services remarketing (lease)"/>
    <n v="27800"/>
    <x v="1"/>
    <s v="Thu Dec 18 2014 12:30:00 GMT-0800 (PST)"/>
    <n v="2014"/>
    <x v="233"/>
    <x v="1"/>
    <s v="Medium"/>
  </r>
  <r>
    <n v="2011"/>
    <x v="1"/>
    <x v="1"/>
    <x v="126"/>
    <x v="1"/>
    <s v="automatic"/>
    <s v="wbaph5g58bnn59112"/>
    <s v="ca"/>
    <n v="36"/>
    <x v="1731"/>
    <s v="black"/>
    <s v="beige"/>
    <s v="financial services remarketing (lease)"/>
    <n v="18200"/>
    <x v="226"/>
    <s v="Thu Dec 18 2014 12:30:00 GMT-0800 (PST)"/>
    <n v="2014"/>
    <x v="223"/>
    <x v="2"/>
    <s v="Medium"/>
  </r>
  <r>
    <n v="2012"/>
    <x v="22"/>
    <x v="139"/>
    <x v="5"/>
    <x v="0"/>
    <s v="automatic"/>
    <s v="5tdzk3eh4cs059863"/>
    <s v="ca"/>
    <n v="38"/>
    <x v="1732"/>
    <s v="blue"/>
    <s v="beige"/>
    <s v="i auto sales inc"/>
    <n v="22800"/>
    <x v="0"/>
    <s v="Thu Dec 18 2014 12:00:00 GMT-0800 (PST)"/>
    <n v="2014"/>
    <x v="436"/>
    <x v="2"/>
    <s v="Medium"/>
  </r>
  <r>
    <n v="2012"/>
    <x v="21"/>
    <x v="227"/>
    <x v="89"/>
    <x v="0"/>
    <s v="automatic"/>
    <s v="wvgav7ax9cw519295"/>
    <s v="ca"/>
    <n v="1"/>
    <x v="1733"/>
    <s v="white"/>
    <s v="black"/>
    <s v="vw credit"/>
    <n v="14350"/>
    <x v="123"/>
    <s v="Tue Dec 16 2014 12:00:00 GMT-0800 (PST)"/>
    <n v="2014"/>
    <x v="437"/>
    <x v="0"/>
    <s v="Low"/>
  </r>
  <r>
    <n v="2011"/>
    <x v="1"/>
    <x v="1"/>
    <x v="133"/>
    <x v="2"/>
    <s v="automatic"/>
    <s v="wbadx7c58be743036"/>
    <s v="ca"/>
    <n v="45"/>
    <x v="1734"/>
    <s v="black"/>
    <s v="gray"/>
    <s v="financial services remarketing (lease)"/>
    <n v="30600"/>
    <x v="182"/>
    <s v="Thu Dec 18 2014 12:30:00 GMT-0800 (PST)"/>
    <n v="2014"/>
    <x v="233"/>
    <x v="1"/>
    <s v="Medium"/>
  </r>
  <r>
    <n v="2011"/>
    <x v="1"/>
    <x v="1"/>
    <x v="126"/>
    <x v="1"/>
    <s v="automatic"/>
    <s v="wbaph5c56bf093700"/>
    <s v="ca"/>
    <n v="36"/>
    <x v="1735"/>
    <s v="black"/>
    <s v="black"/>
    <s v="financial services remarketing (lease)"/>
    <n v="20200"/>
    <x v="27"/>
    <s v="Thu Dec 18 2014 12:30:00 GMT-0800 (PST)"/>
    <n v="2014"/>
    <x v="223"/>
    <x v="2"/>
    <s v="Medium"/>
  </r>
  <r>
    <n v="2011"/>
    <x v="1"/>
    <x v="1"/>
    <x v="126"/>
    <x v="1"/>
    <s v="automatic"/>
    <s v="wbaph7c52be852392"/>
    <s v="ca"/>
    <n v="44"/>
    <x v="1736"/>
    <s v="black"/>
    <s v="black"/>
    <s v="financial services remarketing (lease)"/>
    <n v="18200"/>
    <x v="323"/>
    <s v="Thu Dec 18 2014 12:30:00 GMT-0800 (PST)"/>
    <n v="2014"/>
    <x v="223"/>
    <x v="1"/>
    <s v="Medium"/>
  </r>
  <r>
    <n v="2011"/>
    <x v="1"/>
    <x v="1"/>
    <x v="126"/>
    <x v="1"/>
    <s v="automatic"/>
    <s v="wbaph5g56bnn58976"/>
    <s v="ca"/>
    <n v="43"/>
    <x v="1737"/>
    <s v="white"/>
    <s v="black"/>
    <s v="financial services remarketing (lease)"/>
    <n v="19150"/>
    <x v="185"/>
    <s v="Thu Dec 18 2014 12:30:00 GMT-0800 (PST)"/>
    <n v="2014"/>
    <x v="223"/>
    <x v="1"/>
    <s v="Medium"/>
  </r>
  <r>
    <n v="2011"/>
    <x v="1"/>
    <x v="16"/>
    <x v="129"/>
    <x v="1"/>
    <s v="automatic"/>
    <s v="wbafr7c52bc807666"/>
    <s v="ca"/>
    <n v="27"/>
    <x v="1738"/>
    <s v="gray"/>
    <s v="â€”"/>
    <s v="financial services remarketing (lease)"/>
    <n v="27600"/>
    <x v="109"/>
    <s v="Tue Jan 06 2015 04:30:00 GMT-0800 (PST)"/>
    <n v="2015"/>
    <x v="227"/>
    <x v="2"/>
    <s v="Medium"/>
  </r>
  <r>
    <n v="2011"/>
    <x v="1"/>
    <x v="1"/>
    <x v="133"/>
    <x v="1"/>
    <s v="automatic"/>
    <s v="wbapm5c57be578428"/>
    <s v="ca"/>
    <n v="44"/>
    <x v="1739"/>
    <s v="white"/>
    <s v="gray"/>
    <s v="financial services remarketing (lease)"/>
    <n v="25000"/>
    <x v="95"/>
    <s v="Thu Dec 18 2014 12:30:00 GMT-0800 (PST)"/>
    <n v="2014"/>
    <x v="233"/>
    <x v="1"/>
    <s v="Medium"/>
  </r>
  <r>
    <n v="2011"/>
    <x v="1"/>
    <x v="1"/>
    <x v="126"/>
    <x v="1"/>
    <s v="automatic"/>
    <s v="wbaph5c51bf094141"/>
    <s v="ca"/>
    <n v="34"/>
    <x v="1740"/>
    <s v="white"/>
    <s v="black"/>
    <s v="financial services remarketing (lease)"/>
    <n v="20500"/>
    <x v="43"/>
    <s v="Thu Dec 18 2014 12:30:00 GMT-0800 (PST)"/>
    <n v="2014"/>
    <x v="223"/>
    <x v="2"/>
    <s v="Medium"/>
  </r>
  <r>
    <n v="2011"/>
    <x v="1"/>
    <x v="16"/>
    <x v="14"/>
    <x v="1"/>
    <s v="automatic"/>
    <s v="wbafr1c56bdv82627"/>
    <s v="ca"/>
    <n v="4"/>
    <x v="1741"/>
    <s v="black"/>
    <s v="black"/>
    <s v="financial services remarketing (lease)"/>
    <n v="26700"/>
    <x v="34"/>
    <s v="Thu Jan 15 2015 04:30:00 GMT-0800 (PST)"/>
    <n v="2015"/>
    <x v="18"/>
    <x v="0"/>
    <s v="Medium"/>
  </r>
  <r>
    <n v="2011"/>
    <x v="1"/>
    <x v="1"/>
    <x v="231"/>
    <x v="1"/>
    <s v="automatic"/>
    <s v="wbapk7c50ba974614"/>
    <s v="ca"/>
    <n v="38"/>
    <x v="1742"/>
    <s v="black"/>
    <s v="gray"/>
    <s v="financial services remarketing (lease)"/>
    <n v="21900"/>
    <x v="62"/>
    <s v="Thu Dec 18 2014 12:30:00 GMT-0800 (PST)"/>
    <n v="2014"/>
    <x v="438"/>
    <x v="2"/>
    <s v="Medium"/>
  </r>
  <r>
    <n v="2011"/>
    <x v="1"/>
    <x v="1"/>
    <x v="231"/>
    <x v="1"/>
    <s v="automatic"/>
    <s v="wbapk5g58bnn31666"/>
    <s v="ca"/>
    <n v="43"/>
    <x v="1743"/>
    <s v="black"/>
    <s v="black"/>
    <s v="financial services remarketing (lease)"/>
    <n v="21100"/>
    <x v="63"/>
    <s v="Thu Dec 18 2014 12:30:00 GMT-0800 (PST)"/>
    <n v="2014"/>
    <x v="438"/>
    <x v="1"/>
    <s v="Medium"/>
  </r>
  <r>
    <n v="2011"/>
    <x v="1"/>
    <x v="16"/>
    <x v="129"/>
    <x v="1"/>
    <s v="automatic"/>
    <s v="wbafr7c51bc602551"/>
    <s v="ca"/>
    <n v="47"/>
    <x v="1744"/>
    <s v="black"/>
    <s v="black"/>
    <s v="meridian remarketing"/>
    <n v="25000"/>
    <x v="376"/>
    <s v="Wed Jan 28 2015 04:30:00 GMT-0800 (PST)"/>
    <n v="2015"/>
    <x v="227"/>
    <x v="1"/>
    <s v="Medium"/>
  </r>
  <r>
    <n v="2011"/>
    <x v="1"/>
    <x v="1"/>
    <x v="126"/>
    <x v="1"/>
    <s v="automatic"/>
    <s v="wbaph5c52bf093726"/>
    <s v="ca"/>
    <n v="34"/>
    <x v="1745"/>
    <s v="gray"/>
    <s v="black"/>
    <s v="financial services remarketing (lease)"/>
    <n v="16250"/>
    <x v="16"/>
    <s v="Tue Jan 06 2015 04:30:00 GMT-0800 (PST)"/>
    <n v="2015"/>
    <x v="223"/>
    <x v="2"/>
    <s v="Low"/>
  </r>
  <r>
    <n v="2011"/>
    <x v="1"/>
    <x v="1"/>
    <x v="126"/>
    <x v="1"/>
    <s v="automatic"/>
    <s v="wbaph5g52bnm77179"/>
    <s v="ca"/>
    <n v="36"/>
    <x v="1746"/>
    <s v="gray"/>
    <s v="black"/>
    <s v="financial services remarketing (lease)"/>
    <n v="16400"/>
    <x v="16"/>
    <s v="Thu Dec 18 2014 12:30:00 GMT-0800 (PST)"/>
    <n v="2014"/>
    <x v="223"/>
    <x v="2"/>
    <s v="Low"/>
  </r>
  <r>
    <n v="2011"/>
    <x v="1"/>
    <x v="1"/>
    <x v="126"/>
    <x v="1"/>
    <s v="automatic"/>
    <s v="wbaph5g55bnm83672"/>
    <s v="ca"/>
    <n v="43"/>
    <x v="1747"/>
    <s v="black"/>
    <s v="black"/>
    <s v="financial services remarketing (lease)"/>
    <n v="19950"/>
    <x v="29"/>
    <s v="Thu Dec 18 2014 12:30:00 GMT-0800 (PST)"/>
    <n v="2014"/>
    <x v="223"/>
    <x v="1"/>
    <s v="Medium"/>
  </r>
  <r>
    <n v="2011"/>
    <x v="1"/>
    <x v="1"/>
    <x v="126"/>
    <x v="1"/>
    <s v="automatic"/>
    <s v="wbaph5c54ba442608"/>
    <s v="ca"/>
    <n v="4"/>
    <x v="1748"/>
    <s v="white"/>
    <s v="black"/>
    <s v="aaero sweet company"/>
    <n v="16550"/>
    <x v="225"/>
    <s v="Wed Dec 17 2014 12:15:00 GMT-0800 (PST)"/>
    <n v="2014"/>
    <x v="223"/>
    <x v="0"/>
    <s v="Low"/>
  </r>
  <r>
    <n v="2011"/>
    <x v="1"/>
    <x v="1"/>
    <x v="126"/>
    <x v="1"/>
    <s v="automatic"/>
    <s v="wbaph5g57bnm76447"/>
    <s v="ca"/>
    <n v="31"/>
    <x v="1749"/>
    <s v="white"/>
    <s v="black"/>
    <s v="financial services remarketing (lease)"/>
    <n v="20700"/>
    <x v="173"/>
    <s v="Tue Jan 06 2015 04:30:00 GMT-0800 (PST)"/>
    <n v="2015"/>
    <x v="223"/>
    <x v="2"/>
    <s v="Low"/>
  </r>
  <r>
    <n v="2012"/>
    <x v="22"/>
    <x v="95"/>
    <x v="60"/>
    <x v="1"/>
    <s v="automatic"/>
    <s v="jtdbu4ee7c9174690"/>
    <s v="ca"/>
    <n v="34"/>
    <x v="1750"/>
    <s v="white"/>
    <s v="gray"/>
    <s v="toyota financial services"/>
    <n v="9200"/>
    <x v="163"/>
    <s v="Tue Dec 23 2014 00:00:00 GMT-0800 (PST)"/>
    <n v="2014"/>
    <x v="139"/>
    <x v="2"/>
    <s v="Low"/>
  </r>
  <r>
    <n v="2011"/>
    <x v="1"/>
    <x v="1"/>
    <x v="231"/>
    <x v="1"/>
    <s v="automatic"/>
    <s v="wbapk7g51bnn78470"/>
    <s v="ca"/>
    <n v="35"/>
    <x v="1751"/>
    <s v="gray"/>
    <s v="black"/>
    <s v="financial services remarketing (lease)"/>
    <n v="20800"/>
    <x v="0"/>
    <s v="Thu Dec 18 2014 12:30:00 GMT-0800 (PST)"/>
    <n v="2014"/>
    <x v="438"/>
    <x v="2"/>
    <s v="Medium"/>
  </r>
  <r>
    <n v="2011"/>
    <x v="5"/>
    <x v="13"/>
    <x v="142"/>
    <x v="0"/>
    <s v="automatic"/>
    <s v="wa1dkafp2ba050167"/>
    <s v="ca"/>
    <n v="36"/>
    <x v="1752"/>
    <s v="gray"/>
    <s v="gray"/>
    <s v="high bid trading co inc"/>
    <n v="24000"/>
    <x v="85"/>
    <s v="Thu Dec 18 2014 12:00:00 GMT-0800 (PST)"/>
    <n v="2014"/>
    <x v="249"/>
    <x v="2"/>
    <s v="Medium"/>
  </r>
  <r>
    <n v="2012"/>
    <x v="2"/>
    <x v="96"/>
    <x v="87"/>
    <x v="0"/>
    <s v="automatic"/>
    <s v="yv4940dl4c2246720"/>
    <s v="ca"/>
    <n v="44"/>
    <x v="1753"/>
    <s v="black"/>
    <s v="black"/>
    <s v="volvo na lemon law/world omni"/>
    <n v="17650"/>
    <x v="188"/>
    <s v="Tue Jan 20 2015 04:30:00 GMT-0800 (PST)"/>
    <n v="2015"/>
    <x v="140"/>
    <x v="1"/>
    <s v="Low"/>
  </r>
  <r>
    <n v="2011"/>
    <x v="1"/>
    <x v="1"/>
    <x v="126"/>
    <x v="1"/>
    <s v="automatic"/>
    <s v="wbaph7c52be850559"/>
    <s v="ca"/>
    <n v="38"/>
    <x v="1754"/>
    <s v="black"/>
    <s v="black"/>
    <s v="financial services remarketing (lease)"/>
    <n v="21700"/>
    <x v="63"/>
    <s v="Thu Dec 18 2014 12:30:00 GMT-0800 (PST)"/>
    <n v="2014"/>
    <x v="223"/>
    <x v="2"/>
    <s v="Medium"/>
  </r>
  <r>
    <n v="2012"/>
    <x v="22"/>
    <x v="139"/>
    <x v="38"/>
    <x v="0"/>
    <s v="automatic"/>
    <s v="5tdyk3eh5cs059446"/>
    <s v="ca"/>
    <n v="28"/>
    <x v="1755"/>
    <s v="silver"/>
    <s v="silver"/>
    <s v="toyota santa monica"/>
    <n v="26700"/>
    <x v="146"/>
    <s v="Wed Dec 17 2014 12:30:00 GMT-0800 (PST)"/>
    <n v="2014"/>
    <x v="200"/>
    <x v="2"/>
    <s v="Medium"/>
  </r>
  <r>
    <n v="2012"/>
    <x v="21"/>
    <x v="228"/>
    <x v="232"/>
    <x v="5"/>
    <s v="automatic"/>
    <s v="wvwhd7aj2cw322549"/>
    <s v="ca"/>
    <n v="1"/>
    <x v="1756"/>
    <s v="red"/>
    <s v="black"/>
    <s v="vw credit"/>
    <n v="15350"/>
    <x v="137"/>
    <s v="Tue Dec 16 2014 12:00:00 GMT-0800 (PST)"/>
    <n v="2014"/>
    <x v="439"/>
    <x v="0"/>
    <s v="Low"/>
  </r>
  <r>
    <n v="2011"/>
    <x v="1"/>
    <x v="1"/>
    <x v="126"/>
    <x v="1"/>
    <s v="automatic"/>
    <s v="wbaph5g53bnm74002"/>
    <s v="ca"/>
    <n v="45"/>
    <x v="1757"/>
    <s v="black"/>
    <s v="black"/>
    <s v="financial services remarketing (lease)"/>
    <n v="20400"/>
    <x v="85"/>
    <s v="Thu Dec 18 2014 12:30:00 GMT-0800 (PST)"/>
    <n v="2014"/>
    <x v="223"/>
    <x v="1"/>
    <s v="Medium"/>
  </r>
  <r>
    <n v="2011"/>
    <x v="1"/>
    <x v="1"/>
    <x v="126"/>
    <x v="1"/>
    <s v="automatic"/>
    <s v="wbaph5c5xba448462"/>
    <s v="ca"/>
    <n v="37"/>
    <x v="1758"/>
    <s v="black"/>
    <s v="beige"/>
    <s v="mckenna audi/mckenna bmw"/>
    <n v="19050"/>
    <x v="216"/>
    <s v="Wed Dec 17 2014 12:30:00 GMT-0800 (PST)"/>
    <n v="2014"/>
    <x v="223"/>
    <x v="2"/>
    <s v="Low"/>
  </r>
  <r>
    <n v="2011"/>
    <x v="1"/>
    <x v="1"/>
    <x v="126"/>
    <x v="1"/>
    <s v="automatic"/>
    <s v="wbaph5g55bnm80836"/>
    <s v="ca"/>
    <n v="42"/>
    <x v="1759"/>
    <s v="white"/>
    <s v="black"/>
    <s v="financial services remarketing (lease)"/>
    <n v="19050"/>
    <x v="122"/>
    <s v="Thu Jan 15 2015 04:30:00 GMT-0800 (PST)"/>
    <n v="2015"/>
    <x v="223"/>
    <x v="1"/>
    <s v="Medium"/>
  </r>
  <r>
    <n v="2012"/>
    <x v="2"/>
    <x v="2"/>
    <x v="16"/>
    <x v="1"/>
    <s v="automatic"/>
    <s v="yv1902fh2c2057979"/>
    <s v="ca"/>
    <n v="41"/>
    <x v="1760"/>
    <s v="silver"/>
    <s v="beige"/>
    <s v="fiserv/usb dealer services northstar exchange"/>
    <n v="23300"/>
    <x v="226"/>
    <s v="Thu Dec 18 2014 12:30:00 GMT-0800 (PST)"/>
    <n v="2014"/>
    <x v="440"/>
    <x v="1"/>
    <s v="Medium"/>
  </r>
  <r>
    <n v="2011"/>
    <x v="1"/>
    <x v="1"/>
    <x v="126"/>
    <x v="1"/>
    <s v="automatic"/>
    <s v="wbaph5g59bnm80337"/>
    <s v="ca"/>
    <n v="43"/>
    <x v="1761"/>
    <s v="gray"/>
    <s v="black"/>
    <s v="financial services remarketing (lease)"/>
    <n v="16700"/>
    <x v="8"/>
    <s v="Thu Dec 18 2014 12:30:00 GMT-0800 (PST)"/>
    <n v="2014"/>
    <x v="223"/>
    <x v="1"/>
    <s v="Low"/>
  </r>
  <r>
    <n v="2012"/>
    <x v="21"/>
    <x v="94"/>
    <x v="86"/>
    <x v="1"/>
    <s v="automatic"/>
    <s v="1vwbp7a30cc065176"/>
    <s v="ca"/>
    <n v="26"/>
    <x v="1762"/>
    <s v="black"/>
    <s v="black"/>
    <s v="the hertz corporation"/>
    <n v="11350"/>
    <x v="51"/>
    <s v="Thu Dec 18 2014 11:30:00 GMT-0800 (PST)"/>
    <n v="2014"/>
    <x v="138"/>
    <x v="2"/>
    <s v="Low"/>
  </r>
  <r>
    <n v="2011"/>
    <x v="1"/>
    <x v="1"/>
    <x v="126"/>
    <x v="1"/>
    <s v="automatic"/>
    <s v="wbaph5g52bnm83919"/>
    <s v="ca"/>
    <n v="49"/>
    <x v="1763"/>
    <s v="gray"/>
    <s v="gray"/>
    <s v="financial services remarketing (lease)"/>
    <n v="20700"/>
    <x v="0"/>
    <s v="Thu Dec 18 2014 12:30:00 GMT-0800 (PST)"/>
    <n v="2014"/>
    <x v="223"/>
    <x v="1"/>
    <s v="Medium"/>
  </r>
  <r>
    <n v="2011"/>
    <x v="5"/>
    <x v="147"/>
    <x v="19"/>
    <x v="1"/>
    <s v="automatic"/>
    <s v="waubgafl8ba127617"/>
    <s v="ca"/>
    <n v="39"/>
    <x v="1764"/>
    <s v="gray"/>
    <s v="black"/>
    <s v="walters auto sales/service inc"/>
    <n v="26100"/>
    <x v="282"/>
    <s v="Tue Dec 23 2014 12:30:00 GMT-0800 (PST)"/>
    <n v="2014"/>
    <x v="231"/>
    <x v="2"/>
    <s v="Medium"/>
  </r>
  <r>
    <n v="2011"/>
    <x v="1"/>
    <x v="151"/>
    <x v="5"/>
    <x v="1"/>
    <s v="automatic"/>
    <s v="wbspm9c54be698772"/>
    <s v="ca"/>
    <n v="29"/>
    <x v="1765"/>
    <s v="black"/>
    <s v="black"/>
    <s v="financial services remarketing (lease)"/>
    <n v="42800"/>
    <x v="35"/>
    <s v="Tue Dec 16 2014 12:30:00 GMT-0800 (PST)"/>
    <n v="2014"/>
    <x v="239"/>
    <x v="2"/>
    <s v="Medium"/>
  </r>
  <r>
    <n v="2011"/>
    <x v="1"/>
    <x v="1"/>
    <x v="126"/>
    <x v="1"/>
    <s v="automatic"/>
    <s v="wbaph5c52bf093306"/>
    <s v="ca"/>
    <n v="47"/>
    <x v="1766"/>
    <s v="white"/>
    <s v="beige"/>
    <s v="financial services remarketing (lease)"/>
    <n v="20400"/>
    <x v="24"/>
    <s v="Thu Jan 15 2015 04:30:00 GMT-0800 (PST)"/>
    <n v="2015"/>
    <x v="223"/>
    <x v="1"/>
    <s v="Medium"/>
  </r>
  <r>
    <n v="2011"/>
    <x v="1"/>
    <x v="1"/>
    <x v="126"/>
    <x v="1"/>
    <s v="automatic"/>
    <s v="wbaph5c59ba447318"/>
    <s v="ca"/>
    <n v="37"/>
    <x v="1767"/>
    <s v="white"/>
    <s v="gray"/>
    <s v="financial services remarketing (lease)"/>
    <n v="19850"/>
    <x v="43"/>
    <s v="Thu Dec 18 2014 12:30:00 GMT-0800 (PST)"/>
    <n v="2014"/>
    <x v="223"/>
    <x v="2"/>
    <s v="Medium"/>
  </r>
  <r>
    <n v="2011"/>
    <x v="1"/>
    <x v="1"/>
    <x v="126"/>
    <x v="1"/>
    <s v="automatic"/>
    <s v="wbaph7c59be852549"/>
    <s v="ca"/>
    <n v="37"/>
    <x v="1768"/>
    <s v="white"/>
    <s v="tan"/>
    <s v="financial services remarketing (lease)"/>
    <n v="18750"/>
    <x v="78"/>
    <s v="Thu Dec 18 2014 12:30:00 GMT-0800 (PST)"/>
    <n v="2014"/>
    <x v="223"/>
    <x v="2"/>
    <s v="Medium"/>
  </r>
  <r>
    <n v="2011"/>
    <x v="1"/>
    <x v="1"/>
    <x v="133"/>
    <x v="2"/>
    <s v="automatic"/>
    <s v="wbadx7c56be580421"/>
    <s v="ca"/>
    <n v="29"/>
    <x v="1769"/>
    <s v="white"/>
    <s v="black"/>
    <s v="financial services remarketing (lease)"/>
    <n v="28700"/>
    <x v="59"/>
    <s v="Thu Dec 18 2014 12:30:00 GMT-0800 (PST)"/>
    <n v="2014"/>
    <x v="233"/>
    <x v="2"/>
    <s v="Medium"/>
  </r>
  <r>
    <n v="2011"/>
    <x v="1"/>
    <x v="1"/>
    <x v="133"/>
    <x v="1"/>
    <s v="automatic"/>
    <s v="wbapm5c50be575760"/>
    <s v="ca"/>
    <n v="44"/>
    <x v="1770"/>
    <s v="black"/>
    <s v="black"/>
    <s v="lease remarketing services inc"/>
    <n v="18950"/>
    <x v="377"/>
    <s v="Wed Dec 17 2014 12:30:00 GMT-0800 (PST)"/>
    <n v="2014"/>
    <x v="233"/>
    <x v="1"/>
    <s v="Medium"/>
  </r>
  <r>
    <n v="2011"/>
    <x v="1"/>
    <x v="1"/>
    <x v="126"/>
    <x v="3"/>
    <s v="automatic"/>
    <s v="wbake5c57be755504"/>
    <s v="ca"/>
    <n v="38"/>
    <x v="1771"/>
    <s v="white"/>
    <s v="gray"/>
    <s v="financial services remarketing (lease)"/>
    <n v="21600"/>
    <x v="62"/>
    <s v="Thu Dec 18 2014 12:30:00 GMT-0800 (PST)"/>
    <n v="2014"/>
    <x v="223"/>
    <x v="2"/>
    <s v="Medium"/>
  </r>
  <r>
    <n v="2011"/>
    <x v="1"/>
    <x v="1"/>
    <x v="133"/>
    <x v="2"/>
    <m/>
    <s v="wbadx7c59be742543"/>
    <s v="ca"/>
    <n v="37"/>
    <x v="1772"/>
    <s v="gray"/>
    <s v="â€”"/>
    <s v="financial services remarketing (lease)"/>
    <n v="28100"/>
    <x v="109"/>
    <s v="Thu Jan 15 2015 04:30:00 GMT-0800 (PST)"/>
    <n v="2015"/>
    <x v="233"/>
    <x v="2"/>
    <s v="Medium"/>
  </r>
  <r>
    <n v="2011"/>
    <x v="1"/>
    <x v="1"/>
    <x v="126"/>
    <x v="2"/>
    <s v="automatic"/>
    <s v="wbadw7c51be728154"/>
    <s v="ca"/>
    <n v="34"/>
    <x v="1773"/>
    <s v="black"/>
    <s v="black"/>
    <s v="financial services remarketing (lease)"/>
    <n v="26200"/>
    <x v="85"/>
    <s v="Thu Dec 18 2014 12:30:00 GMT-0800 (PST)"/>
    <n v="2014"/>
    <x v="223"/>
    <x v="2"/>
    <s v="Medium"/>
  </r>
  <r>
    <n v="2011"/>
    <x v="1"/>
    <x v="143"/>
    <x v="124"/>
    <x v="1"/>
    <s v="automatic"/>
    <s v="wbaka4c59bc612751"/>
    <s v="ca"/>
    <n v="42"/>
    <x v="1774"/>
    <s v="black"/>
    <s v="black"/>
    <s v="audi of downtown l a"/>
    <n v="28800"/>
    <x v="2"/>
    <s v="Wed Dec 17 2014 12:15:00 GMT-0800 (PST)"/>
    <n v="2014"/>
    <x v="221"/>
    <x v="1"/>
    <s v="Medium"/>
  </r>
  <r>
    <n v="2011"/>
    <x v="1"/>
    <x v="151"/>
    <x v="5"/>
    <x v="2"/>
    <s v="automatic"/>
    <s v="wbsdx9c59be585281"/>
    <s v="ca"/>
    <n v="39"/>
    <x v="1775"/>
    <s v="â€”"/>
    <s v="black"/>
    <s v="financial services remarketing (lease)"/>
    <n v="38700"/>
    <x v="378"/>
    <s v="Thu Jan 15 2015 04:30:00 GMT-0800 (PST)"/>
    <n v="2015"/>
    <x v="239"/>
    <x v="2"/>
    <s v="Medium"/>
  </r>
  <r>
    <n v="2012"/>
    <x v="2"/>
    <x v="2"/>
    <x v="2"/>
    <x v="1"/>
    <s v="automatic"/>
    <s v="yv1622fs7c2093546"/>
    <s v="ca"/>
    <n v="35"/>
    <x v="1776"/>
    <s v="red"/>
    <s v="tan"/>
    <s v="fiserv/usb dealer services northstar exchange"/>
    <n v="16500"/>
    <x v="357"/>
    <s v="Thu Dec 18 2014 12:30:00 GMT-0800 (PST)"/>
    <n v="2014"/>
    <x v="2"/>
    <x v="2"/>
    <s v="Low"/>
  </r>
  <r>
    <n v="2011"/>
    <x v="1"/>
    <x v="1"/>
    <x v="126"/>
    <x v="1"/>
    <s v="automatic"/>
    <s v="wbaph7c50be852309"/>
    <s v="ca"/>
    <n v="4"/>
    <x v="1777"/>
    <s v="white"/>
    <s v="black"/>
    <s v="financial services remarketing (lease)"/>
    <n v="19900"/>
    <x v="78"/>
    <s v="Thu Dec 18 2014 12:30:00 GMT-0800 (PST)"/>
    <n v="2014"/>
    <x v="223"/>
    <x v="0"/>
    <s v="Medium"/>
  </r>
  <r>
    <n v="2011"/>
    <x v="1"/>
    <x v="1"/>
    <x v="126"/>
    <x v="1"/>
    <s v="automatic"/>
    <s v="wbaph5g52bnm83161"/>
    <s v="ca"/>
    <n v="45"/>
    <x v="1778"/>
    <s v="black"/>
    <s v="black"/>
    <s v="financial services remarketing (lease)"/>
    <n v="22100"/>
    <x v="106"/>
    <s v="Thu Dec 18 2014 12:30:00 GMT-0800 (PST)"/>
    <n v="2014"/>
    <x v="223"/>
    <x v="1"/>
    <s v="Medium"/>
  </r>
  <r>
    <n v="2011"/>
    <x v="1"/>
    <x v="1"/>
    <x v="133"/>
    <x v="1"/>
    <s v="automatic"/>
    <s v="wbapm5g50bnn01152"/>
    <s v="ca"/>
    <n v="38"/>
    <x v="1779"/>
    <s v="white"/>
    <s v="black"/>
    <s v="financial services remarketing (lease)"/>
    <n v="23200"/>
    <x v="53"/>
    <s v="Thu Dec 18 2014 12:30:00 GMT-0800 (PST)"/>
    <n v="2014"/>
    <x v="233"/>
    <x v="2"/>
    <s v="Medium"/>
  </r>
  <r>
    <n v="2011"/>
    <x v="1"/>
    <x v="1"/>
    <x v="133"/>
    <x v="1"/>
    <s v="automatic"/>
    <s v="wbapm5g59bnn00937"/>
    <s v="ca"/>
    <n v="46"/>
    <x v="1780"/>
    <s v="gray"/>
    <s v="black"/>
    <s v="financial services remarketing (lease)"/>
    <n v="24200"/>
    <x v="146"/>
    <s v="Thu Jan 15 2015 04:30:00 GMT-0800 (PST)"/>
    <n v="2015"/>
    <x v="233"/>
    <x v="1"/>
    <s v="Medium"/>
  </r>
  <r>
    <n v="2011"/>
    <x v="1"/>
    <x v="225"/>
    <x v="144"/>
    <x v="5"/>
    <s v="automatic"/>
    <s v="wbasp2c52bc337744"/>
    <s v="ca"/>
    <m/>
    <x v="1781"/>
    <s v="black"/>
    <s v="â€”"/>
    <s v="apexcars net"/>
    <n v="25700"/>
    <x v="146"/>
    <s v="Wed Dec 17 2014 12:30:00 GMT-0800 (PST)"/>
    <n v="2014"/>
    <x v="433"/>
    <x v="0"/>
    <s v="Medium"/>
  </r>
  <r>
    <n v="2012"/>
    <x v="22"/>
    <x v="116"/>
    <x v="101"/>
    <x v="15"/>
    <s v="automatic"/>
    <s v="5tfdy5f13cx228089"/>
    <s v="ca"/>
    <n v="29"/>
    <x v="1782"/>
    <s v="black"/>
    <s v="black"/>
    <s v="south coast toyota"/>
    <n v="23400"/>
    <x v="379"/>
    <s v="Tue Dec 30 2014 12:30:00 GMT-0800 (PST)"/>
    <n v="2014"/>
    <x v="166"/>
    <x v="2"/>
    <s v="Medium"/>
  </r>
  <r>
    <n v="2011"/>
    <x v="1"/>
    <x v="1"/>
    <x v="126"/>
    <x v="1"/>
    <s v="automatic"/>
    <s v="wbaph5c58ba443471"/>
    <s v="ca"/>
    <n v="39"/>
    <x v="1783"/>
    <s v="black"/>
    <s v="gray"/>
    <s v="financial services remarketing (lease)"/>
    <n v="18100"/>
    <x v="24"/>
    <s v="Thu Dec 18 2014 12:30:00 GMT-0800 (PST)"/>
    <n v="2014"/>
    <x v="223"/>
    <x v="2"/>
    <s v="Medium"/>
  </r>
  <r>
    <n v="2011"/>
    <x v="1"/>
    <x v="1"/>
    <x v="126"/>
    <x v="1"/>
    <s v="automatic"/>
    <s v="wbaph7c57be682112"/>
    <s v="ca"/>
    <n v="49"/>
    <x v="1784"/>
    <s v="black"/>
    <s v="black"/>
    <s v="financial services remarketing (lease)"/>
    <n v="22600"/>
    <x v="97"/>
    <s v="Thu Dec 18 2014 12:30:00 GMT-0800 (PST)"/>
    <n v="2014"/>
    <x v="223"/>
    <x v="1"/>
    <s v="Medium"/>
  </r>
  <r>
    <n v="2011"/>
    <x v="1"/>
    <x v="1"/>
    <x v="126"/>
    <x v="1"/>
    <s v="automatic"/>
    <s v="wbaph5c54bf093274"/>
    <s v="ca"/>
    <n v="43"/>
    <x v="1785"/>
    <s v="white"/>
    <s v="black"/>
    <s v="financial services remarketing (lease)"/>
    <n v="19950"/>
    <x v="105"/>
    <s v="Thu Dec 18 2014 12:30:00 GMT-0800 (PST)"/>
    <n v="2014"/>
    <x v="223"/>
    <x v="1"/>
    <s v="Medium"/>
  </r>
  <r>
    <n v="2011"/>
    <x v="1"/>
    <x v="1"/>
    <x v="133"/>
    <x v="1"/>
    <s v="automatic"/>
    <s v="wbapm5c54be577799"/>
    <s v="ca"/>
    <n v="27"/>
    <x v="1786"/>
    <s v="black"/>
    <s v="tan"/>
    <s v="a and a auto mart inc"/>
    <n v="25100"/>
    <x v="380"/>
    <s v="Tue Dec 23 2014 12:00:00 GMT-0800 (PST)"/>
    <n v="2014"/>
    <x v="233"/>
    <x v="2"/>
    <s v="Medium"/>
  </r>
  <r>
    <n v="2012"/>
    <x v="22"/>
    <x v="122"/>
    <x v="229"/>
    <x v="5"/>
    <s v="automatic"/>
    <s v="jtdkn3du8c1533737"/>
    <s v="ca"/>
    <n v="28"/>
    <x v="1787"/>
    <s v="gray"/>
    <s v="gray"/>
    <s v="toyota financial services"/>
    <n v="14800"/>
    <x v="19"/>
    <s v="Tue Dec 23 2014 00:00:00 GMT-0800 (PST)"/>
    <n v="2014"/>
    <x v="432"/>
    <x v="2"/>
    <s v="Low"/>
  </r>
  <r>
    <n v="2012"/>
    <x v="21"/>
    <x v="103"/>
    <x v="233"/>
    <x v="1"/>
    <s v="automatic"/>
    <s v="wvwmp7an7ce513608"/>
    <s v="ca"/>
    <n v="37"/>
    <x v="1788"/>
    <s v="white"/>
    <s v="beige"/>
    <s v="onemain rem/european motors group"/>
    <n v="13650"/>
    <x v="241"/>
    <s v="Wed Dec 17 2014 12:30:00 GMT-0800 (PST)"/>
    <n v="2014"/>
    <x v="441"/>
    <x v="2"/>
    <s v="Low"/>
  </r>
  <r>
    <n v="2011"/>
    <x v="1"/>
    <x v="16"/>
    <x v="144"/>
    <x v="1"/>
    <s v="automatic"/>
    <s v="wbafu7c55bdu54705"/>
    <s v="ca"/>
    <n v="31"/>
    <x v="1789"/>
    <s v="gray"/>
    <s v="black"/>
    <s v="financial services remarketing (lease)"/>
    <n v="29700"/>
    <x v="360"/>
    <s v="Thu Jan 15 2015 04:30:00 GMT-0800 (PST)"/>
    <n v="2015"/>
    <x v="251"/>
    <x v="2"/>
    <s v="Medium"/>
  </r>
  <r>
    <n v="2011"/>
    <x v="1"/>
    <x v="1"/>
    <x v="231"/>
    <x v="1"/>
    <s v="automatic"/>
    <s v="wbapk5c55ba993843"/>
    <s v="ca"/>
    <n v="34"/>
    <x v="1790"/>
    <s v="gray"/>
    <s v="black"/>
    <s v="financial services remarketing (lease)"/>
    <n v="21700"/>
    <x v="126"/>
    <s v="Thu Dec 18 2014 12:30:00 GMT-0800 (PST)"/>
    <n v="2014"/>
    <x v="438"/>
    <x v="2"/>
    <s v="Medium"/>
  </r>
  <r>
    <n v="2011"/>
    <x v="1"/>
    <x v="151"/>
    <x v="5"/>
    <x v="1"/>
    <s v="automatic"/>
    <s v="wbspm9c59be699111"/>
    <s v="ca"/>
    <n v="4"/>
    <x v="1791"/>
    <m/>
    <m/>
    <s v="financial services remarketing (lease)"/>
    <n v="41100"/>
    <x v="280"/>
    <s v="Thu Dec 18 2014 12:30:00 GMT-0800 (PST)"/>
    <n v="2014"/>
    <x v="239"/>
    <x v="0"/>
    <s v="Medium"/>
  </r>
  <r>
    <n v="2011"/>
    <x v="1"/>
    <x v="1"/>
    <x v="126"/>
    <x v="1"/>
    <s v="automatic"/>
    <s v="wbaph5g58bnm83813"/>
    <s v="ca"/>
    <n v="45"/>
    <x v="1792"/>
    <s v="white"/>
    <s v="black"/>
    <s v="financial services remarketing (lease)"/>
    <n v="19850"/>
    <x v="43"/>
    <s v="Thu Dec 18 2014 12:30:00 GMT-0800 (PST)"/>
    <n v="2014"/>
    <x v="223"/>
    <x v="1"/>
    <s v="Medium"/>
  </r>
  <r>
    <n v="2012"/>
    <x v="2"/>
    <x v="2"/>
    <x v="16"/>
    <x v="1"/>
    <s v="automatic"/>
    <s v="yv1902fhxc2053310"/>
    <s v="ca"/>
    <n v="44"/>
    <x v="1793"/>
    <s v="silver"/>
    <s v="brown"/>
    <s v="fiserv/usb dealer services northstar exchange"/>
    <n v="22200"/>
    <x v="114"/>
    <s v="Thu Dec 18 2014 12:30:00 GMT-0800 (PST)"/>
    <n v="2014"/>
    <x v="440"/>
    <x v="1"/>
    <s v="Medium"/>
  </r>
  <r>
    <n v="2012"/>
    <x v="22"/>
    <x v="95"/>
    <x v="72"/>
    <x v="1"/>
    <s v="automatic"/>
    <s v="2t1bu4ee7cc756752"/>
    <s v="ca"/>
    <n v="19"/>
    <x v="1794"/>
    <s v="silver"/>
    <s v="gray"/>
    <s v="the hertz corporation"/>
    <n v="9400"/>
    <x v="344"/>
    <s v="Thu Dec 18 2014 11:30:00 GMT-0800 (PST)"/>
    <n v="2014"/>
    <x v="212"/>
    <x v="0"/>
    <s v="Low"/>
  </r>
  <r>
    <n v="2011"/>
    <x v="1"/>
    <x v="1"/>
    <x v="126"/>
    <x v="1"/>
    <s v="automatic"/>
    <s v="wbaph7c5xba802007"/>
    <s v="ca"/>
    <n v="34"/>
    <x v="1795"/>
    <s v="white"/>
    <s v="gray"/>
    <s v="financial services remarketing (lease)"/>
    <n v="17450"/>
    <x v="73"/>
    <s v="Thu Dec 18 2014 12:30:00 GMT-0800 (PST)"/>
    <n v="2014"/>
    <x v="223"/>
    <x v="2"/>
    <s v="Medium"/>
  </r>
  <r>
    <n v="2011"/>
    <x v="1"/>
    <x v="16"/>
    <x v="14"/>
    <x v="1"/>
    <s v="automatic"/>
    <s v="wbafr1c55bc260843"/>
    <s v="ca"/>
    <n v="2"/>
    <x v="1796"/>
    <s v="blue"/>
    <s v="â€”"/>
    <s v="financial services remarketing (lease)"/>
    <n v="21700"/>
    <x v="111"/>
    <s v="Tue Dec 16 2014 12:30:00 GMT-0800 (PST)"/>
    <n v="2014"/>
    <x v="18"/>
    <x v="0"/>
    <s v="Low"/>
  </r>
  <r>
    <n v="2011"/>
    <x v="5"/>
    <x v="229"/>
    <x v="234"/>
    <x v="0"/>
    <m/>
    <s v="wa1dgafe4bd002359"/>
    <s v="ca"/>
    <m/>
    <x v="1797"/>
    <s v="gray"/>
    <s v="â€”"/>
    <s v="carfinders inc"/>
    <n v="25500"/>
    <x v="381"/>
    <s v="Tue Dec 16 2014 12:00:00 GMT-0800 (PST)"/>
    <n v="2014"/>
    <x v="442"/>
    <x v="0"/>
    <s v="Medium"/>
  </r>
  <r>
    <n v="2011"/>
    <x v="1"/>
    <x v="1"/>
    <x v="126"/>
    <x v="4"/>
    <s v="automatic"/>
    <s v="wbaut9c51ba191622"/>
    <s v="ca"/>
    <n v="44"/>
    <x v="1798"/>
    <s v="white"/>
    <s v="beige"/>
    <s v="financial services remarketing (lease)"/>
    <n v="22600"/>
    <x v="107"/>
    <s v="Thu Dec 18 2014 12:30:00 GMT-0800 (PST)"/>
    <n v="2014"/>
    <x v="223"/>
    <x v="1"/>
    <s v="Medium"/>
  </r>
  <r>
    <n v="2011"/>
    <x v="1"/>
    <x v="1"/>
    <x v="126"/>
    <x v="1"/>
    <s v="automatic"/>
    <s v="wbaph7c57be852307"/>
    <s v="ca"/>
    <n v="45"/>
    <x v="1799"/>
    <s v="white"/>
    <s v="tan"/>
    <s v="financial services remarketing (lease)"/>
    <n v="22300"/>
    <x v="337"/>
    <s v="Thu Jan 15 2015 04:30:00 GMT-0800 (PST)"/>
    <n v="2015"/>
    <x v="223"/>
    <x v="1"/>
    <s v="Medium"/>
  </r>
  <r>
    <n v="2011"/>
    <x v="1"/>
    <x v="1"/>
    <x v="126"/>
    <x v="1"/>
    <s v="automatic"/>
    <s v="wbaph5c56bf093972"/>
    <s v="ca"/>
    <n v="42"/>
    <x v="1800"/>
    <s v="black"/>
    <s v="black"/>
    <s v="financial services remarketing (lease)"/>
    <n v="20000"/>
    <x v="78"/>
    <s v="Thu Dec 18 2014 12:30:00 GMT-0800 (PST)"/>
    <n v="2014"/>
    <x v="223"/>
    <x v="1"/>
    <s v="Medium"/>
  </r>
  <r>
    <n v="2012"/>
    <x v="22"/>
    <x v="95"/>
    <x v="60"/>
    <x v="1"/>
    <s v="automatic"/>
    <s v="5yfbu4ee5cp043025"/>
    <s v="ca"/>
    <n v="2"/>
    <x v="1801"/>
    <s v="â€”"/>
    <s v="gray"/>
    <s v="the hertz corporation"/>
    <n v="9675"/>
    <x v="21"/>
    <s v="Tue Dec 16 2014 12:30:00 GMT-0800 (PST)"/>
    <n v="2014"/>
    <x v="139"/>
    <x v="0"/>
    <s v="Low"/>
  </r>
  <r>
    <n v="2012"/>
    <x v="21"/>
    <x v="228"/>
    <x v="232"/>
    <x v="5"/>
    <s v="automatic"/>
    <s v="wvwhd7aj7cw202097"/>
    <s v="ca"/>
    <n v="42"/>
    <x v="1802"/>
    <s v="blue"/>
    <s v="black"/>
    <s v="bmw of murrieta"/>
    <n v="16150"/>
    <x v="140"/>
    <s v="Tue Dec 16 2014 12:30:00 GMT-0800 (PST)"/>
    <n v="2014"/>
    <x v="439"/>
    <x v="1"/>
    <s v="Low"/>
  </r>
  <r>
    <n v="2012"/>
    <x v="2"/>
    <x v="2"/>
    <x v="2"/>
    <x v="1"/>
    <s v="automatic"/>
    <s v="yv1622fs2c2054668"/>
    <s v="ca"/>
    <n v="26"/>
    <x v="1803"/>
    <s v="red"/>
    <s v="beige"/>
    <s v="fiserv/usb dealer services northstar exchange"/>
    <n v="14900"/>
    <x v="161"/>
    <s v="Thu Dec 18 2014 12:30:00 GMT-0800 (PST)"/>
    <n v="2014"/>
    <x v="2"/>
    <x v="2"/>
    <s v="Low"/>
  </r>
  <r>
    <n v="2011"/>
    <x v="1"/>
    <x v="1"/>
    <x v="126"/>
    <x v="1"/>
    <s v="automatic"/>
    <s v="wbaph5c55ba446215"/>
    <s v="ca"/>
    <n v="37"/>
    <x v="1804"/>
    <s v="black"/>
    <s v="gray"/>
    <s v="financial services remarketing (lease)"/>
    <n v="20900"/>
    <x v="29"/>
    <s v="Thu Dec 18 2014 12:30:00 GMT-0800 (PST)"/>
    <n v="2014"/>
    <x v="223"/>
    <x v="2"/>
    <s v="Medium"/>
  </r>
  <r>
    <n v="2011"/>
    <x v="1"/>
    <x v="1"/>
    <x v="126"/>
    <x v="2"/>
    <s v="automatic"/>
    <s v="wbadw7c50be728159"/>
    <s v="ca"/>
    <n v="24"/>
    <x v="1805"/>
    <s v="white"/>
    <s v="â€”"/>
    <s v="financial services remarketing (lease)"/>
    <n v="25800"/>
    <x v="102"/>
    <s v="Tue Dec 16 2014 12:30:00 GMT-0800 (PST)"/>
    <n v="2014"/>
    <x v="223"/>
    <x v="2"/>
    <s v="Medium"/>
  </r>
  <r>
    <n v="2011"/>
    <x v="1"/>
    <x v="1"/>
    <x v="126"/>
    <x v="1"/>
    <s v="automatic"/>
    <s v="wbaph5g58bnn59188"/>
    <s v="ca"/>
    <n v="39"/>
    <x v="1806"/>
    <s v="black"/>
    <s v="black"/>
    <s v="financial services remarketing (lease)"/>
    <n v="21900"/>
    <x v="105"/>
    <s v="Thu Jan 15 2015 04:30:00 GMT-0800 (PST)"/>
    <n v="2015"/>
    <x v="223"/>
    <x v="2"/>
    <s v="Medium"/>
  </r>
  <r>
    <n v="2011"/>
    <x v="1"/>
    <x v="16"/>
    <x v="14"/>
    <x v="1"/>
    <s v="automatic"/>
    <s v="wbafr1c59bds35793"/>
    <s v="ca"/>
    <n v="39"/>
    <x v="1807"/>
    <s v="gray"/>
    <s v="black"/>
    <s v="financial services remarketing (lease)"/>
    <n v="28500"/>
    <x v="296"/>
    <s v="Thu Dec 18 2014 12:30:00 GMT-0800 (PST)"/>
    <n v="2014"/>
    <x v="18"/>
    <x v="2"/>
    <s v="Medium"/>
  </r>
  <r>
    <n v="2011"/>
    <x v="1"/>
    <x v="1"/>
    <x v="231"/>
    <x v="1"/>
    <s v="automatic"/>
    <s v="wbapk5g59bnn81752"/>
    <s v="ca"/>
    <n v="35"/>
    <x v="1808"/>
    <s v="black"/>
    <s v="tan"/>
    <s v="financial services remarketing (lease)"/>
    <n v="20800"/>
    <x v="43"/>
    <s v="Thu Dec 18 2014 12:30:00 GMT-0800 (PST)"/>
    <n v="2014"/>
    <x v="438"/>
    <x v="2"/>
    <s v="Medium"/>
  </r>
  <r>
    <n v="2011"/>
    <x v="10"/>
    <x v="41"/>
    <x v="5"/>
    <x v="0"/>
    <s v="automatic"/>
    <s v="2hnyd2h26bh545766"/>
    <s v="ca"/>
    <n v="28"/>
    <x v="1809"/>
    <s v="black"/>
    <s v="black"/>
    <s v="ahfc/honda lease trust/hvt  inc. eot"/>
    <n v="24600"/>
    <x v="113"/>
    <s v="Thu Dec 18 2014 12:00:00 GMT-0800 (PST)"/>
    <n v="2014"/>
    <x v="252"/>
    <x v="2"/>
    <s v="Medium"/>
  </r>
  <r>
    <n v="2011"/>
    <x v="1"/>
    <x v="1"/>
    <x v="126"/>
    <x v="3"/>
    <s v="automatic"/>
    <s v="wbake5c50be574244"/>
    <s v="ca"/>
    <n v="4"/>
    <x v="1810"/>
    <s v="black"/>
    <s v="brown"/>
    <s v="century dealer services corp"/>
    <n v="17850"/>
    <x v="170"/>
    <s v="Wed Jan 07 2015 12:00:00 GMT-0800 (PST)"/>
    <n v="2015"/>
    <x v="223"/>
    <x v="0"/>
    <s v="Low"/>
  </r>
  <r>
    <n v="2012"/>
    <x v="22"/>
    <x v="95"/>
    <x v="60"/>
    <x v="1"/>
    <s v="automatic"/>
    <s v="5yfbu4ee5cp045583"/>
    <s v="ca"/>
    <n v="44"/>
    <x v="1811"/>
    <s v="silver"/>
    <s v="gray"/>
    <s v="first investors servicing corp"/>
    <n v="9675"/>
    <x v="51"/>
    <s v="Tue Dec 16 2014 12:30:00 GMT-0800 (PST)"/>
    <n v="2014"/>
    <x v="139"/>
    <x v="1"/>
    <s v="Low"/>
  </r>
  <r>
    <n v="2012"/>
    <x v="2"/>
    <x v="2"/>
    <x v="2"/>
    <x v="1"/>
    <s v="automatic"/>
    <s v="yv1622fsxc2034426"/>
    <s v="ca"/>
    <n v="37"/>
    <x v="1812"/>
    <s v="gray"/>
    <s v="gray"/>
    <s v="fiserv/usb dealer services northstar exchange"/>
    <n v="17450"/>
    <x v="245"/>
    <s v="Thu Dec 18 2014 12:30:00 GMT-0800 (PST)"/>
    <n v="2014"/>
    <x v="2"/>
    <x v="2"/>
    <s v="Low"/>
  </r>
  <r>
    <n v="2011"/>
    <x v="1"/>
    <x v="16"/>
    <x v="144"/>
    <x v="1"/>
    <s v="automatic"/>
    <s v="wbafu7c54bdu55005"/>
    <s v="ca"/>
    <n v="28"/>
    <x v="1813"/>
    <s v="white"/>
    <s v="brown"/>
    <s v="manheim nevada"/>
    <n v="29300"/>
    <x v="59"/>
    <s v="Thu Dec 18 2014 12:30:00 GMT-0800 (PST)"/>
    <n v="2014"/>
    <x v="251"/>
    <x v="2"/>
    <s v="Medium"/>
  </r>
  <r>
    <n v="2012"/>
    <x v="22"/>
    <x v="126"/>
    <x v="94"/>
    <x v="1"/>
    <s v="automatic"/>
    <s v="4t1bd1fk1cu021041"/>
    <s v="ca"/>
    <n v="43"/>
    <x v="1814"/>
    <s v="red"/>
    <s v="gray"/>
    <s v="ge fleet services for itself/servicer"/>
    <n v="17200"/>
    <x v="225"/>
    <s v="Tue Dec 16 2014 12:00:00 GMT-0800 (PST)"/>
    <n v="2014"/>
    <x v="177"/>
    <x v="1"/>
    <s v="Low"/>
  </r>
  <r>
    <n v="2011"/>
    <x v="1"/>
    <x v="1"/>
    <x v="126"/>
    <x v="1"/>
    <s v="automatic"/>
    <s v="wbaph5g59bnm72058"/>
    <s v="ca"/>
    <n v="43"/>
    <x v="1815"/>
    <s v="white"/>
    <s v="black"/>
    <s v="financial services remarketing (lease)"/>
    <n v="20500"/>
    <x v="29"/>
    <s v="Thu Dec 18 2014 12:30:00 GMT-0800 (PST)"/>
    <n v="2014"/>
    <x v="223"/>
    <x v="1"/>
    <s v="Medium"/>
  </r>
  <r>
    <n v="2011"/>
    <x v="1"/>
    <x v="1"/>
    <x v="133"/>
    <x v="1"/>
    <s v="automatic"/>
    <s v="wbapm5c52bf181994"/>
    <s v="ca"/>
    <n v="36"/>
    <x v="1816"/>
    <s v="black"/>
    <s v="black"/>
    <s v="financial services remarketing (lease)"/>
    <n v="23000"/>
    <x v="43"/>
    <s v="Thu Feb 12 2015 04:30:00 GMT-0800 (PST)"/>
    <n v="2015"/>
    <x v="233"/>
    <x v="2"/>
    <s v="Medium"/>
  </r>
  <r>
    <n v="2011"/>
    <x v="1"/>
    <x v="1"/>
    <x v="126"/>
    <x v="1"/>
    <s v="automatic"/>
    <s v="wbaph5g53bnm77885"/>
    <s v="ca"/>
    <n v="42"/>
    <x v="1817"/>
    <s v="white"/>
    <s v="beige"/>
    <s v="financial services remarketing (lease)"/>
    <n v="18050"/>
    <x v="135"/>
    <s v="Thu Jan 29 2015 04:30:00 GMT-0800 (PST)"/>
    <n v="2015"/>
    <x v="223"/>
    <x v="1"/>
    <s v="Low"/>
  </r>
  <r>
    <n v="2012"/>
    <x v="2"/>
    <x v="2"/>
    <x v="2"/>
    <x v="1"/>
    <s v="automatic"/>
    <s v="yv1622fs7c2099430"/>
    <s v="ca"/>
    <n v="43"/>
    <x v="1818"/>
    <s v="blue"/>
    <s v="beige"/>
    <s v="fiserv/usb dealer services northstar exchange"/>
    <n v="15950"/>
    <x v="245"/>
    <s v="Thu Dec 18 2014 12:30:00 GMT-0800 (PST)"/>
    <n v="2014"/>
    <x v="2"/>
    <x v="1"/>
    <s v="Low"/>
  </r>
  <r>
    <n v="2012"/>
    <x v="21"/>
    <x v="110"/>
    <x v="235"/>
    <x v="5"/>
    <s v="automatic"/>
    <s v="3vwva7at3cm642151"/>
    <s v="ca"/>
    <n v="1"/>
    <x v="1819"/>
    <s v="white"/>
    <s v="black"/>
    <s v="vw credit"/>
    <n v="13500"/>
    <x v="276"/>
    <s v="Tue Jan 13 2015 13:00:00 GMT-0800 (PST)"/>
    <n v="2015"/>
    <x v="443"/>
    <x v="0"/>
    <s v="Low"/>
  </r>
  <r>
    <n v="2011"/>
    <x v="1"/>
    <x v="1"/>
    <x v="126"/>
    <x v="1"/>
    <s v="automatic"/>
    <s v="wbaph7c59be852762"/>
    <s v="ca"/>
    <n v="44"/>
    <x v="1820"/>
    <s v="black"/>
    <s v="black"/>
    <s v="financial services remarketing (lease)"/>
    <n v="20800"/>
    <x v="106"/>
    <s v="Thu Dec 18 2014 12:30:00 GMT-0800 (PST)"/>
    <n v="2014"/>
    <x v="223"/>
    <x v="1"/>
    <s v="Medium"/>
  </r>
  <r>
    <n v="2011"/>
    <x v="5"/>
    <x v="229"/>
    <x v="236"/>
    <x v="0"/>
    <s v="automatic"/>
    <s v="wa1lmafe5bd003010"/>
    <s v="ca"/>
    <n v="38"/>
    <x v="1821"/>
    <s v="black"/>
    <s v="â€”"/>
    <s v="fiserv/usb dealer services northstar exchange"/>
    <n v="28200"/>
    <x v="296"/>
    <s v="Thu Dec 18 2014 12:30:00 GMT-0800 (PST)"/>
    <n v="2014"/>
    <x v="444"/>
    <x v="2"/>
    <s v="Medium"/>
  </r>
  <r>
    <n v="2011"/>
    <x v="1"/>
    <x v="1"/>
    <x v="126"/>
    <x v="1"/>
    <s v="automatic"/>
    <s v="wbaph5g51bnm84561"/>
    <s v="ca"/>
    <n v="46"/>
    <x v="1822"/>
    <s v="black"/>
    <s v="red"/>
    <s v="financial services remarketing (lease)"/>
    <n v="18400"/>
    <x v="24"/>
    <s v="Thu Dec 18 2014 12:30:00 GMT-0800 (PST)"/>
    <n v="2014"/>
    <x v="223"/>
    <x v="1"/>
    <s v="Medium"/>
  </r>
  <r>
    <n v="2011"/>
    <x v="5"/>
    <x v="21"/>
    <x v="18"/>
    <x v="2"/>
    <s v="automatic"/>
    <s v="wauvgafh6bn011740"/>
    <s v="ca"/>
    <n v="26"/>
    <x v="1823"/>
    <s v="gray"/>
    <s v="black"/>
    <s v="fiserv/usb dealer services northstar exchange"/>
    <n v="31900"/>
    <x v="356"/>
    <s v="Thu Dec 18 2014 12:30:00 GMT-0800 (PST)"/>
    <n v="2014"/>
    <x v="445"/>
    <x v="2"/>
    <s v="Medium"/>
  </r>
  <r>
    <n v="2011"/>
    <x v="1"/>
    <x v="1"/>
    <x v="125"/>
    <x v="2"/>
    <s v="automatic"/>
    <s v="wbadx1c51be394492"/>
    <s v="ca"/>
    <n v="38"/>
    <x v="1824"/>
    <s v="white"/>
    <s v="red"/>
    <s v="ubs wholesale"/>
    <n v="29900"/>
    <x v="266"/>
    <s v="Thu Dec 18 2014 12:30:00 GMT-0800 (PST)"/>
    <n v="2014"/>
    <x v="222"/>
    <x v="2"/>
    <s v="Medium"/>
  </r>
  <r>
    <n v="2012"/>
    <x v="22"/>
    <x v="230"/>
    <x v="38"/>
    <x v="0"/>
    <s v="automatic"/>
    <s v="jtedc3eh6c2006592"/>
    <s v="ca"/>
    <n v="44"/>
    <x v="1825"/>
    <s v="gray"/>
    <s v="black"/>
    <s v="la costa auto sales"/>
    <n v="26400"/>
    <x v="109"/>
    <s v="Tue Dec 16 2014 12:00:00 GMT-0800 (PST)"/>
    <n v="2014"/>
    <x v="446"/>
    <x v="1"/>
    <s v="Medium"/>
  </r>
  <r>
    <n v="2012"/>
    <x v="21"/>
    <x v="107"/>
    <x v="86"/>
    <x v="1"/>
    <s v="automatic"/>
    <s v="3vwdp7aj7cm304616"/>
    <s v="ca"/>
    <n v="1"/>
    <x v="1826"/>
    <s v="gray"/>
    <s v="black"/>
    <s v="vw credit"/>
    <n v="10200"/>
    <x v="142"/>
    <s v="Tue Dec 16 2014 12:00:00 GMT-0800 (PST)"/>
    <n v="2014"/>
    <x v="153"/>
    <x v="0"/>
    <s v="Low"/>
  </r>
  <r>
    <n v="2012"/>
    <x v="21"/>
    <x v="107"/>
    <x v="86"/>
    <x v="1"/>
    <s v="automatic"/>
    <s v="3vwdp7aj7cm346185"/>
    <s v="ca"/>
    <n v="1"/>
    <x v="1827"/>
    <s v="â€”"/>
    <s v="gray"/>
    <s v="vw credit"/>
    <n v="10850"/>
    <x v="74"/>
    <s v="Tue Dec 16 2014 12:00:00 GMT-0800 (PST)"/>
    <n v="2014"/>
    <x v="153"/>
    <x v="0"/>
    <s v="Low"/>
  </r>
  <r>
    <n v="2011"/>
    <x v="1"/>
    <x v="1"/>
    <x v="126"/>
    <x v="3"/>
    <s v="automatic"/>
    <s v="wbake5c54be755489"/>
    <s v="ca"/>
    <n v="27"/>
    <x v="1828"/>
    <s v="black"/>
    <s v="black"/>
    <s v="financial services remarketing (lease)"/>
    <n v="20500"/>
    <x v="379"/>
    <s v="Thu Jan 15 2015 04:30:00 GMT-0800 (PST)"/>
    <n v="2015"/>
    <x v="223"/>
    <x v="2"/>
    <s v="Medium"/>
  </r>
  <r>
    <n v="2011"/>
    <x v="5"/>
    <x v="13"/>
    <x v="134"/>
    <x v="0"/>
    <s v="automatic"/>
    <s v="wa1lfafp1ba010565"/>
    <s v="ca"/>
    <n v="48"/>
    <x v="1829"/>
    <s v="white"/>
    <s v="black"/>
    <s v="richard j bartlett jr enterprises"/>
    <n v="25500"/>
    <x v="296"/>
    <s v="Thu Dec 18 2014 12:30:00 GMT-0800 (PST)"/>
    <n v="2014"/>
    <x v="447"/>
    <x v="1"/>
    <s v="Medium"/>
  </r>
  <r>
    <n v="2012"/>
    <x v="21"/>
    <x v="103"/>
    <x v="237"/>
    <x v="1"/>
    <s v="automatic"/>
    <s v="wvwhp7an0ce531482"/>
    <s v="ca"/>
    <n v="37"/>
    <x v="1830"/>
    <s v="black"/>
    <s v="black"/>
    <s v="mckenna volks"/>
    <n v="16550"/>
    <x v="101"/>
    <s v="Wed Dec 17 2014 12:30:00 GMT-0800 (PST)"/>
    <n v="2014"/>
    <x v="448"/>
    <x v="2"/>
    <s v="Low"/>
  </r>
  <r>
    <n v="2011"/>
    <x v="1"/>
    <x v="16"/>
    <x v="138"/>
    <x v="1"/>
    <s v="automatic"/>
    <s v="wbafr9c51bde81867"/>
    <s v="ca"/>
    <n v="21"/>
    <x v="1831"/>
    <s v="white"/>
    <s v="black"/>
    <s v="remarketing by ge/manheim riverside"/>
    <n v="27900"/>
    <x v="95"/>
    <s v="Thu Dec 18 2014 12:30:00 GMT-0800 (PST)"/>
    <n v="2014"/>
    <x v="240"/>
    <x v="2"/>
    <s v="Medium"/>
  </r>
  <r>
    <n v="2011"/>
    <x v="1"/>
    <x v="1"/>
    <x v="238"/>
    <x v="1"/>
    <s v="automatic"/>
    <s v="wbapn7c53bf184265"/>
    <s v="ca"/>
    <n v="41"/>
    <x v="1832"/>
    <s v="black"/>
    <s v="black"/>
    <s v="financial services remarketing (lease)"/>
    <n v="21800"/>
    <x v="53"/>
    <s v="Thu Dec 18 2014 12:30:00 GMT-0800 (PST)"/>
    <n v="2014"/>
    <x v="449"/>
    <x v="1"/>
    <s v="Medium"/>
  </r>
  <r>
    <n v="2011"/>
    <x v="1"/>
    <x v="1"/>
    <x v="126"/>
    <x v="1"/>
    <s v="automatic"/>
    <s v="wbaph5g56bnn59299"/>
    <s v="ca"/>
    <n v="43"/>
    <x v="1833"/>
    <s v="blue"/>
    <s v="gray"/>
    <s v="financial services remarketing (lease)"/>
    <n v="18800"/>
    <x v="24"/>
    <s v="Thu Dec 18 2014 12:30:00 GMT-0800 (PST)"/>
    <n v="2014"/>
    <x v="223"/>
    <x v="1"/>
    <s v="Medium"/>
  </r>
  <r>
    <n v="2012"/>
    <x v="22"/>
    <x v="105"/>
    <x v="10"/>
    <x v="1"/>
    <s v="automatic"/>
    <s v="4t1bk1fkxcu517509"/>
    <s v="ca"/>
    <n v="44"/>
    <x v="1834"/>
    <s v="â€”"/>
    <s v="black"/>
    <s v="toyota financial services"/>
    <n v="16900"/>
    <x v="134"/>
    <s v="Wed Dec 17 2014 12:30:00 GMT-0800 (PST)"/>
    <n v="2014"/>
    <x v="206"/>
    <x v="1"/>
    <s v="Medium"/>
  </r>
  <r>
    <n v="2011"/>
    <x v="1"/>
    <x v="1"/>
    <x v="126"/>
    <x v="1"/>
    <s v="automatic"/>
    <s v="wbaph5c59bf093111"/>
    <s v="ca"/>
    <n v="39"/>
    <x v="1835"/>
    <s v="white"/>
    <s v="gray"/>
    <s v="financial services remarketing (lease)"/>
    <n v="21000"/>
    <x v="62"/>
    <s v="Thu Dec 18 2014 12:30:00 GMT-0800 (PST)"/>
    <n v="2014"/>
    <x v="223"/>
    <x v="2"/>
    <s v="Medium"/>
  </r>
  <r>
    <n v="2011"/>
    <x v="1"/>
    <x v="1"/>
    <x v="126"/>
    <x v="1"/>
    <s v="automatic"/>
    <s v="wbaph5g50bnm82784"/>
    <s v="ca"/>
    <n v="43"/>
    <x v="1836"/>
    <s v="blue"/>
    <s v="gray"/>
    <s v="financial services remarketing (lease)"/>
    <n v="19500"/>
    <x v="298"/>
    <s v="Thu Jan 15 2015 04:30:00 GMT-0800 (PST)"/>
    <n v="2015"/>
    <x v="223"/>
    <x v="1"/>
    <s v="Low"/>
  </r>
  <r>
    <n v="2011"/>
    <x v="1"/>
    <x v="1"/>
    <x v="126"/>
    <x v="1"/>
    <s v="automatic"/>
    <s v="wbaph5c51ba447104"/>
    <s v="ca"/>
    <n v="37"/>
    <x v="1837"/>
    <s v="gray"/>
    <s v="black"/>
    <s v="financial services remarketing (lease)"/>
    <n v="20400"/>
    <x v="24"/>
    <s v="Thu Jan 29 2015 04:30:00 GMT-0800 (PST)"/>
    <n v="2015"/>
    <x v="223"/>
    <x v="2"/>
    <s v="Medium"/>
  </r>
  <r>
    <n v="2012"/>
    <x v="21"/>
    <x v="107"/>
    <x v="86"/>
    <x v="1"/>
    <s v="automatic"/>
    <s v="3vwdp7aj5cm320913"/>
    <s v="ca"/>
    <n v="1"/>
    <x v="1838"/>
    <s v="â€”"/>
    <s v="beige"/>
    <s v="vw credit"/>
    <n v="10950"/>
    <x v="21"/>
    <s v="Tue Dec 16 2014 12:00:00 GMT-0800 (PST)"/>
    <n v="2014"/>
    <x v="153"/>
    <x v="0"/>
    <s v="Low"/>
  </r>
  <r>
    <n v="2012"/>
    <x v="22"/>
    <x v="97"/>
    <x v="239"/>
    <x v="11"/>
    <s v="automatic"/>
    <s v="5tdzk3dc9cs204563"/>
    <s v="ca"/>
    <n v="28"/>
    <x v="1839"/>
    <s v="white"/>
    <s v="beige"/>
    <s v="the hertz corporation"/>
    <n v="16200"/>
    <x v="216"/>
    <s v="Wed Dec 17 2014 12:30:00 GMT-0800 (PST)"/>
    <n v="2014"/>
    <x v="450"/>
    <x v="2"/>
    <s v="Low"/>
  </r>
  <r>
    <n v="2011"/>
    <x v="1"/>
    <x v="16"/>
    <x v="14"/>
    <x v="1"/>
    <s v="automatic"/>
    <s v="wbafr1c51bc260869"/>
    <s v="ca"/>
    <n v="28"/>
    <x v="1840"/>
    <s v="blue"/>
    <s v="brown"/>
    <s v="bmw of murrieta"/>
    <n v="20700"/>
    <x v="164"/>
    <s v="Tue Dec 30 2014 12:30:00 GMT-0800 (PST)"/>
    <n v="2014"/>
    <x v="18"/>
    <x v="2"/>
    <s v="Medium"/>
  </r>
  <r>
    <n v="2011"/>
    <x v="1"/>
    <x v="1"/>
    <x v="126"/>
    <x v="3"/>
    <s v="automatic"/>
    <s v="wbake3c58be558295"/>
    <s v="ca"/>
    <n v="19"/>
    <x v="1841"/>
    <s v="red"/>
    <s v="tan"/>
    <s v="financial services remarketing (lease)"/>
    <n v="20500"/>
    <x v="16"/>
    <s v="Tue Jan 27 2015 04:30:00 GMT-0800 (PST)"/>
    <n v="2015"/>
    <x v="223"/>
    <x v="0"/>
    <s v="Low"/>
  </r>
  <r>
    <n v="2011"/>
    <x v="1"/>
    <x v="1"/>
    <x v="126"/>
    <x v="1"/>
    <s v="automatic"/>
    <s v="wbaph5g56bnm76701"/>
    <s v="ca"/>
    <n v="37"/>
    <x v="1842"/>
    <s v="gray"/>
    <s v="â€”"/>
    <s v="financial services remarketing (lease)"/>
    <n v="19400"/>
    <x v="43"/>
    <s v="Thu Dec 18 2014 12:30:00 GMT-0800 (PST)"/>
    <n v="2014"/>
    <x v="223"/>
    <x v="2"/>
    <s v="Medium"/>
  </r>
  <r>
    <n v="2011"/>
    <x v="1"/>
    <x v="1"/>
    <x v="133"/>
    <x v="2"/>
    <s v="automatic"/>
    <s v="wbadx7c54be743406"/>
    <s v="ca"/>
    <n v="41"/>
    <x v="1843"/>
    <s v="black"/>
    <s v="tan"/>
    <s v="financial services remarketing (lease)"/>
    <n v="29100"/>
    <x v="266"/>
    <s v="Thu Dec 18 2014 12:30:00 GMT-0800 (PST)"/>
    <n v="2014"/>
    <x v="233"/>
    <x v="1"/>
    <s v="Medium"/>
  </r>
  <r>
    <n v="2011"/>
    <x v="1"/>
    <x v="1"/>
    <x v="126"/>
    <x v="1"/>
    <s v="automatic"/>
    <s v="wbaph5c57bf093253"/>
    <s v="ca"/>
    <n v="44"/>
    <x v="1844"/>
    <s v="black"/>
    <s v="beige"/>
    <s v="financial services remarketing (lease)"/>
    <n v="20100"/>
    <x v="43"/>
    <s v="Thu Dec 18 2014 12:30:00 GMT-0800 (PST)"/>
    <n v="2014"/>
    <x v="223"/>
    <x v="1"/>
    <s v="Medium"/>
  </r>
  <r>
    <n v="2012"/>
    <x v="21"/>
    <x v="107"/>
    <x v="89"/>
    <x v="1"/>
    <s v="automatic"/>
    <s v="3vw2k7aj7cm355491"/>
    <s v="ca"/>
    <n v="1"/>
    <x v="767"/>
    <s v="â€”"/>
    <s v="black"/>
    <s v="vw credit"/>
    <n v="9000"/>
    <x v="144"/>
    <s v="Tue Dec 16 2014 12:00:00 GMT-0800 (PST)"/>
    <n v="2014"/>
    <x v="451"/>
    <x v="0"/>
    <s v="Low"/>
  </r>
  <r>
    <n v="2011"/>
    <x v="1"/>
    <x v="16"/>
    <x v="144"/>
    <x v="1"/>
    <s v="automatic"/>
    <s v="wbafu7c57bdu55628"/>
    <s v="ca"/>
    <n v="39"/>
    <x v="1845"/>
    <s v="brown"/>
    <s v="â€”"/>
    <s v="financial services remarketing (lease)"/>
    <n v="29200"/>
    <x v="34"/>
    <s v="Thu Dec 18 2014 12:30:00 GMT-0800 (PST)"/>
    <n v="2014"/>
    <x v="251"/>
    <x v="2"/>
    <s v="Medium"/>
  </r>
  <r>
    <n v="2011"/>
    <x v="1"/>
    <x v="1"/>
    <x v="240"/>
    <x v="1"/>
    <s v="automatic"/>
    <s v="wbapl5g59bnn22990"/>
    <s v="ca"/>
    <n v="42"/>
    <x v="1846"/>
    <s v="black"/>
    <s v="black"/>
    <s v="financial services remarketing (lease)"/>
    <n v="26200"/>
    <x v="212"/>
    <s v="Thu Dec 18 2014 12:30:00 GMT-0800 (PST)"/>
    <n v="2014"/>
    <x v="452"/>
    <x v="1"/>
    <s v="Medium"/>
  </r>
  <r>
    <n v="2011"/>
    <x v="1"/>
    <x v="1"/>
    <x v="126"/>
    <x v="1"/>
    <s v="automatic"/>
    <s v="wbaph5g57bnm83897"/>
    <s v="ca"/>
    <n v="42"/>
    <x v="1847"/>
    <s v="gray"/>
    <s v="beige"/>
    <s v="financial services remarketing (lease)"/>
    <n v="21400"/>
    <x v="0"/>
    <s v="Thu Dec 18 2014 12:30:00 GMT-0800 (PST)"/>
    <n v="2014"/>
    <x v="223"/>
    <x v="1"/>
    <s v="Medium"/>
  </r>
  <r>
    <n v="2012"/>
    <x v="22"/>
    <x v="114"/>
    <x v="42"/>
    <x v="0"/>
    <s v="automatic"/>
    <s v="jtmwf4dv4c5043639"/>
    <s v="ca"/>
    <n v="19"/>
    <x v="1848"/>
    <s v="gray"/>
    <s v="black"/>
    <s v="800 loan mart"/>
    <n v="17400"/>
    <x v="275"/>
    <s v="Thu Jan 15 2015 04:00:00 GMT-0800 (PST)"/>
    <n v="2015"/>
    <x v="453"/>
    <x v="0"/>
    <s v="Low"/>
  </r>
  <r>
    <n v="2011"/>
    <x v="1"/>
    <x v="1"/>
    <x v="126"/>
    <x v="1"/>
    <s v="automatic"/>
    <s v="wbaph7c5xbe852124"/>
    <s v="ca"/>
    <n v="44"/>
    <x v="1849"/>
    <s v="white"/>
    <s v="black"/>
    <s v="financial services remarketing (lease)"/>
    <n v="19800"/>
    <x v="106"/>
    <s v="Thu Dec 18 2014 12:30:00 GMT-0800 (PST)"/>
    <n v="2014"/>
    <x v="223"/>
    <x v="1"/>
    <s v="Medium"/>
  </r>
  <r>
    <n v="2011"/>
    <x v="1"/>
    <x v="1"/>
    <x v="125"/>
    <x v="2"/>
    <s v="automatic"/>
    <s v="wbadx1c56be570646"/>
    <s v="ca"/>
    <n v="34"/>
    <x v="1850"/>
    <s v="white"/>
    <s v="black"/>
    <s v="financial services remarketing (lease)"/>
    <n v="29900"/>
    <x v="266"/>
    <s v="Thu Dec 18 2014 12:30:00 GMT-0800 (PST)"/>
    <n v="2014"/>
    <x v="222"/>
    <x v="2"/>
    <s v="Medium"/>
  </r>
  <r>
    <n v="2011"/>
    <x v="1"/>
    <x v="1"/>
    <x v="126"/>
    <x v="3"/>
    <s v="manual"/>
    <s v="wbake5c54be432253"/>
    <s v="ca"/>
    <n v="4"/>
    <x v="1851"/>
    <s v="white"/>
    <s v="black"/>
    <s v="financial services remarketing (lease)"/>
    <n v="20600"/>
    <x v="62"/>
    <s v="Thu Jan 15 2015 04:30:00 GMT-0800 (PST)"/>
    <n v="2015"/>
    <x v="223"/>
    <x v="0"/>
    <s v="Medium"/>
  </r>
  <r>
    <n v="2011"/>
    <x v="1"/>
    <x v="1"/>
    <x v="133"/>
    <x v="1"/>
    <s v="automatic"/>
    <s v="wbapm5g51bnn00933"/>
    <s v="ca"/>
    <n v="45"/>
    <x v="1852"/>
    <s v="black"/>
    <s v="black"/>
    <s v="financial services remarketing (lease)"/>
    <n v="22700"/>
    <x v="106"/>
    <s v="Thu Dec 18 2014 12:30:00 GMT-0800 (PST)"/>
    <n v="2014"/>
    <x v="233"/>
    <x v="1"/>
    <s v="Medium"/>
  </r>
  <r>
    <n v="2011"/>
    <x v="1"/>
    <x v="16"/>
    <x v="129"/>
    <x v="1"/>
    <s v="automatic"/>
    <s v="wbafr7c52bc802659"/>
    <s v="ca"/>
    <n v="43"/>
    <x v="1853"/>
    <s v="beige"/>
    <s v="â€”"/>
    <s v="financial services remarketing (lease)"/>
    <n v="28300"/>
    <x v="177"/>
    <s v="Thu Dec 18 2014 12:30:00 GMT-0800 (PST)"/>
    <n v="2014"/>
    <x v="227"/>
    <x v="1"/>
    <s v="Medium"/>
  </r>
  <r>
    <n v="2011"/>
    <x v="10"/>
    <x v="142"/>
    <x v="5"/>
    <x v="1"/>
    <s v="automatic"/>
    <s v="jh4cu2f6xbc016232"/>
    <s v="ca"/>
    <n v="35"/>
    <x v="1854"/>
    <s v="black"/>
    <s v="black"/>
    <s v="ahfc/honda lease trust/hvt  inc. eot"/>
    <n v="16350"/>
    <x v="170"/>
    <s v="Thu Dec 18 2014 12:00:00 GMT-0800 (PST)"/>
    <n v="2014"/>
    <x v="219"/>
    <x v="2"/>
    <s v="Low"/>
  </r>
  <r>
    <n v="2011"/>
    <x v="1"/>
    <x v="1"/>
    <x v="126"/>
    <x v="1"/>
    <s v="automatic"/>
    <s v="wbaph5g56bnm76858"/>
    <s v="ca"/>
    <n v="45"/>
    <x v="1855"/>
    <s v="gray"/>
    <s v="gray"/>
    <s v="financial services remarketing (lease)"/>
    <n v="19200"/>
    <x v="0"/>
    <s v="Thu Dec 18 2014 12:30:00 GMT-0800 (PST)"/>
    <n v="2014"/>
    <x v="223"/>
    <x v="1"/>
    <s v="Medium"/>
  </r>
  <r>
    <n v="2011"/>
    <x v="1"/>
    <x v="1"/>
    <x v="126"/>
    <x v="1"/>
    <s v="automatic"/>
    <s v="wbaph5c57ba441419"/>
    <s v="ca"/>
    <n v="31"/>
    <x v="1856"/>
    <s v="black"/>
    <s v="black"/>
    <s v="financial services remarketing (lease)"/>
    <n v="19800"/>
    <x v="40"/>
    <s v="Thu Dec 18 2014 12:30:00 GMT-0800 (PST)"/>
    <n v="2014"/>
    <x v="223"/>
    <x v="2"/>
    <s v="Medium"/>
  </r>
  <r>
    <n v="2012"/>
    <x v="22"/>
    <x v="116"/>
    <x v="101"/>
    <x v="14"/>
    <s v="automatic"/>
    <s v="5tfty5f15cx007590"/>
    <s v="ca"/>
    <n v="42"/>
    <x v="1857"/>
    <s v="white"/>
    <s v="gray"/>
    <s v="toyota financial services"/>
    <n v="20600"/>
    <x v="133"/>
    <s v="Tue Dec 23 2014 00:00:00 GMT-0800 (PST)"/>
    <n v="2014"/>
    <x v="166"/>
    <x v="1"/>
    <s v="Medium"/>
  </r>
  <r>
    <n v="2012"/>
    <x v="21"/>
    <x v="107"/>
    <x v="86"/>
    <x v="1"/>
    <s v="automatic"/>
    <s v="3vwdp7aj0cm007753"/>
    <s v="ca"/>
    <n v="37"/>
    <x v="1858"/>
    <s v="white"/>
    <s v="black"/>
    <s v="kia of cerritos"/>
    <n v="8575"/>
    <x v="21"/>
    <s v="Tue Dec 16 2014 12:30:00 GMT-0800 (PST)"/>
    <n v="2014"/>
    <x v="153"/>
    <x v="2"/>
    <s v="Low"/>
  </r>
  <r>
    <n v="2011"/>
    <x v="1"/>
    <x v="1"/>
    <x v="126"/>
    <x v="1"/>
    <s v="automatic"/>
    <s v="wbaph5c54bf093579"/>
    <s v="ca"/>
    <n v="29"/>
    <x v="1859"/>
    <s v="black"/>
    <s v="gray"/>
    <s v="financial services remarketing (lease)"/>
    <n v="19850"/>
    <x v="159"/>
    <s v="Tue Jan 27 2015 04:30:00 GMT-0800 (PST)"/>
    <n v="2015"/>
    <x v="223"/>
    <x v="2"/>
    <s v="Medium"/>
  </r>
  <r>
    <n v="2011"/>
    <x v="1"/>
    <x v="1"/>
    <x v="126"/>
    <x v="1"/>
    <s v="automatic"/>
    <s v="wbaph5c57ba446667"/>
    <s v="ca"/>
    <n v="48"/>
    <x v="1860"/>
    <s v="white"/>
    <s v="tan"/>
    <s v="financial services remarketing (lease)"/>
    <n v="20300"/>
    <x v="78"/>
    <s v="Thu Dec 18 2014 12:30:00 GMT-0800 (PST)"/>
    <n v="2014"/>
    <x v="223"/>
    <x v="1"/>
    <s v="Medium"/>
  </r>
  <r>
    <n v="2011"/>
    <x v="1"/>
    <x v="1"/>
    <x v="133"/>
    <x v="2"/>
    <s v="automatic"/>
    <s v="wbadx7c59be581546"/>
    <s v="ca"/>
    <n v="34"/>
    <x v="1861"/>
    <s v="black"/>
    <s v="black"/>
    <s v="financial services remarketing (lease)"/>
    <n v="29400"/>
    <x v="71"/>
    <s v="Thu Dec 18 2014 12:30:00 GMT-0800 (PST)"/>
    <n v="2014"/>
    <x v="233"/>
    <x v="2"/>
    <s v="Medium"/>
  </r>
  <r>
    <n v="2011"/>
    <x v="1"/>
    <x v="1"/>
    <x v="126"/>
    <x v="1"/>
    <s v="automatic"/>
    <s v="wbaph5g58bnm84010"/>
    <s v="ca"/>
    <n v="29"/>
    <x v="1862"/>
    <s v="black"/>
    <s v="black"/>
    <s v="financial services remarketing (lease)"/>
    <n v="20700"/>
    <x v="40"/>
    <s v="Thu Dec 18 2014 12:30:00 GMT-0800 (PST)"/>
    <n v="2014"/>
    <x v="223"/>
    <x v="2"/>
    <s v="Medium"/>
  </r>
  <r>
    <n v="2012"/>
    <x v="2"/>
    <x v="18"/>
    <x v="87"/>
    <x v="4"/>
    <s v="automatic"/>
    <s v="yv4952bz9c1125705"/>
    <s v="ca"/>
    <n v="48"/>
    <x v="1863"/>
    <s v="white"/>
    <s v="black"/>
    <s v="smith volvo inc"/>
    <n v="26300"/>
    <x v="87"/>
    <s v="Tue Dec 16 2014 12:30:00 GMT-0800 (PST)"/>
    <n v="2014"/>
    <x v="454"/>
    <x v="1"/>
    <s v="Medium"/>
  </r>
  <r>
    <n v="2011"/>
    <x v="1"/>
    <x v="1"/>
    <x v="126"/>
    <x v="1"/>
    <s v="automatic"/>
    <s v="wbaph5g57bnn59229"/>
    <s v="ca"/>
    <n v="37"/>
    <x v="1864"/>
    <s v="gray"/>
    <s v="black"/>
    <s v="financial services remarketing (lease)"/>
    <n v="19250"/>
    <x v="24"/>
    <s v="Thu Dec 18 2014 12:30:00 GMT-0800 (PST)"/>
    <n v="2014"/>
    <x v="223"/>
    <x v="2"/>
    <s v="Medium"/>
  </r>
  <r>
    <n v="2012"/>
    <x v="2"/>
    <x v="2"/>
    <x v="2"/>
    <x v="1"/>
    <s v="automatic"/>
    <s v="yv1622fs3c2089011"/>
    <s v="ca"/>
    <n v="22"/>
    <x v="1865"/>
    <s v="white"/>
    <s v="beige"/>
    <s v="fiserv/usb dealer services northstar exchange"/>
    <n v="17350"/>
    <x v="318"/>
    <s v="Thu Dec 18 2014 12:30:00 GMT-0800 (PST)"/>
    <n v="2014"/>
    <x v="2"/>
    <x v="2"/>
    <s v="Low"/>
  </r>
  <r>
    <n v="2011"/>
    <x v="1"/>
    <x v="1"/>
    <x v="126"/>
    <x v="3"/>
    <s v="automatic"/>
    <s v="wbake5c55be754738"/>
    <s v="ca"/>
    <n v="28"/>
    <x v="1866"/>
    <s v="red"/>
    <s v="black"/>
    <s v="financial services remarketing (lease)"/>
    <n v="20100"/>
    <x v="73"/>
    <s v="Thu Jan 29 2015 04:30:00 GMT-0800 (PST)"/>
    <n v="2015"/>
    <x v="223"/>
    <x v="2"/>
    <s v="Medium"/>
  </r>
  <r>
    <n v="2012"/>
    <x v="21"/>
    <x v="107"/>
    <x v="5"/>
    <x v="1"/>
    <s v="automatic"/>
    <s v="3vw2k7aj3cm333410"/>
    <s v="ca"/>
    <n v="1"/>
    <x v="1867"/>
    <s v="â€”"/>
    <s v="black"/>
    <s v="vw credit"/>
    <n v="8550"/>
    <x v="167"/>
    <s v="Tue Dec 16 2014 12:00:00 GMT-0800 (PST)"/>
    <n v="2014"/>
    <x v="455"/>
    <x v="0"/>
    <s v="Low"/>
  </r>
  <r>
    <n v="2011"/>
    <x v="1"/>
    <x v="1"/>
    <x v="231"/>
    <x v="1"/>
    <s v="automatic"/>
    <s v="wbapk5c5xbf127784"/>
    <s v="ca"/>
    <n v="35"/>
    <x v="1868"/>
    <s v="gray"/>
    <s v="black"/>
    <s v="financial services remarketing (lease)"/>
    <n v="19950"/>
    <x v="228"/>
    <s v="Thu Dec 18 2014 12:30:00 GMT-0800 (PST)"/>
    <n v="2014"/>
    <x v="438"/>
    <x v="2"/>
    <s v="Medium"/>
  </r>
  <r>
    <n v="2012"/>
    <x v="21"/>
    <x v="129"/>
    <x v="107"/>
    <x v="4"/>
    <s v="automatic"/>
    <s v="3vwpp7aj1cm641571"/>
    <s v="ca"/>
    <n v="43"/>
    <x v="1869"/>
    <s v="white"/>
    <s v="black"/>
    <s v="wholesale motor sales inc"/>
    <n v="7025"/>
    <x v="116"/>
    <s v="Thu Dec 18 2014 12:00:00 GMT-0800 (PST)"/>
    <n v="2014"/>
    <x v="182"/>
    <x v="1"/>
    <s v="Low"/>
  </r>
  <r>
    <n v="2011"/>
    <x v="1"/>
    <x v="1"/>
    <x v="126"/>
    <x v="3"/>
    <s v="automatic"/>
    <s v="wbake5c50be754954"/>
    <s v="ca"/>
    <n v="21"/>
    <x v="1870"/>
    <s v="gray"/>
    <s v="black"/>
    <s v="financial services remarketing (lease)"/>
    <n v="18900"/>
    <x v="135"/>
    <s v="Tue Jan 06 2015 04:30:00 GMT-0800 (PST)"/>
    <n v="2015"/>
    <x v="223"/>
    <x v="2"/>
    <s v="Low"/>
  </r>
  <r>
    <n v="2012"/>
    <x v="21"/>
    <x v="228"/>
    <x v="232"/>
    <x v="5"/>
    <s v="automatic"/>
    <s v="wvwhd7aj4cw325923"/>
    <s v="ca"/>
    <n v="36"/>
    <x v="1871"/>
    <s v="gray"/>
    <s v="gray"/>
    <s v="walters auto sales/service inc"/>
    <n v="13850"/>
    <x v="218"/>
    <s v="Tue Dec 16 2014 12:30:00 GMT-0800 (PST)"/>
    <n v="2014"/>
    <x v="439"/>
    <x v="2"/>
    <s v="Low"/>
  </r>
  <r>
    <n v="2011"/>
    <x v="1"/>
    <x v="1"/>
    <x v="126"/>
    <x v="1"/>
    <s v="automatic"/>
    <s v="wbaph5g51bnm83913"/>
    <s v="ca"/>
    <n v="44"/>
    <x v="1872"/>
    <s v="black"/>
    <s v="tan"/>
    <s v="financial services remarketing (lease)"/>
    <n v="20600"/>
    <x v="40"/>
    <s v="Thu Dec 18 2014 12:30:00 GMT-0800 (PST)"/>
    <n v="2014"/>
    <x v="223"/>
    <x v="1"/>
    <s v="Medium"/>
  </r>
  <r>
    <n v="2011"/>
    <x v="1"/>
    <x v="1"/>
    <x v="133"/>
    <x v="1"/>
    <s v="automatic"/>
    <s v="wbapm5c55be575995"/>
    <s v="ca"/>
    <n v="41"/>
    <x v="1873"/>
    <s v="white"/>
    <s v="black"/>
    <s v="financial services remarketing (lease)"/>
    <n v="23000"/>
    <x v="106"/>
    <s v="Thu Dec 18 2014 12:30:00 GMT-0800 (PST)"/>
    <n v="2014"/>
    <x v="233"/>
    <x v="1"/>
    <s v="Medium"/>
  </r>
  <r>
    <n v="2011"/>
    <x v="1"/>
    <x v="1"/>
    <x v="126"/>
    <x v="1"/>
    <s v="automatic"/>
    <s v="wbaph5g5xbnm80203"/>
    <s v="ca"/>
    <n v="34"/>
    <x v="1874"/>
    <s v="black"/>
    <s v="black"/>
    <s v="newport coast auto com"/>
    <n v="20100"/>
    <x v="43"/>
    <s v="Wed Dec 17 2014 12:30:00 GMT-0800 (PST)"/>
    <n v="2014"/>
    <x v="223"/>
    <x v="2"/>
    <s v="Medium"/>
  </r>
  <r>
    <n v="2011"/>
    <x v="1"/>
    <x v="1"/>
    <x v="126"/>
    <x v="1"/>
    <s v="automatic"/>
    <s v="wbaph5g53bnm82973"/>
    <s v="ca"/>
    <n v="39"/>
    <x v="1875"/>
    <s v="red"/>
    <s v="black"/>
    <s v="financial services remarketing (lease)"/>
    <n v="20500"/>
    <x v="114"/>
    <s v="Thu Dec 18 2014 12:30:00 GMT-0800 (PST)"/>
    <n v="2014"/>
    <x v="223"/>
    <x v="2"/>
    <s v="Medium"/>
  </r>
  <r>
    <n v="2011"/>
    <x v="1"/>
    <x v="1"/>
    <x v="126"/>
    <x v="1"/>
    <s v="automatic"/>
    <s v="wbaph7g5xbnn07962"/>
    <s v="ca"/>
    <n v="39"/>
    <x v="1876"/>
    <s v="gray"/>
    <s v="black"/>
    <s v="financial services remarketing (lease)"/>
    <n v="18300"/>
    <x v="48"/>
    <s v="Thu Jan 15 2015 04:30:00 GMT-0800 (PST)"/>
    <n v="2015"/>
    <x v="223"/>
    <x v="2"/>
    <s v="Low"/>
  </r>
  <r>
    <n v="2011"/>
    <x v="5"/>
    <x v="17"/>
    <x v="227"/>
    <x v="4"/>
    <s v="automatic"/>
    <s v="waubfafm5ba116005"/>
    <s v="ca"/>
    <n v="27"/>
    <x v="1877"/>
    <s v="â€”"/>
    <s v="gray"/>
    <s v="wheels exchange llc"/>
    <n v="16050"/>
    <x v="245"/>
    <s v="Wed Dec 17 2014 12:30:00 GMT-0800 (PST)"/>
    <n v="2014"/>
    <x v="456"/>
    <x v="2"/>
    <s v="Low"/>
  </r>
  <r>
    <n v="2011"/>
    <x v="1"/>
    <x v="16"/>
    <x v="144"/>
    <x v="1"/>
    <s v="automatic"/>
    <s v="wbafu7c58bc875162"/>
    <s v="ca"/>
    <n v="38"/>
    <x v="1878"/>
    <s v="blue"/>
    <s v="â€”"/>
    <s v="financial services remarketing (lease)"/>
    <n v="27200"/>
    <x v="56"/>
    <s v="Thu Dec 18 2014 12:30:00 GMT-0800 (PST)"/>
    <n v="2014"/>
    <x v="251"/>
    <x v="2"/>
    <s v="Medium"/>
  </r>
  <r>
    <n v="2012"/>
    <x v="2"/>
    <x v="2"/>
    <x v="2"/>
    <x v="1"/>
    <s v="automatic"/>
    <s v="yv1622fs4c2085209"/>
    <s v="ca"/>
    <n v="2"/>
    <x v="1879"/>
    <s v="gray"/>
    <s v="black"/>
    <s v="fiserv/usb dealer services northstar exchange"/>
    <n v="14500"/>
    <x v="178"/>
    <s v="Thu Dec 18 2014 12:30:00 GMT-0800 (PST)"/>
    <n v="2014"/>
    <x v="2"/>
    <x v="0"/>
    <s v="Low"/>
  </r>
  <r>
    <n v="2012"/>
    <x v="21"/>
    <x v="227"/>
    <x v="10"/>
    <x v="0"/>
    <s v="automatic"/>
    <s v="wvgav7axxcw001891"/>
    <s v="ca"/>
    <n v="1"/>
    <x v="1880"/>
    <s v="â€”"/>
    <s v="beige"/>
    <s v="vw credit"/>
    <n v="16950"/>
    <x v="187"/>
    <s v="Tue Dec 16 2014 12:00:00 GMT-0800 (PST)"/>
    <n v="2014"/>
    <x v="457"/>
    <x v="0"/>
    <s v="Low"/>
  </r>
  <r>
    <n v="2011"/>
    <x v="1"/>
    <x v="1"/>
    <x v="238"/>
    <x v="1"/>
    <s v="automatic"/>
    <s v="wbapn7c52bf183611"/>
    <s v="ca"/>
    <n v="46"/>
    <x v="1881"/>
    <s v="black"/>
    <s v="black"/>
    <s v="financial services remarketing (lease)"/>
    <n v="21200"/>
    <x v="62"/>
    <s v="Thu Dec 18 2014 12:30:00 GMT-0800 (PST)"/>
    <n v="2014"/>
    <x v="449"/>
    <x v="1"/>
    <s v="Medium"/>
  </r>
  <r>
    <n v="2011"/>
    <x v="1"/>
    <x v="1"/>
    <x v="125"/>
    <x v="2"/>
    <s v="automatic"/>
    <s v="wbadx1c55be570637"/>
    <s v="ca"/>
    <n v="43"/>
    <x v="1882"/>
    <s v="black"/>
    <s v="â€”"/>
    <s v="financial services remarketing (lease)"/>
    <n v="29900"/>
    <x v="1"/>
    <s v="Thu Dec 18 2014 12:30:00 GMT-0800 (PST)"/>
    <n v="2014"/>
    <x v="222"/>
    <x v="1"/>
    <s v="Medium"/>
  </r>
  <r>
    <n v="2011"/>
    <x v="1"/>
    <x v="1"/>
    <x v="126"/>
    <x v="1"/>
    <s v="automatic"/>
    <s v="wbaph5g5xbnm82338"/>
    <s v="ca"/>
    <n v="48"/>
    <x v="1883"/>
    <s v="white"/>
    <s v="beige"/>
    <s v="financial services remarketing (lease)"/>
    <n v="20700"/>
    <x v="73"/>
    <s v="Thu Jan 15 2015 04:30:00 GMT-0800 (PST)"/>
    <n v="2015"/>
    <x v="223"/>
    <x v="1"/>
    <s v="Medium"/>
  </r>
  <r>
    <n v="2011"/>
    <x v="1"/>
    <x v="16"/>
    <x v="129"/>
    <x v="1"/>
    <s v="automatic"/>
    <s v="wbafr7c57bc805654"/>
    <s v="ca"/>
    <n v="46"/>
    <x v="1884"/>
    <s v="black"/>
    <s v="black"/>
    <s v="financial services remarketing (lease)"/>
    <n v="30800"/>
    <x v="196"/>
    <s v="Thu Dec 18 2014 12:30:00 GMT-0800 (PST)"/>
    <n v="2014"/>
    <x v="227"/>
    <x v="1"/>
    <s v="Medium"/>
  </r>
  <r>
    <n v="2012"/>
    <x v="21"/>
    <x v="94"/>
    <x v="107"/>
    <x v="1"/>
    <m/>
    <s v="1vwap7a33cc058461"/>
    <s v="ca"/>
    <n v="29"/>
    <x v="1885"/>
    <s v="gray"/>
    <s v="black"/>
    <s v="gm financial"/>
    <n v="10150"/>
    <x v="263"/>
    <s v="Wed Dec 17 2014 12:30:00 GMT-0800 (PST)"/>
    <n v="2014"/>
    <x v="458"/>
    <x v="2"/>
    <s v="Low"/>
  </r>
  <r>
    <n v="2011"/>
    <x v="1"/>
    <x v="1"/>
    <x v="126"/>
    <x v="2"/>
    <s v="automatic"/>
    <s v="wbadw7c56be728036"/>
    <s v="ca"/>
    <n v="46"/>
    <x v="1886"/>
    <s v="gray"/>
    <s v="black"/>
    <s v="financial services remarketing (lease)"/>
    <n v="25500"/>
    <x v="102"/>
    <s v="Thu Jan 15 2015 04:30:00 GMT-0800 (PST)"/>
    <n v="2015"/>
    <x v="223"/>
    <x v="1"/>
    <s v="Medium"/>
  </r>
  <r>
    <n v="2011"/>
    <x v="1"/>
    <x v="1"/>
    <x v="231"/>
    <x v="1"/>
    <s v="automatic"/>
    <s v="wbapk5c52bf125527"/>
    <s v="ca"/>
    <n v="44"/>
    <x v="1887"/>
    <s v="blue"/>
    <s v="tan"/>
    <s v="financial services remarketing (lease)"/>
    <n v="20500"/>
    <x v="43"/>
    <s v="Thu Dec 18 2014 12:30:00 GMT-0800 (PST)"/>
    <n v="2014"/>
    <x v="438"/>
    <x v="1"/>
    <s v="Medium"/>
  </r>
  <r>
    <n v="2011"/>
    <x v="1"/>
    <x v="1"/>
    <x v="231"/>
    <x v="1"/>
    <s v="automatic"/>
    <s v="wbapk7g55bnn71294"/>
    <s v="ca"/>
    <n v="43"/>
    <x v="1888"/>
    <s v="black"/>
    <s v="black"/>
    <s v="financial services remarketing (lease)"/>
    <n v="20500"/>
    <x v="43"/>
    <s v="Thu Dec 18 2014 12:30:00 GMT-0800 (PST)"/>
    <n v="2014"/>
    <x v="438"/>
    <x v="1"/>
    <s v="Medium"/>
  </r>
  <r>
    <n v="2012"/>
    <x v="2"/>
    <x v="2"/>
    <x v="2"/>
    <x v="1"/>
    <s v="automatic"/>
    <s v="yv1622fs6c2110420"/>
    <s v="ca"/>
    <n v="42"/>
    <x v="1889"/>
    <s v="white"/>
    <s v="black"/>
    <s v="galpin ford studio rentals"/>
    <n v="15500"/>
    <x v="101"/>
    <s v="Tue Dec 16 2014 12:30:00 GMT-0800 (PST)"/>
    <n v="2014"/>
    <x v="2"/>
    <x v="1"/>
    <s v="Low"/>
  </r>
  <r>
    <n v="2011"/>
    <x v="1"/>
    <x v="1"/>
    <x v="126"/>
    <x v="1"/>
    <s v="automatic"/>
    <s v="wbaph7c50be852696"/>
    <s v="ca"/>
    <n v="4"/>
    <x v="1890"/>
    <s v="white"/>
    <s v="black"/>
    <s v="financial services remarketing (lease)"/>
    <n v="19250"/>
    <x v="120"/>
    <s v="Thu Dec 18 2014 12:30:00 GMT-0800 (PST)"/>
    <n v="2014"/>
    <x v="223"/>
    <x v="0"/>
    <s v="Medium"/>
  </r>
  <r>
    <n v="2011"/>
    <x v="1"/>
    <x v="1"/>
    <x v="126"/>
    <x v="1"/>
    <s v="automatic"/>
    <s v="wbaph5g56bnm83213"/>
    <s v="ca"/>
    <n v="47"/>
    <x v="1891"/>
    <s v="white"/>
    <s v="gray"/>
    <s v="financial services remarketing (lease)"/>
    <n v="17300"/>
    <x v="135"/>
    <s v="Thu Dec 18 2014 12:30:00 GMT-0800 (PST)"/>
    <n v="2014"/>
    <x v="223"/>
    <x v="1"/>
    <s v="Low"/>
  </r>
  <r>
    <n v="2012"/>
    <x v="22"/>
    <x v="231"/>
    <x v="5"/>
    <x v="5"/>
    <s v="automatic"/>
    <s v="jtdkn3dp2c3008090"/>
    <s v="ca"/>
    <n v="37"/>
    <x v="1892"/>
    <s v="green"/>
    <s v="gray"/>
    <s v="myrddin fleet services"/>
    <n v="16800"/>
    <x v="136"/>
    <s v="Wed Jan 07 2015 12:30:00 GMT-0800 (PST)"/>
    <n v="2015"/>
    <x v="459"/>
    <x v="2"/>
    <s v="Medium"/>
  </r>
  <r>
    <n v="2012"/>
    <x v="22"/>
    <x v="95"/>
    <x v="89"/>
    <x v="1"/>
    <s v="automatic"/>
    <s v="5yfbu4ee3cp012064"/>
    <s v="ca"/>
    <n v="32"/>
    <x v="1893"/>
    <s v="gray"/>
    <s v="black"/>
    <s v="toyota financial services"/>
    <n v="11450"/>
    <x v="4"/>
    <s v="Wed Dec 17 2014 13:00:00 GMT-0800 (PST)"/>
    <n v="2014"/>
    <x v="147"/>
    <x v="2"/>
    <s v="Low"/>
  </r>
  <r>
    <n v="2011"/>
    <x v="5"/>
    <x v="7"/>
    <x v="227"/>
    <x v="1"/>
    <s v="automatic"/>
    <s v="wauefafl6bn041490"/>
    <s v="ca"/>
    <n v="1"/>
    <x v="1894"/>
    <s v="gray"/>
    <s v="black"/>
    <s v="vw credit"/>
    <n v="16650"/>
    <x v="13"/>
    <s v="Tue Dec 16 2014 12:00:00 GMT-0800 (PST)"/>
    <n v="2014"/>
    <x v="430"/>
    <x v="0"/>
    <s v="Low"/>
  </r>
  <r>
    <n v="2012"/>
    <x v="2"/>
    <x v="96"/>
    <x v="87"/>
    <x v="0"/>
    <s v="automatic"/>
    <s v="yv4940dl8c2329213"/>
    <s v="ca"/>
    <n v="42"/>
    <x v="1895"/>
    <s v="black"/>
    <s v="black"/>
    <s v="volvo na lemon law/world omni"/>
    <n v="19200"/>
    <x v="16"/>
    <s v="Tue Jan 20 2015 04:30:00 GMT-0800 (PST)"/>
    <n v="2015"/>
    <x v="140"/>
    <x v="1"/>
    <s v="Low"/>
  </r>
  <r>
    <n v="2011"/>
    <x v="1"/>
    <x v="1"/>
    <x v="126"/>
    <x v="1"/>
    <s v="automatic"/>
    <s v="wbaph5g51bnm83393"/>
    <s v="ca"/>
    <n v="36"/>
    <x v="1896"/>
    <s v="black"/>
    <s v="black"/>
    <s v="financial services remarketing (lease)"/>
    <n v="19100"/>
    <x v="24"/>
    <s v="Thu Dec 18 2014 12:30:00 GMT-0800 (PST)"/>
    <n v="2014"/>
    <x v="223"/>
    <x v="2"/>
    <s v="Medium"/>
  </r>
  <r>
    <n v="2011"/>
    <x v="1"/>
    <x v="1"/>
    <x v="231"/>
    <x v="1"/>
    <s v="automatic"/>
    <s v="wbapk5g5xbnn81193"/>
    <s v="ca"/>
    <n v="4"/>
    <x v="1897"/>
    <s v="black"/>
    <s v="beige"/>
    <s v="financial services remarketing (lease)"/>
    <n v="21100"/>
    <x v="78"/>
    <s v="Thu Dec 18 2014 12:30:00 GMT-0800 (PST)"/>
    <n v="2014"/>
    <x v="438"/>
    <x v="0"/>
    <s v="Medium"/>
  </r>
  <r>
    <n v="2011"/>
    <x v="6"/>
    <x v="11"/>
    <x v="10"/>
    <x v="1"/>
    <s v="automatic"/>
    <s v="3fahp0ha6br191945"/>
    <s v="ca"/>
    <n v="29"/>
    <x v="1898"/>
    <s v="black"/>
    <s v="black"/>
    <s v="remarketing by ge/manheim southern california"/>
    <n v="7575"/>
    <x v="335"/>
    <s v="Thu Dec 18 2014 12:00:00 GMT-0800 (PST)"/>
    <n v="2014"/>
    <x v="11"/>
    <x v="2"/>
    <s v="Low"/>
  </r>
  <r>
    <n v="2011"/>
    <x v="12"/>
    <x v="45"/>
    <x v="178"/>
    <x v="8"/>
    <s v="automatic"/>
    <s v="jn1dv6apxbm604347"/>
    <s v="ca"/>
    <n v="44"/>
    <x v="1899"/>
    <s v="gray"/>
    <s v="gray"/>
    <s v="nissan infiniti lt"/>
    <n v="16500"/>
    <x v="16"/>
    <s v="Thu Dec 18 2014 12:30:00 GMT-0800 (PST)"/>
    <n v="2014"/>
    <x v="331"/>
    <x v="1"/>
    <s v="Low"/>
  </r>
  <r>
    <n v="2011"/>
    <x v="27"/>
    <x v="169"/>
    <x v="5"/>
    <x v="1"/>
    <s v="automatic"/>
    <s v="2b3cl3cg9bh509325"/>
    <s v="ca"/>
    <n v="2"/>
    <x v="1900"/>
    <s v="gray"/>
    <s v="black"/>
    <s v="tycon enterprises"/>
    <n v="12150"/>
    <x v="259"/>
    <s v="Tue Dec 16 2014 12:30:00 GMT-0800 (PST)"/>
    <n v="2014"/>
    <x v="460"/>
    <x v="0"/>
    <s v="Low"/>
  </r>
  <r>
    <n v="2011"/>
    <x v="12"/>
    <x v="45"/>
    <x v="178"/>
    <x v="8"/>
    <s v="automatic"/>
    <s v="jn1dv6ap5bm830893"/>
    <s v="ca"/>
    <n v="35"/>
    <x v="1901"/>
    <s v="white"/>
    <s v="gray"/>
    <s v="nissan infiniti lt"/>
    <n v="16700"/>
    <x v="16"/>
    <s v="Thu Dec 18 2014 12:30:00 GMT-0800 (PST)"/>
    <n v="2014"/>
    <x v="331"/>
    <x v="2"/>
    <s v="Low"/>
  </r>
  <r>
    <n v="2011"/>
    <x v="12"/>
    <x v="45"/>
    <x v="178"/>
    <x v="8"/>
    <s v="automatic"/>
    <s v="jn1dv6ap6bm604314"/>
    <s v="ca"/>
    <n v="42"/>
    <x v="1902"/>
    <s v="black"/>
    <s v="black"/>
    <s v="nissan infiniti lt"/>
    <n v="17350"/>
    <x v="73"/>
    <s v="Thu Dec 18 2014 12:30:00 GMT-0800 (PST)"/>
    <n v="2014"/>
    <x v="331"/>
    <x v="1"/>
    <s v="Medium"/>
  </r>
  <r>
    <n v="2011"/>
    <x v="12"/>
    <x v="45"/>
    <x v="178"/>
    <x v="8"/>
    <s v="automatic"/>
    <s v="jn1dv6ap5bm604255"/>
    <s v="ca"/>
    <n v="35"/>
    <x v="1903"/>
    <s v="black"/>
    <s v="black"/>
    <s v="nissan infiniti lt"/>
    <n v="17300"/>
    <x v="16"/>
    <s v="Thu Dec 18 2014 12:30:00 GMT-0800 (PST)"/>
    <n v="2014"/>
    <x v="331"/>
    <x v="2"/>
    <s v="Low"/>
  </r>
  <r>
    <n v="2011"/>
    <x v="12"/>
    <x v="45"/>
    <x v="178"/>
    <x v="8"/>
    <s v="automatic"/>
    <s v="jn1dv6ap8bm603696"/>
    <s v="ca"/>
    <n v="36"/>
    <x v="1904"/>
    <s v="black"/>
    <s v="black"/>
    <s v="nissan infiniti lt"/>
    <n v="17550"/>
    <x v="16"/>
    <s v="Thu Dec 18 2014 12:30:00 GMT-0800 (PST)"/>
    <n v="2014"/>
    <x v="331"/>
    <x v="2"/>
    <s v="Low"/>
  </r>
  <r>
    <n v="2011"/>
    <x v="29"/>
    <x v="167"/>
    <x v="38"/>
    <x v="1"/>
    <s v="automatic"/>
    <s v="1c3bc2fb9bn582842"/>
    <s v="ca"/>
    <n v="19"/>
    <x v="1905"/>
    <s v="blue"/>
    <s v="black"/>
    <s v="cig financial"/>
    <n v="8875"/>
    <x v="272"/>
    <s v="Wed Dec 17 2014 12:30:00 GMT-0800 (PST)"/>
    <n v="2014"/>
    <x v="461"/>
    <x v="0"/>
    <s v="Low"/>
  </r>
  <r>
    <n v="2011"/>
    <x v="4"/>
    <x v="171"/>
    <x v="241"/>
    <x v="0"/>
    <s v="automatic"/>
    <s v="2cnaldec1b6444564"/>
    <s v="ca"/>
    <n v="27"/>
    <x v="1906"/>
    <s v="gray"/>
    <s v="gray"/>
    <s v="bank of the west"/>
    <n v="14750"/>
    <x v="161"/>
    <s v="Thu Dec 18 2014 12:00:00 GMT-0800 (PST)"/>
    <n v="2014"/>
    <x v="462"/>
    <x v="2"/>
    <s v="Low"/>
  </r>
  <r>
    <n v="2011"/>
    <x v="6"/>
    <x v="158"/>
    <x v="160"/>
    <x v="0"/>
    <s v="automatic"/>
    <s v="1fmcu0dg4bkb99906"/>
    <s v="ca"/>
    <n v="39"/>
    <x v="1907"/>
    <s v="white"/>
    <s v="beige"/>
    <s v="ge fleet services for itself/servicer"/>
    <n v="7975"/>
    <x v="145"/>
    <s v="Tue Dec 16 2014 12:00:00 GMT-0800 (PST)"/>
    <n v="2014"/>
    <x v="303"/>
    <x v="2"/>
    <s v="Low"/>
  </r>
  <r>
    <n v="2011"/>
    <x v="6"/>
    <x v="165"/>
    <x v="10"/>
    <x v="1"/>
    <s v="automatic"/>
    <s v="3fadp4bj1bm111964"/>
    <s v="ca"/>
    <n v="41"/>
    <x v="1908"/>
    <s v="silver"/>
    <s v="black"/>
    <s v="star ford lincoln"/>
    <n v="6500"/>
    <x v="382"/>
    <s v="Tue Dec 16 2014 12:30:00 GMT-0800 (PST)"/>
    <n v="2014"/>
    <x v="272"/>
    <x v="1"/>
    <s v="Low"/>
  </r>
  <r>
    <n v="2011"/>
    <x v="6"/>
    <x v="159"/>
    <x v="146"/>
    <x v="0"/>
    <s v="automatic"/>
    <s v="2fmdk3jc8bbb61442"/>
    <s v="ca"/>
    <n v="47"/>
    <x v="1909"/>
    <s v="white"/>
    <s v="tan"/>
    <s v="ford motor credit company llc pd"/>
    <n v="18750"/>
    <x v="133"/>
    <s v="Thu Dec 18 2014 12:00:00 GMT-0800 (PST)"/>
    <n v="2014"/>
    <x v="256"/>
    <x v="1"/>
    <s v="Medium"/>
  </r>
  <r>
    <n v="2011"/>
    <x v="1"/>
    <x v="155"/>
    <x v="141"/>
    <x v="0"/>
    <s v="automatic"/>
    <s v="5uxwx5c54blw13930"/>
    <s v="ca"/>
    <n v="41"/>
    <x v="1910"/>
    <s v="brown"/>
    <s v="brown"/>
    <s v="ubs wholesale"/>
    <n v="26300"/>
    <x v="113"/>
    <s v="Thu Dec 18 2014 12:30:00 GMT-0800 (PST)"/>
    <n v="2014"/>
    <x v="248"/>
    <x v="1"/>
    <s v="Medium"/>
  </r>
  <r>
    <n v="2011"/>
    <x v="4"/>
    <x v="42"/>
    <x v="12"/>
    <x v="20"/>
    <s v="automatic"/>
    <s v="1gcrcrea8bz323117"/>
    <s v="ca"/>
    <n v="37"/>
    <x v="1911"/>
    <s v="blue"/>
    <s v="black"/>
    <s v="m and m enterprises"/>
    <n v="11550"/>
    <x v="178"/>
    <s v="Thu Dec 18 2014 12:00:00 GMT-0800 (PST)"/>
    <n v="2014"/>
    <x v="463"/>
    <x v="2"/>
    <s v="Low"/>
  </r>
  <r>
    <n v="2011"/>
    <x v="31"/>
    <x v="191"/>
    <x v="10"/>
    <x v="1"/>
    <s v="automatic"/>
    <s v="1hgcp2f64ba122987"/>
    <s v="ca"/>
    <n v="33"/>
    <x v="1912"/>
    <s v="gray"/>
    <s v="black"/>
    <s v="ahfc/honda lease trust/hvt  inc. eot"/>
    <n v="12450"/>
    <x v="108"/>
    <s v="Thu Dec 18 2014 12:00:00 GMT-0800 (PST)"/>
    <n v="2014"/>
    <x v="328"/>
    <x v="2"/>
    <s v="Low"/>
  </r>
  <r>
    <n v="2011"/>
    <x v="31"/>
    <x v="191"/>
    <x v="0"/>
    <x v="1"/>
    <s v="automatic"/>
    <s v="1hgcp2f32ba077747"/>
    <s v="ca"/>
    <n v="39"/>
    <x v="1913"/>
    <s v="blue"/>
    <s v="black"/>
    <s v="exeter finance corp"/>
    <n v="10800"/>
    <x v="83"/>
    <s v="Thu Dec 18 2014 12:00:00 GMT-0800 (PST)"/>
    <n v="2014"/>
    <x v="330"/>
    <x v="2"/>
    <s v="Low"/>
  </r>
  <r>
    <n v="2011"/>
    <x v="6"/>
    <x v="183"/>
    <x v="158"/>
    <x v="12"/>
    <s v="automatic"/>
    <s v="1fdne1bw5bda95550"/>
    <s v="ca"/>
    <n v="38"/>
    <x v="1914"/>
    <s v="white"/>
    <s v="gray"/>
    <s v="vpsi  inc"/>
    <n v="10950"/>
    <x v="241"/>
    <s v="Wed Dec 17 2014 12:30:00 GMT-0800 (PST)"/>
    <n v="2014"/>
    <x v="464"/>
    <x v="2"/>
    <s v="Low"/>
  </r>
  <r>
    <n v="2011"/>
    <x v="31"/>
    <x v="232"/>
    <x v="5"/>
    <x v="5"/>
    <s v="manual"/>
    <s v="jhmzf1c43bs000087"/>
    <s v="ca"/>
    <n v="27"/>
    <x v="1915"/>
    <s v="black"/>
    <s v="gray"/>
    <s v="jpmorgan chase bank n.a."/>
    <n v="8050"/>
    <x v="96"/>
    <s v="Thu Dec 18 2014 12:00:00 GMT-0800 (PST)"/>
    <n v="2014"/>
    <x v="465"/>
    <x v="2"/>
    <s v="Low"/>
  </r>
  <r>
    <n v="2011"/>
    <x v="6"/>
    <x v="173"/>
    <x v="165"/>
    <x v="18"/>
    <s v="automatic"/>
    <s v="1ftfw1cf3bke02634"/>
    <s v="ca"/>
    <n v="35"/>
    <x v="1916"/>
    <s v="silver"/>
    <s v="black"/>
    <s v="ford motor credit company llc"/>
    <n v="19750"/>
    <x v="288"/>
    <s v="Thu Dec 18 2014 12:00:00 GMT-0800 (PST)"/>
    <n v="2014"/>
    <x v="295"/>
    <x v="2"/>
    <s v="Medium"/>
  </r>
  <r>
    <n v="2011"/>
    <x v="12"/>
    <x v="45"/>
    <x v="178"/>
    <x v="8"/>
    <s v="automatic"/>
    <s v="jn1dv6ap4bm831565"/>
    <s v="ca"/>
    <n v="24"/>
    <x v="1917"/>
    <s v="gray"/>
    <s v="black"/>
    <s v="nissan infiniti lt"/>
    <n v="17200"/>
    <x v="180"/>
    <s v="Tue Dec 16 2014 12:30:00 GMT-0800 (PST)"/>
    <n v="2014"/>
    <x v="331"/>
    <x v="2"/>
    <s v="Low"/>
  </r>
  <r>
    <n v="2011"/>
    <x v="7"/>
    <x v="12"/>
    <x v="41"/>
    <x v="1"/>
    <s v="automatic"/>
    <s v="5npeb4ac3bh259622"/>
    <s v="ca"/>
    <n v="43"/>
    <x v="1918"/>
    <s v="white"/>
    <s v="beige"/>
    <s v="jpmorgan chase bank n.a."/>
    <n v="9575"/>
    <x v="41"/>
    <s v="Thu Dec 18 2014 12:00:00 GMT-0800 (PST)"/>
    <n v="2014"/>
    <x v="56"/>
    <x v="1"/>
    <s v="Low"/>
  </r>
  <r>
    <n v="2011"/>
    <x v="29"/>
    <x v="172"/>
    <x v="242"/>
    <x v="1"/>
    <s v="automatic"/>
    <s v="2c3ca6ct5bh594011"/>
    <s v="ca"/>
    <n v="26"/>
    <x v="1919"/>
    <s v="black"/>
    <s v="black"/>
    <s v="western fcu"/>
    <n v="21500"/>
    <x v="185"/>
    <s v="Wed Dec 17 2014 12:30:00 GMT-0800 (PST)"/>
    <n v="2014"/>
    <x v="466"/>
    <x v="2"/>
    <s v="Medium"/>
  </r>
  <r>
    <n v="2011"/>
    <x v="4"/>
    <x v="29"/>
    <x v="241"/>
    <x v="1"/>
    <s v="automatic"/>
    <s v="1g1zc5eu9bf379693"/>
    <s v="ca"/>
    <n v="31"/>
    <x v="1920"/>
    <s v="silver"/>
    <s v="black"/>
    <s v="dtg operations inc"/>
    <n v="8475"/>
    <x v="74"/>
    <s v="Thu Dec 18 2014 11:30:00 GMT-0800 (PST)"/>
    <n v="2014"/>
    <x v="467"/>
    <x v="2"/>
    <s v="Low"/>
  </r>
  <r>
    <n v="2011"/>
    <x v="27"/>
    <x v="177"/>
    <x v="243"/>
    <x v="11"/>
    <s v="automatic"/>
    <s v="2d4rn4dg4br732845"/>
    <s v="ca"/>
    <n v="25"/>
    <x v="1921"/>
    <s v="white"/>
    <s v="black"/>
    <s v="myrddin fleet services"/>
    <n v="9925"/>
    <x v="116"/>
    <s v="Wed Dec 17 2014 12:30:00 GMT-0800 (PST)"/>
    <n v="2014"/>
    <x v="468"/>
    <x v="2"/>
    <s v="Low"/>
  </r>
  <r>
    <n v="2011"/>
    <x v="12"/>
    <x v="45"/>
    <x v="178"/>
    <x v="8"/>
    <s v="automatic"/>
    <s v="jn1dv6apxbm604378"/>
    <s v="ca"/>
    <n v="34"/>
    <x v="1922"/>
    <s v="gray"/>
    <s v="black"/>
    <s v="nissan infiniti lt"/>
    <n v="17200"/>
    <x v="8"/>
    <s v="Thu Dec 18 2014 12:30:00 GMT-0800 (PST)"/>
    <n v="2014"/>
    <x v="331"/>
    <x v="2"/>
    <s v="Low"/>
  </r>
  <r>
    <n v="2011"/>
    <x v="6"/>
    <x v="11"/>
    <x v="10"/>
    <x v="1"/>
    <s v="automatic"/>
    <s v="3fahp0ha9br274978"/>
    <s v="ca"/>
    <n v="19"/>
    <x v="1923"/>
    <s v="gray"/>
    <s v="gray"/>
    <s v="repo remarketing/schools first fcu"/>
    <n v="7225"/>
    <x v="383"/>
    <s v="Wed Dec 17 2014 12:30:00 GMT-0800 (PST)"/>
    <n v="2014"/>
    <x v="11"/>
    <x v="0"/>
    <s v="Low"/>
  </r>
  <r>
    <n v="2011"/>
    <x v="7"/>
    <x v="47"/>
    <x v="38"/>
    <x v="0"/>
    <s v="automatic"/>
    <s v="5xyzk4ag4bg002299"/>
    <s v="ca"/>
    <n v="39"/>
    <x v="1924"/>
    <s v="white"/>
    <s v="beige"/>
    <s v="hyundai buybacks"/>
    <n v="16350"/>
    <x v="69"/>
    <s v="Tue Dec 16 2014 12:00:00 GMT-0800 (PST)"/>
    <n v="2014"/>
    <x v="52"/>
    <x v="2"/>
    <s v="Low"/>
  </r>
  <r>
    <n v="2011"/>
    <x v="6"/>
    <x v="173"/>
    <x v="244"/>
    <x v="22"/>
    <s v="automatic"/>
    <s v="1ftfx1ef7bke22718"/>
    <s v="ca"/>
    <n v="37"/>
    <x v="1925"/>
    <s v="black"/>
    <s v="black"/>
    <s v="ford motor credit company llc pd"/>
    <n v="26200"/>
    <x v="265"/>
    <s v="Thu Jan 08 2015 12:00:00 GMT-0800 (PST)"/>
    <n v="2015"/>
    <x v="469"/>
    <x v="2"/>
    <s v="Medium"/>
  </r>
  <r>
    <n v="2011"/>
    <x v="12"/>
    <x v="233"/>
    <x v="245"/>
    <x v="0"/>
    <s v="automatic"/>
    <s v="jn1aj0hp8bm801535"/>
    <s v="ca"/>
    <n v="4"/>
    <x v="1926"/>
    <s v="black"/>
    <s v="black"/>
    <s v="nissan infiniti lt"/>
    <n v="20600"/>
    <x v="97"/>
    <s v="Thu Dec 18 2014 12:30:00 GMT-0800 (PST)"/>
    <n v="2014"/>
    <x v="470"/>
    <x v="0"/>
    <s v="Medium"/>
  </r>
  <r>
    <n v="2011"/>
    <x v="1"/>
    <x v="19"/>
    <x v="157"/>
    <x v="0"/>
    <s v="automatic"/>
    <s v="5uxzv8c5xbl420637"/>
    <s v="ca"/>
    <n v="29"/>
    <x v="1927"/>
    <s v="black"/>
    <s v="black"/>
    <s v="financial services remarketing (lease)"/>
    <n v="31700"/>
    <x v="85"/>
    <s v="Tue Dec 16 2014 12:30:00 GMT-0800 (PST)"/>
    <n v="2014"/>
    <x v="278"/>
    <x v="2"/>
    <s v="Medium"/>
  </r>
  <r>
    <n v="2011"/>
    <x v="6"/>
    <x v="159"/>
    <x v="146"/>
    <x v="0"/>
    <s v="automatic"/>
    <s v="2fmdk4jc0bbb51879"/>
    <s v="ca"/>
    <n v="33"/>
    <x v="1928"/>
    <s v="black"/>
    <s v="black"/>
    <s v="ford motor credit company llc pd"/>
    <n v="19500"/>
    <x v="226"/>
    <s v="Thu Dec 18 2014 12:00:00 GMT-0800 (PST)"/>
    <n v="2014"/>
    <x v="256"/>
    <x v="2"/>
    <s v="Medium"/>
  </r>
  <r>
    <n v="2011"/>
    <x v="4"/>
    <x v="23"/>
    <x v="246"/>
    <x v="0"/>
    <s v="automatic"/>
    <s v="1gnscke03br107876"/>
    <s v="ca"/>
    <n v="36"/>
    <x v="1929"/>
    <s v="gray"/>
    <s v="black"/>
    <s v="century dealer services corp"/>
    <n v="22500"/>
    <x v="0"/>
    <s v="Wed Jan 07 2015 12:00:00 GMT-0800 (PST)"/>
    <n v="2015"/>
    <x v="471"/>
    <x v="2"/>
    <s v="Medium"/>
  </r>
  <r>
    <n v="2011"/>
    <x v="6"/>
    <x v="11"/>
    <x v="10"/>
    <x v="1"/>
    <s v="automatic"/>
    <s v="3fahp0ha7br173289"/>
    <s v="ca"/>
    <n v="41"/>
    <x v="1930"/>
    <s v="white"/>
    <s v="beige"/>
    <s v="cig financial"/>
    <n v="7600"/>
    <x v="384"/>
    <s v="Wed Dec 17 2014 12:30:00 GMT-0800 (PST)"/>
    <n v="2014"/>
    <x v="11"/>
    <x v="1"/>
    <s v="Low"/>
  </r>
  <r>
    <n v="2011"/>
    <x v="12"/>
    <x v="45"/>
    <x v="178"/>
    <x v="8"/>
    <s v="automatic"/>
    <s v="jn1dv6ap3bm831640"/>
    <s v="ca"/>
    <n v="37"/>
    <x v="1931"/>
    <s v="gray"/>
    <s v="black"/>
    <s v="nissan infiniti lt"/>
    <n v="17800"/>
    <x v="8"/>
    <s v="Wed Dec 17 2014 12:30:00 GMT-0800 (PST)"/>
    <n v="2014"/>
    <x v="331"/>
    <x v="2"/>
    <s v="Low"/>
  </r>
  <r>
    <n v="2011"/>
    <x v="1"/>
    <x v="19"/>
    <x v="149"/>
    <x v="0"/>
    <s v="automatic"/>
    <s v="5uxzw0c50bl661864"/>
    <s v="ca"/>
    <n v="38"/>
    <x v="1932"/>
    <s v="â€”"/>
    <s v="black"/>
    <s v="financial services remarketing (lease)"/>
    <n v="30300"/>
    <x v="308"/>
    <s v="Thu Dec 18 2014 12:30:00 GMT-0800 (PST)"/>
    <n v="2014"/>
    <x v="262"/>
    <x v="2"/>
    <s v="Medium"/>
  </r>
  <r>
    <n v="2011"/>
    <x v="12"/>
    <x v="45"/>
    <x v="178"/>
    <x v="8"/>
    <s v="automatic"/>
    <s v="jn1dv6ap5bm602778"/>
    <s v="ca"/>
    <n v="36"/>
    <x v="1933"/>
    <s v="blue"/>
    <s v="black"/>
    <s v="nissan infiniti lt"/>
    <n v="16850"/>
    <x v="101"/>
    <s v="Thu Dec 18 2014 12:30:00 GMT-0800 (PST)"/>
    <n v="2014"/>
    <x v="331"/>
    <x v="2"/>
    <s v="Low"/>
  </r>
  <r>
    <n v="2011"/>
    <x v="4"/>
    <x v="163"/>
    <x v="241"/>
    <x v="0"/>
    <s v="automatic"/>
    <s v="1gnkrged4bj239879"/>
    <s v="ca"/>
    <n v="41"/>
    <x v="1934"/>
    <s v="silver"/>
    <s v="black"/>
    <s v="wells fargo dealer services"/>
    <n v="9600"/>
    <x v="123"/>
    <s v="Thu Dec 18 2014 12:00:00 GMT-0800 (PST)"/>
    <n v="2014"/>
    <x v="472"/>
    <x v="1"/>
    <s v="Low"/>
  </r>
  <r>
    <n v="2011"/>
    <x v="7"/>
    <x v="12"/>
    <x v="10"/>
    <x v="1"/>
    <s v="automatic"/>
    <s v="5npec4ac1bh167731"/>
    <s v="ca"/>
    <n v="36"/>
    <x v="1935"/>
    <s v="black"/>
    <s v="black"/>
    <s v="santander consumer"/>
    <n v="11900"/>
    <x v="149"/>
    <s v="Thu Dec 18 2014 12:00:00 GMT-0800 (PST)"/>
    <n v="2014"/>
    <x v="13"/>
    <x v="2"/>
    <s v="Low"/>
  </r>
  <r>
    <n v="2011"/>
    <x v="32"/>
    <x v="234"/>
    <x v="247"/>
    <x v="20"/>
    <s v="automatic"/>
    <s v="1gtr1ve08bz326198"/>
    <s v="ca"/>
    <n v="27"/>
    <x v="1936"/>
    <s v="silver"/>
    <s v="black"/>
    <s v="remarketing by ge/golden 1 credit union"/>
    <n v="19200"/>
    <x v="135"/>
    <s v="Wed Jan 14 2015 04:30:00 GMT-0800 (PST)"/>
    <n v="2015"/>
    <x v="473"/>
    <x v="2"/>
    <s v="Low"/>
  </r>
  <r>
    <n v="2011"/>
    <x v="6"/>
    <x v="193"/>
    <x v="117"/>
    <x v="3"/>
    <s v="automatic"/>
    <s v="1zvbp8am2b5169573"/>
    <s v="ca"/>
    <n v="39"/>
    <x v="1937"/>
    <s v="black"/>
    <s v="black"/>
    <s v="san diego sports cars"/>
    <n v="14250"/>
    <x v="245"/>
    <s v="Wed Dec 17 2014 12:15:00 GMT-0800 (PST)"/>
    <n v="2014"/>
    <x v="332"/>
    <x v="2"/>
    <s v="Low"/>
  </r>
  <r>
    <n v="2011"/>
    <x v="6"/>
    <x v="199"/>
    <x v="186"/>
    <x v="11"/>
    <s v="automatic"/>
    <s v="nm0ls7bn8bt043315"/>
    <s v="ca"/>
    <n v="43"/>
    <x v="1938"/>
    <s v="white"/>
    <s v="gray"/>
    <s v="northwestern chrys/j/d/ge"/>
    <n v="8575"/>
    <x v="254"/>
    <s v="Tue Dec 23 2014 12:30:00 GMT-0800 (PST)"/>
    <n v="2014"/>
    <x v="351"/>
    <x v="1"/>
    <s v="Low"/>
  </r>
  <r>
    <n v="2011"/>
    <x v="12"/>
    <x v="45"/>
    <x v="178"/>
    <x v="8"/>
    <s v="automatic"/>
    <s v="jn1dv6ap2bm831628"/>
    <s v="ca"/>
    <n v="29"/>
    <x v="1939"/>
    <s v="white"/>
    <s v="green"/>
    <s v="nissan infiniti lt"/>
    <n v="17250"/>
    <x v="318"/>
    <s v="Tue Jan 06 2015 04:30:00 GMT-0800 (PST)"/>
    <n v="2015"/>
    <x v="331"/>
    <x v="2"/>
    <s v="Low"/>
  </r>
  <r>
    <n v="2011"/>
    <x v="1"/>
    <x v="151"/>
    <x v="5"/>
    <x v="1"/>
    <s v="automatic"/>
    <s v="wbspm9c54be699016"/>
    <s v="ca"/>
    <n v="24"/>
    <x v="1940"/>
    <s v="gray"/>
    <s v="â€”"/>
    <s v="financial services remarketing (lease)"/>
    <n v="41000"/>
    <x v="378"/>
    <s v="Tue Jan 06 2015 04:30:00 GMT-0800 (PST)"/>
    <n v="2015"/>
    <x v="239"/>
    <x v="2"/>
    <s v="Medium"/>
  </r>
  <r>
    <n v="2011"/>
    <x v="8"/>
    <x v="235"/>
    <x v="248"/>
    <x v="1"/>
    <s v="automatic"/>
    <s v="1g4gc5ed9bf324512"/>
    <s v="ca"/>
    <n v="37"/>
    <x v="1941"/>
    <s v="silver"/>
    <s v="silver"/>
    <s v="wheels exchange llc"/>
    <n v="12350"/>
    <x v="197"/>
    <s v="Wed Dec 17 2014 12:30:00 GMT-0800 (PST)"/>
    <n v="2014"/>
    <x v="474"/>
    <x v="2"/>
    <s v="Low"/>
  </r>
  <r>
    <n v="2011"/>
    <x v="4"/>
    <x v="236"/>
    <x v="12"/>
    <x v="4"/>
    <s v="automatic"/>
    <s v="3gnbaafw6bs543461"/>
    <s v="ca"/>
    <n v="34"/>
    <x v="1942"/>
    <s v="white"/>
    <s v="gray"/>
    <s v="wholesale enterprise inc"/>
    <n v="5075"/>
    <x v="385"/>
    <s v="Tue Dec 16 2014 12:30:00 GMT-0800 (PST)"/>
    <n v="2014"/>
    <x v="475"/>
    <x v="2"/>
    <s v="Low"/>
  </r>
  <r>
    <n v="2011"/>
    <x v="6"/>
    <x v="159"/>
    <x v="10"/>
    <x v="0"/>
    <s v="automatic"/>
    <s v="2fmdk3gc5bba57689"/>
    <s v="ca"/>
    <n v="39"/>
    <x v="1943"/>
    <s v="silver"/>
    <s v="beige"/>
    <s v="remarketing by ge/manheim california"/>
    <n v="15150"/>
    <x v="386"/>
    <s v="Wed Jan 14 2015 04:30:00 GMT-0800 (PST)"/>
    <n v="2015"/>
    <x v="275"/>
    <x v="2"/>
    <s v="Low"/>
  </r>
  <r>
    <n v="2011"/>
    <x v="4"/>
    <x v="15"/>
    <x v="151"/>
    <x v="1"/>
    <s v="automatic"/>
    <s v="2g1wf5ek4b1270994"/>
    <s v="ca"/>
    <n v="35"/>
    <x v="1944"/>
    <s v="white"/>
    <s v="black"/>
    <s v="tdaf remarketing"/>
    <n v="7200"/>
    <x v="385"/>
    <s v="Tue Dec 16 2014 12:30:00 GMT-0800 (PST)"/>
    <n v="2014"/>
    <x v="327"/>
    <x v="2"/>
    <s v="Low"/>
  </r>
  <r>
    <n v="2011"/>
    <x v="6"/>
    <x v="11"/>
    <x v="10"/>
    <x v="1"/>
    <s v="automatic"/>
    <s v="3fahp0ha9br188070"/>
    <s v="ca"/>
    <n v="45"/>
    <x v="1643"/>
    <s v="black"/>
    <s v="black"/>
    <s v="jpmorgan chase bank n.a."/>
    <n v="9950"/>
    <x v="36"/>
    <s v="Thu Dec 18 2014 12:00:00 GMT-0800 (PST)"/>
    <n v="2014"/>
    <x v="11"/>
    <x v="1"/>
    <s v="Low"/>
  </r>
  <r>
    <n v="2011"/>
    <x v="6"/>
    <x v="173"/>
    <x v="249"/>
    <x v="23"/>
    <s v="automatic"/>
    <s v="1ftmf1cm5bkd36514"/>
    <s v="ca"/>
    <n v="39"/>
    <x v="1945"/>
    <s v="red"/>
    <s v="gray"/>
    <s v="lease plan usa"/>
    <n v="11500"/>
    <x v="124"/>
    <s v="Wed Dec 17 2014 12:30:00 GMT-0800 (PST)"/>
    <n v="2014"/>
    <x v="476"/>
    <x v="2"/>
    <s v="Low"/>
  </r>
  <r>
    <n v="2011"/>
    <x v="31"/>
    <x v="191"/>
    <x v="0"/>
    <x v="1"/>
    <s v="automatic"/>
    <s v="1hgcp2f35ba131090"/>
    <s v="ca"/>
    <n v="29"/>
    <x v="1660"/>
    <s v="gray"/>
    <s v="tan"/>
    <s v="ahfc/honda lease trust/hvt  inc. eot"/>
    <n v="10950"/>
    <x v="149"/>
    <s v="Thu Dec 18 2014 12:00:00 GMT-0800 (PST)"/>
    <n v="2014"/>
    <x v="330"/>
    <x v="2"/>
    <s v="Low"/>
  </r>
  <r>
    <n v="2011"/>
    <x v="31"/>
    <x v="191"/>
    <x v="179"/>
    <x v="1"/>
    <s v="automatic"/>
    <s v="1hgcp2f48ba157076"/>
    <s v="ca"/>
    <n v="19"/>
    <x v="1946"/>
    <s v="black"/>
    <s v="beige"/>
    <s v="ahfc/honda lease trust/hvt  inc. eot"/>
    <n v="12700"/>
    <x v="49"/>
    <s v="Tue Dec 30 2014 15:00:00 GMT-0800 (PST)"/>
    <n v="2014"/>
    <x v="333"/>
    <x v="0"/>
    <s v="Low"/>
  </r>
  <r>
    <n v="2011"/>
    <x v="31"/>
    <x v="237"/>
    <x v="183"/>
    <x v="5"/>
    <s v="automatic"/>
    <s v="5j6tf1h50bl000660"/>
    <s v="ca"/>
    <n v="41"/>
    <x v="1947"/>
    <s v="silver"/>
    <s v="black"/>
    <s v="ahfc/honda lease trust/hvt  inc. eot"/>
    <n v="13700"/>
    <x v="173"/>
    <s v="Thu Dec 18 2014 12:00:00 GMT-0800 (PST)"/>
    <n v="2014"/>
    <x v="477"/>
    <x v="1"/>
    <s v="Low"/>
  </r>
  <r>
    <n v="2011"/>
    <x v="6"/>
    <x v="159"/>
    <x v="146"/>
    <x v="0"/>
    <s v="automatic"/>
    <s v="2fmdk3jc7bbb29890"/>
    <s v="ca"/>
    <n v="23"/>
    <x v="1948"/>
    <s v="black"/>
    <s v="tan"/>
    <s v="ford motor credit company llc"/>
    <n v="17800"/>
    <x v="48"/>
    <s v="Thu Dec 18 2014 12:00:00 GMT-0800 (PST)"/>
    <n v="2014"/>
    <x v="256"/>
    <x v="2"/>
    <s v="Low"/>
  </r>
  <r>
    <n v="2011"/>
    <x v="4"/>
    <x v="40"/>
    <x v="13"/>
    <x v="6"/>
    <s v="automatic"/>
    <s v="1gc1kyc8xbf134853"/>
    <s v="ca"/>
    <n v="3"/>
    <x v="1949"/>
    <s v="white"/>
    <s v="beige"/>
    <s v="tradewinds remarketing"/>
    <n v="30300"/>
    <x v="1"/>
    <s v="Tue Dec 16 2014 12:00:00 GMT-0800 (PST)"/>
    <n v="2014"/>
    <x v="478"/>
    <x v="0"/>
    <s v="Medium"/>
  </r>
  <r>
    <n v="2011"/>
    <x v="12"/>
    <x v="45"/>
    <x v="178"/>
    <x v="8"/>
    <s v="automatic"/>
    <s v="jn1dv6ap8bm604248"/>
    <s v="ca"/>
    <n v="35"/>
    <x v="1950"/>
    <s v="black"/>
    <s v="black"/>
    <s v="nissan infiniti lt"/>
    <n v="17050"/>
    <x v="16"/>
    <s v="Thu Dec 18 2014 12:30:00 GMT-0800 (PST)"/>
    <n v="2014"/>
    <x v="331"/>
    <x v="2"/>
    <s v="Low"/>
  </r>
  <r>
    <n v="2011"/>
    <x v="6"/>
    <x v="158"/>
    <x v="160"/>
    <x v="0"/>
    <s v="automatic"/>
    <s v="1fmcu9d74bkc54178"/>
    <s v="ca"/>
    <n v="41"/>
    <x v="1951"/>
    <s v="â€”"/>
    <s v="beige"/>
    <s v="wheels exchange llc"/>
    <n v="12050"/>
    <x v="149"/>
    <s v="Wed Dec 17 2014 12:30:00 GMT-0800 (PST)"/>
    <n v="2014"/>
    <x v="303"/>
    <x v="1"/>
    <s v="Low"/>
  </r>
  <r>
    <n v="2011"/>
    <x v="7"/>
    <x v="12"/>
    <x v="38"/>
    <x v="1"/>
    <s v="automatic"/>
    <s v="5npec4ac1bh273581"/>
    <s v="ca"/>
    <n v="45"/>
    <x v="1952"/>
    <s v="white"/>
    <s v="purple"/>
    <s v="jpmorgan chase bank n.a."/>
    <n v="10950"/>
    <x v="25"/>
    <s v="Thu Dec 18 2014 12:00:00 GMT-0800 (PST)"/>
    <n v="2014"/>
    <x v="59"/>
    <x v="1"/>
    <s v="Low"/>
  </r>
  <r>
    <n v="2011"/>
    <x v="12"/>
    <x v="45"/>
    <x v="178"/>
    <x v="8"/>
    <s v="automatic"/>
    <s v="jn1dv6ap2bm601040"/>
    <s v="ca"/>
    <n v="48"/>
    <x v="1953"/>
    <s v="white"/>
    <s v="gray"/>
    <s v="nissan infiniti lt"/>
    <n v="15700"/>
    <x v="225"/>
    <s v="Thu Dec 18 2014 12:30:00 GMT-0800 (PST)"/>
    <n v="2014"/>
    <x v="331"/>
    <x v="1"/>
    <s v="Low"/>
  </r>
  <r>
    <n v="2011"/>
    <x v="6"/>
    <x v="11"/>
    <x v="10"/>
    <x v="1"/>
    <s v="automatic"/>
    <s v="3fahp0ha6br139926"/>
    <s v="ca"/>
    <m/>
    <x v="1954"/>
    <s v="white"/>
    <s v="beige"/>
    <s v="audi san diego"/>
    <n v="7900"/>
    <x v="272"/>
    <s v="Wed Dec 17 2014 12:45:00 GMT-0800 (PST)"/>
    <n v="2014"/>
    <x v="11"/>
    <x v="0"/>
    <s v="Low"/>
  </r>
  <r>
    <n v="2011"/>
    <x v="4"/>
    <x v="163"/>
    <x v="241"/>
    <x v="0"/>
    <s v="automatic"/>
    <s v="1gnkvged8bj135858"/>
    <s v="ca"/>
    <n v="35"/>
    <x v="1955"/>
    <s v="gray"/>
    <s v="black"/>
    <s v="wells fargo dealer services"/>
    <n v="15550"/>
    <x v="362"/>
    <s v="Tue Dec 30 2014 15:00:00 GMT-0800 (PST)"/>
    <n v="2014"/>
    <x v="472"/>
    <x v="2"/>
    <s v="Low"/>
  </r>
  <r>
    <n v="2011"/>
    <x v="7"/>
    <x v="49"/>
    <x v="40"/>
    <x v="1"/>
    <s v="automatic"/>
    <s v="kmhgh4jf8bu042912"/>
    <s v="ca"/>
    <n v="37"/>
    <x v="1956"/>
    <s v="black"/>
    <s v="black"/>
    <s v="hyundai motor finance"/>
    <n v="25500"/>
    <x v="109"/>
    <s v="Tue Jan 20 2015 04:30:00 GMT-0800 (PST)"/>
    <n v="2015"/>
    <x v="54"/>
    <x v="2"/>
    <s v="Medium"/>
  </r>
  <r>
    <n v="2011"/>
    <x v="1"/>
    <x v="155"/>
    <x v="141"/>
    <x v="0"/>
    <s v="automatic"/>
    <s v="5uxwx5c50bl716424"/>
    <s v="ca"/>
    <n v="47"/>
    <x v="1957"/>
    <s v="white"/>
    <s v="beige"/>
    <s v="financial services remarketing (lease)"/>
    <n v="28400"/>
    <x v="296"/>
    <s v="Thu Dec 18 2014 12:30:00 GMT-0800 (PST)"/>
    <n v="2014"/>
    <x v="248"/>
    <x v="1"/>
    <s v="Medium"/>
  </r>
  <r>
    <n v="2011"/>
    <x v="7"/>
    <x v="12"/>
    <x v="41"/>
    <x v="1"/>
    <s v="automatic"/>
    <s v="5npeb4ac3bh261158"/>
    <s v="ca"/>
    <n v="46"/>
    <x v="1958"/>
    <s v="silver"/>
    <s v="gray"/>
    <s v="hyundai motor finance"/>
    <n v="9975"/>
    <x v="124"/>
    <s v="Tue Dec 16 2014 12:00:00 GMT-0800 (PST)"/>
    <n v="2014"/>
    <x v="56"/>
    <x v="1"/>
    <s v="Low"/>
  </r>
  <r>
    <n v="2011"/>
    <x v="8"/>
    <x v="235"/>
    <x v="250"/>
    <x v="1"/>
    <s v="automatic"/>
    <s v="1g4ge5ed8bf296535"/>
    <s v="ca"/>
    <n v="37"/>
    <x v="1959"/>
    <s v="black"/>
    <s v="black"/>
    <s v="fiserv/usb dealer services northstar exchange"/>
    <n v="18100"/>
    <x v="130"/>
    <s v="Tue Dec 16 2014 12:30:00 GMT-0800 (PST)"/>
    <n v="2014"/>
    <x v="479"/>
    <x v="2"/>
    <s v="Medium"/>
  </r>
  <r>
    <n v="2011"/>
    <x v="7"/>
    <x v="32"/>
    <x v="41"/>
    <x v="1"/>
    <s v="automatic"/>
    <s v="5npdh4ae6bh029522"/>
    <s v="ca"/>
    <n v="19"/>
    <x v="1960"/>
    <s v="white"/>
    <s v="tan"/>
    <s v="hyundai motor finance"/>
    <n v="6350"/>
    <x v="383"/>
    <s v="Tue Dec 16 2014 12:00:00 GMT-0800 (PST)"/>
    <n v="2014"/>
    <x v="55"/>
    <x v="0"/>
    <s v="Low"/>
  </r>
  <r>
    <n v="2011"/>
    <x v="12"/>
    <x v="45"/>
    <x v="178"/>
    <x v="8"/>
    <s v="automatic"/>
    <s v="jn1dv6ap0bm604356"/>
    <s v="ca"/>
    <n v="34"/>
    <x v="1961"/>
    <s v="black"/>
    <s v="black"/>
    <s v="nissan infiniti lt"/>
    <n v="17300"/>
    <x v="16"/>
    <s v="Thu Dec 18 2014 12:30:00 GMT-0800 (PST)"/>
    <n v="2014"/>
    <x v="331"/>
    <x v="2"/>
    <s v="Low"/>
  </r>
  <r>
    <n v="2011"/>
    <x v="31"/>
    <x v="192"/>
    <x v="0"/>
    <x v="0"/>
    <s v="automatic"/>
    <s v="5j6re3h39bl060928"/>
    <s v="ca"/>
    <n v="22"/>
    <x v="1962"/>
    <s v="gray"/>
    <s v="gray"/>
    <s v="ahfc/honda lease trust/hvt  inc. eot"/>
    <n v="13450"/>
    <x v="149"/>
    <s v="Thu Jan 15 2015 04:00:00 GMT-0800 (PST)"/>
    <n v="2015"/>
    <x v="480"/>
    <x v="2"/>
    <s v="Low"/>
  </r>
  <r>
    <m/>
    <x v="26"/>
    <x v="36"/>
    <x v="121"/>
    <x v="12"/>
    <m/>
    <m/>
    <m/>
    <m/>
    <x v="1963"/>
    <m/>
    <m/>
    <m/>
    <m/>
    <x v="387"/>
    <m/>
    <m/>
    <x v="481"/>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FDA8E-A863-427F-AF5A-001359215A8A}"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20">
    <pivotField showAll="0"/>
    <pivotField showAll="0">
      <items count="36">
        <item x="10"/>
        <item x="5"/>
        <item x="1"/>
        <item x="8"/>
        <item x="9"/>
        <item x="4"/>
        <item x="29"/>
        <item x="27"/>
        <item x="30"/>
        <item x="28"/>
        <item x="6"/>
        <item x="32"/>
        <item x="31"/>
        <item x="7"/>
        <item x="12"/>
        <item x="20"/>
        <item x="13"/>
        <item x="0"/>
        <item x="18"/>
        <item x="11"/>
        <item x="19"/>
        <item x="16"/>
        <item x="14"/>
        <item x="17"/>
        <item x="15"/>
        <item x="3"/>
        <item x="25"/>
        <item x="33"/>
        <item x="24"/>
        <item x="34"/>
        <item x="23"/>
        <item x="22"/>
        <item x="21"/>
        <item x="2"/>
        <item x="26"/>
        <item t="default"/>
      </items>
    </pivotField>
    <pivotField showAll="0">
      <items count="239">
        <item x="167"/>
        <item x="172"/>
        <item x="166"/>
        <item x="120"/>
        <item x="220"/>
        <item x="222"/>
        <item x="144"/>
        <item x="1"/>
        <item x="65"/>
        <item x="39"/>
        <item x="130"/>
        <item x="16"/>
        <item x="225"/>
        <item x="14"/>
        <item x="3"/>
        <item x="143"/>
        <item x="141"/>
        <item x="146"/>
        <item x="17"/>
        <item x="7"/>
        <item x="149"/>
        <item x="9"/>
        <item x="148"/>
        <item x="34"/>
        <item x="51"/>
        <item x="191"/>
        <item x="237"/>
        <item x="4"/>
        <item x="133"/>
        <item x="111"/>
        <item x="156"/>
        <item x="54"/>
        <item x="110"/>
        <item x="125"/>
        <item x="188"/>
        <item x="8"/>
        <item x="105"/>
        <item x="126"/>
        <item x="175"/>
        <item x="119"/>
        <item x="103"/>
        <item x="61"/>
        <item x="169"/>
        <item x="194"/>
        <item x="186"/>
        <item x="76"/>
        <item x="73"/>
        <item x="72"/>
        <item x="91"/>
        <item x="152"/>
        <item x="95"/>
        <item x="198"/>
        <item x="6"/>
        <item x="192"/>
        <item x="232"/>
        <item x="210"/>
        <item x="178"/>
        <item x="128"/>
        <item x="74"/>
        <item x="183"/>
        <item x="170"/>
        <item x="70"/>
        <item x="159"/>
        <item x="32"/>
        <item x="53"/>
        <item x="24"/>
        <item x="37"/>
        <item x="171"/>
        <item x="49"/>
        <item x="69"/>
        <item x="176"/>
        <item x="189"/>
        <item x="158"/>
        <item x="180"/>
        <item x="157"/>
        <item x="233"/>
        <item x="185"/>
        <item x="174"/>
        <item x="187"/>
        <item x="182"/>
        <item x="173"/>
        <item x="164"/>
        <item x="165"/>
        <item x="195"/>
        <item x="109"/>
        <item x="161"/>
        <item x="160"/>
        <item x="138"/>
        <item x="75"/>
        <item x="223"/>
        <item x="124"/>
        <item x="112"/>
        <item x="11"/>
        <item x="46"/>
        <item x="202"/>
        <item x="44"/>
        <item x="45"/>
        <item x="219"/>
        <item x="48"/>
        <item x="56"/>
        <item x="89"/>
        <item x="224"/>
        <item x="83"/>
        <item x="177"/>
        <item x="85"/>
        <item x="59"/>
        <item x="228"/>
        <item x="221"/>
        <item x="236"/>
        <item x="139"/>
        <item x="230"/>
        <item x="27"/>
        <item x="15"/>
        <item x="140"/>
        <item x="108"/>
        <item x="207"/>
        <item x="217"/>
        <item x="107"/>
        <item x="129"/>
        <item x="168"/>
        <item x="98"/>
        <item x="77"/>
        <item x="28"/>
        <item x="235"/>
        <item x="92"/>
        <item x="104"/>
        <item x="132"/>
        <item x="206"/>
        <item x="79"/>
        <item x="82"/>
        <item x="64"/>
        <item x="151"/>
        <item x="5"/>
        <item x="29"/>
        <item x="118"/>
        <item x="62"/>
        <item x="71"/>
        <item x="80"/>
        <item x="211"/>
        <item x="90"/>
        <item x="41"/>
        <item x="87"/>
        <item x="86"/>
        <item x="212"/>
        <item x="135"/>
        <item x="193"/>
        <item x="213"/>
        <item x="102"/>
        <item x="113"/>
        <item x="197"/>
        <item x="10"/>
        <item x="60"/>
        <item x="67"/>
        <item x="137"/>
        <item x="94"/>
        <item x="136"/>
        <item x="218"/>
        <item x="196"/>
        <item x="122"/>
        <item x="231"/>
        <item x="13"/>
        <item x="229"/>
        <item x="115"/>
        <item x="209"/>
        <item x="154"/>
        <item x="214"/>
        <item x="81"/>
        <item x="93"/>
        <item x="114"/>
        <item x="150"/>
        <item x="63"/>
        <item x="101"/>
        <item x="30"/>
        <item x="78"/>
        <item x="147"/>
        <item x="21"/>
        <item x="2"/>
        <item x="123"/>
        <item x="47"/>
        <item x="58"/>
        <item x="216"/>
        <item x="100"/>
        <item x="131"/>
        <item x="97"/>
        <item x="234"/>
        <item x="42"/>
        <item x="40"/>
        <item x="215"/>
        <item x="68"/>
        <item x="12"/>
        <item x="50"/>
        <item x="190"/>
        <item x="0"/>
        <item x="66"/>
        <item x="84"/>
        <item x="20"/>
        <item x="43"/>
        <item x="23"/>
        <item x="106"/>
        <item x="201"/>
        <item x="117"/>
        <item x="200"/>
        <item x="227"/>
        <item x="145"/>
        <item x="179"/>
        <item x="199"/>
        <item x="163"/>
        <item x="142"/>
        <item x="38"/>
        <item x="55"/>
        <item x="116"/>
        <item x="25"/>
        <item x="52"/>
        <item x="134"/>
        <item x="204"/>
        <item x="22"/>
        <item x="31"/>
        <item x="33"/>
        <item x="181"/>
        <item x="57"/>
        <item x="35"/>
        <item x="155"/>
        <item x="19"/>
        <item x="184"/>
        <item x="26"/>
        <item x="127"/>
        <item x="96"/>
        <item x="18"/>
        <item x="226"/>
        <item x="88"/>
        <item x="205"/>
        <item x="208"/>
        <item x="121"/>
        <item x="99"/>
        <item x="203"/>
        <item x="162"/>
        <item x="153"/>
        <item x="36"/>
        <item t="default"/>
      </items>
    </pivotField>
    <pivotField showAll="0">
      <items count="252">
        <item x="208"/>
        <item x="51"/>
        <item x="87"/>
        <item x="47"/>
        <item x="220"/>
        <item x="181"/>
        <item x="168"/>
        <item x="59"/>
        <item x="225"/>
        <item x="97"/>
        <item x="24"/>
        <item x="25"/>
        <item x="209"/>
        <item x="106"/>
        <item x="15"/>
        <item x="135"/>
        <item x="127"/>
        <item x="91"/>
        <item x="6"/>
        <item x="173"/>
        <item x="116"/>
        <item x="227"/>
        <item x="7"/>
        <item x="134"/>
        <item x="235"/>
        <item x="4"/>
        <item x="223"/>
        <item x="111"/>
        <item x="98"/>
        <item x="115"/>
        <item x="216"/>
        <item x="171"/>
        <item x="11"/>
        <item x="18"/>
        <item x="123"/>
        <item x="9"/>
        <item x="234"/>
        <item x="142"/>
        <item x="110"/>
        <item x="96"/>
        <item x="102"/>
        <item x="48"/>
        <item x="126"/>
        <item x="1"/>
        <item x="231"/>
        <item x="238"/>
        <item x="133"/>
        <item x="240"/>
        <item x="125"/>
        <item x="212"/>
        <item x="140"/>
        <item x="31"/>
        <item x="39"/>
        <item x="14"/>
        <item x="131"/>
        <item x="34"/>
        <item x="129"/>
        <item x="144"/>
        <item x="138"/>
        <item x="128"/>
        <item x="3"/>
        <item x="139"/>
        <item x="124"/>
        <item x="130"/>
        <item x="137"/>
        <item x="28"/>
        <item x="33"/>
        <item x="163"/>
        <item x="228"/>
        <item x="77"/>
        <item x="5"/>
        <item x="239"/>
        <item x="214"/>
        <item x="242"/>
        <item x="161"/>
        <item x="53"/>
        <item x="56"/>
        <item x="82"/>
        <item x="186"/>
        <item x="103"/>
        <item x="219"/>
        <item x="20"/>
        <item x="176"/>
        <item x="248"/>
        <item x="250"/>
        <item x="190"/>
        <item x="166"/>
        <item x="84"/>
        <item x="192"/>
        <item x="221"/>
        <item x="62"/>
        <item x="75"/>
        <item x="172"/>
        <item x="145"/>
        <item x="169"/>
        <item x="85"/>
        <item x="69"/>
        <item x="50"/>
        <item x="182"/>
        <item x="245"/>
        <item x="183"/>
        <item x="184"/>
        <item x="243"/>
        <item x="207"/>
        <item x="108"/>
        <item x="119"/>
        <item x="165"/>
        <item x="189"/>
        <item x="37"/>
        <item x="244"/>
        <item x="178"/>
        <item x="188"/>
        <item x="36"/>
        <item x="35"/>
        <item x="67"/>
        <item x="78"/>
        <item x="73"/>
        <item x="41"/>
        <item x="45"/>
        <item x="185"/>
        <item x="191"/>
        <item x="200"/>
        <item x="68"/>
        <item x="167"/>
        <item x="196"/>
        <item x="70"/>
        <item x="63"/>
        <item x="65"/>
        <item x="66"/>
        <item x="202"/>
        <item x="72"/>
        <item x="26"/>
        <item x="197"/>
        <item x="152"/>
        <item x="64"/>
        <item x="60"/>
        <item x="88"/>
        <item x="29"/>
        <item x="38"/>
        <item x="12"/>
        <item x="174"/>
        <item x="151"/>
        <item x="8"/>
        <item x="150"/>
        <item x="241"/>
        <item x="13"/>
        <item x="246"/>
        <item x="162"/>
        <item x="237"/>
        <item x="23"/>
        <item x="0"/>
        <item x="179"/>
        <item x="180"/>
        <item x="198"/>
        <item x="58"/>
        <item x="206"/>
        <item x="79"/>
        <item x="215"/>
        <item x="222"/>
        <item x="224"/>
        <item x="226"/>
        <item x="177"/>
        <item x="199"/>
        <item x="164"/>
        <item x="19"/>
        <item x="132"/>
        <item x="95"/>
        <item x="112"/>
        <item x="76"/>
        <item x="71"/>
        <item x="80"/>
        <item x="232"/>
        <item x="30"/>
        <item x="194"/>
        <item x="210"/>
        <item x="81"/>
        <item x="92"/>
        <item x="89"/>
        <item x="201"/>
        <item x="113"/>
        <item x="107"/>
        <item x="114"/>
        <item x="204"/>
        <item x="159"/>
        <item x="218"/>
        <item x="52"/>
        <item x="27"/>
        <item x="17"/>
        <item x="10"/>
        <item x="86"/>
        <item x="146"/>
        <item x="153"/>
        <item x="230"/>
        <item x="40"/>
        <item x="93"/>
        <item x="203"/>
        <item x="247"/>
        <item x="187"/>
        <item x="61"/>
        <item x="217"/>
        <item x="136"/>
        <item x="42"/>
        <item x="43"/>
        <item x="233"/>
        <item x="90"/>
        <item x="109"/>
        <item x="156"/>
        <item x="211"/>
        <item x="118"/>
        <item x="249"/>
        <item x="205"/>
        <item x="83"/>
        <item x="105"/>
        <item x="54"/>
        <item x="155"/>
        <item x="2"/>
        <item x="16"/>
        <item x="100"/>
        <item x="236"/>
        <item x="120"/>
        <item x="143"/>
        <item x="22"/>
        <item x="229"/>
        <item x="148"/>
        <item x="57"/>
        <item x="101"/>
        <item x="44"/>
        <item x="104"/>
        <item x="46"/>
        <item x="49"/>
        <item x="55"/>
        <item x="74"/>
        <item x="117"/>
        <item x="170"/>
        <item x="158"/>
        <item x="99"/>
        <item x="32"/>
        <item x="213"/>
        <item x="122"/>
        <item x="141"/>
        <item x="149"/>
        <item x="21"/>
        <item x="147"/>
        <item x="157"/>
        <item x="195"/>
        <item x="193"/>
        <item x="175"/>
        <item x="94"/>
        <item x="154"/>
        <item x="160"/>
        <item x="121"/>
        <item t="default"/>
      </items>
    </pivotField>
    <pivotField axis="axisRow" dataField="1" showAll="0" measureFilter="1">
      <items count="28">
        <item x="16"/>
        <item x="2"/>
        <item x="3"/>
        <item x="6"/>
        <item x="15"/>
        <item x="19"/>
        <item x="14"/>
        <item x="9"/>
        <item x="21"/>
        <item x="20"/>
        <item x="24"/>
        <item x="7"/>
        <item x="8"/>
        <item x="10"/>
        <item x="5"/>
        <item x="17"/>
        <item x="25"/>
        <item x="11"/>
        <item x="26"/>
        <item x="23"/>
        <item x="1"/>
        <item x="22"/>
        <item x="18"/>
        <item x="0"/>
        <item x="13"/>
        <item x="4"/>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v="1"/>
    </i>
    <i>
      <x v="12"/>
    </i>
    <i>
      <x v="14"/>
    </i>
    <i>
      <x v="20"/>
    </i>
    <i>
      <x v="23"/>
    </i>
    <i t="grand">
      <x/>
    </i>
  </rowItems>
  <colItems count="1">
    <i/>
  </colItems>
  <dataFields count="1">
    <dataField name="Count of body" fld="4" subtotal="count" baseField="0" baseItem="0"/>
  </dataFields>
  <pivotTableStyleInfo name="PivotStyleLight21" showRowHeaders="1" showColHeaders="1" showRowStripes="0" showColStripes="0" showLastColumn="1"/>
  <filters count="1">
    <filter fld="4"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84AFA2-DC66-44B7-A661-A84B1F9E3BEE}"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20">
    <pivotField showAll="0"/>
    <pivotField showAll="0">
      <items count="36">
        <item x="10"/>
        <item x="5"/>
        <item x="1"/>
        <item x="8"/>
        <item x="9"/>
        <item x="4"/>
        <item x="29"/>
        <item x="27"/>
        <item x="30"/>
        <item x="28"/>
        <item x="6"/>
        <item x="32"/>
        <item x="31"/>
        <item x="7"/>
        <item x="12"/>
        <item x="20"/>
        <item x="13"/>
        <item x="0"/>
        <item x="18"/>
        <item x="11"/>
        <item x="19"/>
        <item x="16"/>
        <item x="14"/>
        <item x="17"/>
        <item x="15"/>
        <item x="3"/>
        <item x="25"/>
        <item x="33"/>
        <item x="24"/>
        <item x="34"/>
        <item x="23"/>
        <item x="22"/>
        <item x="21"/>
        <item x="2"/>
        <item x="26"/>
        <item t="default"/>
      </items>
    </pivotField>
    <pivotField showAll="0">
      <items count="239">
        <item x="167"/>
        <item x="172"/>
        <item x="166"/>
        <item x="120"/>
        <item x="220"/>
        <item x="222"/>
        <item x="144"/>
        <item x="1"/>
        <item x="65"/>
        <item x="39"/>
        <item x="130"/>
        <item x="16"/>
        <item x="225"/>
        <item x="14"/>
        <item x="3"/>
        <item x="143"/>
        <item x="141"/>
        <item x="146"/>
        <item x="17"/>
        <item x="7"/>
        <item x="149"/>
        <item x="9"/>
        <item x="148"/>
        <item x="34"/>
        <item x="51"/>
        <item x="191"/>
        <item x="237"/>
        <item x="4"/>
        <item x="133"/>
        <item x="111"/>
        <item x="156"/>
        <item x="54"/>
        <item x="110"/>
        <item x="125"/>
        <item x="188"/>
        <item x="8"/>
        <item x="105"/>
        <item x="126"/>
        <item x="175"/>
        <item x="119"/>
        <item x="103"/>
        <item x="61"/>
        <item x="169"/>
        <item x="194"/>
        <item x="186"/>
        <item x="76"/>
        <item x="73"/>
        <item x="72"/>
        <item x="91"/>
        <item x="152"/>
        <item x="95"/>
        <item x="198"/>
        <item x="6"/>
        <item x="192"/>
        <item x="232"/>
        <item x="210"/>
        <item x="178"/>
        <item x="128"/>
        <item x="74"/>
        <item x="183"/>
        <item x="170"/>
        <item x="70"/>
        <item x="159"/>
        <item x="32"/>
        <item x="53"/>
        <item x="24"/>
        <item x="37"/>
        <item x="171"/>
        <item x="49"/>
        <item x="69"/>
        <item x="176"/>
        <item x="189"/>
        <item x="158"/>
        <item x="180"/>
        <item x="157"/>
        <item x="233"/>
        <item x="185"/>
        <item x="174"/>
        <item x="187"/>
        <item x="182"/>
        <item x="173"/>
        <item x="164"/>
        <item x="165"/>
        <item x="195"/>
        <item x="109"/>
        <item x="161"/>
        <item x="160"/>
        <item x="138"/>
        <item x="75"/>
        <item x="223"/>
        <item x="124"/>
        <item x="112"/>
        <item x="11"/>
        <item x="46"/>
        <item x="202"/>
        <item x="44"/>
        <item x="45"/>
        <item x="219"/>
        <item x="48"/>
        <item x="56"/>
        <item x="89"/>
        <item x="224"/>
        <item x="83"/>
        <item x="177"/>
        <item x="85"/>
        <item x="59"/>
        <item x="228"/>
        <item x="221"/>
        <item x="236"/>
        <item x="139"/>
        <item x="230"/>
        <item x="27"/>
        <item x="15"/>
        <item x="140"/>
        <item x="108"/>
        <item x="207"/>
        <item x="217"/>
        <item x="107"/>
        <item x="129"/>
        <item x="168"/>
        <item x="98"/>
        <item x="77"/>
        <item x="28"/>
        <item x="235"/>
        <item x="92"/>
        <item x="104"/>
        <item x="132"/>
        <item x="206"/>
        <item x="79"/>
        <item x="82"/>
        <item x="64"/>
        <item x="151"/>
        <item x="5"/>
        <item x="29"/>
        <item x="118"/>
        <item x="62"/>
        <item x="71"/>
        <item x="80"/>
        <item x="211"/>
        <item x="90"/>
        <item x="41"/>
        <item x="87"/>
        <item x="86"/>
        <item x="212"/>
        <item x="135"/>
        <item x="193"/>
        <item x="213"/>
        <item x="102"/>
        <item x="113"/>
        <item x="197"/>
        <item x="10"/>
        <item x="60"/>
        <item x="67"/>
        <item x="137"/>
        <item x="94"/>
        <item x="136"/>
        <item x="218"/>
        <item x="196"/>
        <item x="122"/>
        <item x="231"/>
        <item x="13"/>
        <item x="229"/>
        <item x="115"/>
        <item x="209"/>
        <item x="154"/>
        <item x="214"/>
        <item x="81"/>
        <item x="93"/>
        <item x="114"/>
        <item x="150"/>
        <item x="63"/>
        <item x="101"/>
        <item x="30"/>
        <item x="78"/>
        <item x="147"/>
        <item x="21"/>
        <item x="2"/>
        <item x="123"/>
        <item x="47"/>
        <item x="58"/>
        <item x="216"/>
        <item x="100"/>
        <item x="131"/>
        <item x="97"/>
        <item x="234"/>
        <item x="42"/>
        <item x="40"/>
        <item x="215"/>
        <item x="68"/>
        <item x="12"/>
        <item x="50"/>
        <item x="190"/>
        <item x="0"/>
        <item x="66"/>
        <item x="84"/>
        <item x="20"/>
        <item x="43"/>
        <item x="23"/>
        <item x="106"/>
        <item x="201"/>
        <item x="117"/>
        <item x="200"/>
        <item x="227"/>
        <item x="145"/>
        <item x="179"/>
        <item x="199"/>
        <item x="163"/>
        <item x="142"/>
        <item x="38"/>
        <item x="55"/>
        <item x="116"/>
        <item x="25"/>
        <item x="52"/>
        <item x="134"/>
        <item x="204"/>
        <item x="22"/>
        <item x="31"/>
        <item x="33"/>
        <item x="181"/>
        <item x="57"/>
        <item x="35"/>
        <item x="155"/>
        <item x="19"/>
        <item x="184"/>
        <item x="26"/>
        <item x="127"/>
        <item x="96"/>
        <item x="18"/>
        <item x="226"/>
        <item x="88"/>
        <item x="205"/>
        <item x="208"/>
        <item x="121"/>
        <item x="99"/>
        <item x="203"/>
        <item x="162"/>
        <item x="153"/>
        <item x="36"/>
        <item t="default"/>
      </items>
    </pivotField>
    <pivotField axis="axisRow" dataField="1" showAll="0" measureFilter="1">
      <items count="252">
        <item x="208"/>
        <item x="51"/>
        <item x="87"/>
        <item x="47"/>
        <item x="220"/>
        <item x="181"/>
        <item x="168"/>
        <item x="59"/>
        <item x="225"/>
        <item x="97"/>
        <item x="24"/>
        <item x="25"/>
        <item x="209"/>
        <item x="106"/>
        <item x="15"/>
        <item x="135"/>
        <item x="127"/>
        <item x="91"/>
        <item x="6"/>
        <item x="173"/>
        <item x="116"/>
        <item x="227"/>
        <item x="7"/>
        <item x="134"/>
        <item x="235"/>
        <item x="4"/>
        <item x="223"/>
        <item x="111"/>
        <item x="98"/>
        <item x="115"/>
        <item x="216"/>
        <item x="171"/>
        <item x="11"/>
        <item x="18"/>
        <item x="123"/>
        <item x="9"/>
        <item x="234"/>
        <item x="142"/>
        <item x="110"/>
        <item x="96"/>
        <item x="102"/>
        <item x="48"/>
        <item x="126"/>
        <item x="1"/>
        <item x="231"/>
        <item x="238"/>
        <item x="133"/>
        <item x="240"/>
        <item x="125"/>
        <item x="212"/>
        <item x="140"/>
        <item x="31"/>
        <item x="39"/>
        <item x="14"/>
        <item x="131"/>
        <item x="34"/>
        <item x="129"/>
        <item x="144"/>
        <item x="138"/>
        <item x="128"/>
        <item x="3"/>
        <item x="139"/>
        <item x="124"/>
        <item x="130"/>
        <item x="137"/>
        <item x="28"/>
        <item x="33"/>
        <item x="163"/>
        <item x="228"/>
        <item x="77"/>
        <item x="5"/>
        <item x="239"/>
        <item x="214"/>
        <item x="242"/>
        <item x="161"/>
        <item x="53"/>
        <item x="56"/>
        <item x="82"/>
        <item x="186"/>
        <item x="103"/>
        <item x="219"/>
        <item x="20"/>
        <item x="176"/>
        <item x="248"/>
        <item x="250"/>
        <item x="190"/>
        <item x="166"/>
        <item x="84"/>
        <item x="192"/>
        <item x="221"/>
        <item x="62"/>
        <item x="75"/>
        <item x="172"/>
        <item x="145"/>
        <item x="169"/>
        <item x="85"/>
        <item x="69"/>
        <item x="50"/>
        <item x="182"/>
        <item x="245"/>
        <item x="183"/>
        <item x="184"/>
        <item x="243"/>
        <item x="207"/>
        <item x="108"/>
        <item x="119"/>
        <item x="165"/>
        <item x="189"/>
        <item x="37"/>
        <item x="244"/>
        <item x="178"/>
        <item x="188"/>
        <item x="36"/>
        <item x="35"/>
        <item x="67"/>
        <item x="78"/>
        <item x="73"/>
        <item x="41"/>
        <item x="45"/>
        <item x="185"/>
        <item x="191"/>
        <item x="200"/>
        <item x="68"/>
        <item x="167"/>
        <item x="196"/>
        <item x="70"/>
        <item x="63"/>
        <item x="65"/>
        <item x="66"/>
        <item x="202"/>
        <item x="72"/>
        <item x="26"/>
        <item x="197"/>
        <item x="152"/>
        <item x="64"/>
        <item x="60"/>
        <item x="88"/>
        <item x="29"/>
        <item x="38"/>
        <item x="12"/>
        <item x="174"/>
        <item x="151"/>
        <item x="8"/>
        <item x="150"/>
        <item x="241"/>
        <item x="13"/>
        <item x="246"/>
        <item x="162"/>
        <item x="237"/>
        <item x="23"/>
        <item x="0"/>
        <item x="179"/>
        <item x="180"/>
        <item x="198"/>
        <item x="58"/>
        <item x="206"/>
        <item x="79"/>
        <item x="215"/>
        <item x="222"/>
        <item x="224"/>
        <item x="226"/>
        <item x="177"/>
        <item x="199"/>
        <item x="164"/>
        <item x="19"/>
        <item x="132"/>
        <item x="95"/>
        <item x="112"/>
        <item x="76"/>
        <item x="71"/>
        <item x="80"/>
        <item x="232"/>
        <item x="30"/>
        <item x="194"/>
        <item x="210"/>
        <item x="81"/>
        <item x="92"/>
        <item x="89"/>
        <item x="201"/>
        <item x="113"/>
        <item x="107"/>
        <item x="114"/>
        <item x="204"/>
        <item x="159"/>
        <item x="218"/>
        <item x="52"/>
        <item x="27"/>
        <item x="17"/>
        <item x="10"/>
        <item x="86"/>
        <item x="146"/>
        <item x="153"/>
        <item x="230"/>
        <item x="40"/>
        <item x="93"/>
        <item x="203"/>
        <item x="247"/>
        <item x="187"/>
        <item x="61"/>
        <item x="217"/>
        <item x="136"/>
        <item x="42"/>
        <item x="43"/>
        <item x="233"/>
        <item x="90"/>
        <item x="109"/>
        <item x="156"/>
        <item x="211"/>
        <item x="118"/>
        <item x="249"/>
        <item x="205"/>
        <item x="83"/>
        <item x="105"/>
        <item x="54"/>
        <item x="155"/>
        <item x="2"/>
        <item x="16"/>
        <item x="100"/>
        <item x="236"/>
        <item x="120"/>
        <item x="143"/>
        <item x="22"/>
        <item x="229"/>
        <item x="148"/>
        <item x="57"/>
        <item x="101"/>
        <item x="44"/>
        <item x="104"/>
        <item x="46"/>
        <item x="49"/>
        <item x="55"/>
        <item x="74"/>
        <item x="117"/>
        <item x="170"/>
        <item x="158"/>
        <item x="99"/>
        <item x="32"/>
        <item x="213"/>
        <item x="122"/>
        <item x="141"/>
        <item x="149"/>
        <item x="21"/>
        <item x="147"/>
        <item x="157"/>
        <item x="195"/>
        <item x="193"/>
        <item x="175"/>
        <item x="94"/>
        <item x="154"/>
        <item x="160"/>
        <item x="1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42"/>
    </i>
    <i>
      <x v="70"/>
    </i>
    <i>
      <x v="112"/>
    </i>
    <i>
      <x v="117"/>
    </i>
    <i>
      <x v="188"/>
    </i>
    <i t="grand">
      <x/>
    </i>
  </rowItems>
  <colItems count="1">
    <i/>
  </colItems>
  <dataFields count="1">
    <dataField name="Count of trim" fld="3" subtotal="count" baseField="0" baseItem="0"/>
  </dataFields>
  <pivotTableStyleInfo name="PivotStyleLight18"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C749D7-7DBF-4AD5-AB3B-5848298FA792}"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9" firstHeaderRow="1" firstDataRow="1" firstDataCol="1"/>
  <pivotFields count="20">
    <pivotField showAll="0"/>
    <pivotField showAll="0">
      <items count="36">
        <item x="10"/>
        <item x="5"/>
        <item x="1"/>
        <item x="8"/>
        <item x="9"/>
        <item x="4"/>
        <item x="29"/>
        <item x="27"/>
        <item x="30"/>
        <item x="28"/>
        <item x="6"/>
        <item x="32"/>
        <item x="31"/>
        <item x="7"/>
        <item x="12"/>
        <item x="20"/>
        <item x="13"/>
        <item x="0"/>
        <item x="18"/>
        <item x="11"/>
        <item x="19"/>
        <item x="16"/>
        <item x="14"/>
        <item x="17"/>
        <item x="15"/>
        <item x="3"/>
        <item x="25"/>
        <item x="33"/>
        <item x="24"/>
        <item x="34"/>
        <item x="23"/>
        <item x="22"/>
        <item x="21"/>
        <item x="2"/>
        <item x="26"/>
        <item t="default"/>
      </items>
    </pivotField>
    <pivotField axis="axisRow" dataField="1" showAll="0" measureFilter="1">
      <items count="239">
        <item x="167"/>
        <item x="172"/>
        <item x="166"/>
        <item x="120"/>
        <item x="220"/>
        <item x="222"/>
        <item x="144"/>
        <item x="1"/>
        <item x="65"/>
        <item x="39"/>
        <item x="130"/>
        <item x="16"/>
        <item x="225"/>
        <item x="14"/>
        <item x="3"/>
        <item x="143"/>
        <item x="141"/>
        <item x="146"/>
        <item x="17"/>
        <item x="7"/>
        <item x="149"/>
        <item x="9"/>
        <item x="148"/>
        <item x="34"/>
        <item x="51"/>
        <item x="191"/>
        <item x="237"/>
        <item x="4"/>
        <item x="133"/>
        <item x="111"/>
        <item x="156"/>
        <item x="54"/>
        <item x="110"/>
        <item x="125"/>
        <item x="188"/>
        <item x="8"/>
        <item x="105"/>
        <item x="126"/>
        <item x="175"/>
        <item x="119"/>
        <item x="103"/>
        <item x="61"/>
        <item x="169"/>
        <item x="194"/>
        <item x="186"/>
        <item x="76"/>
        <item x="73"/>
        <item x="72"/>
        <item x="91"/>
        <item x="152"/>
        <item x="95"/>
        <item x="198"/>
        <item x="6"/>
        <item x="192"/>
        <item x="232"/>
        <item x="210"/>
        <item x="178"/>
        <item x="128"/>
        <item x="74"/>
        <item x="183"/>
        <item x="170"/>
        <item x="70"/>
        <item x="159"/>
        <item x="32"/>
        <item x="53"/>
        <item x="24"/>
        <item x="37"/>
        <item x="171"/>
        <item x="49"/>
        <item x="69"/>
        <item x="176"/>
        <item x="189"/>
        <item x="158"/>
        <item x="180"/>
        <item x="157"/>
        <item x="233"/>
        <item x="185"/>
        <item x="174"/>
        <item x="187"/>
        <item x="182"/>
        <item x="173"/>
        <item x="164"/>
        <item x="165"/>
        <item x="195"/>
        <item x="109"/>
        <item x="161"/>
        <item x="160"/>
        <item x="138"/>
        <item x="75"/>
        <item x="223"/>
        <item x="124"/>
        <item x="112"/>
        <item x="11"/>
        <item x="46"/>
        <item x="202"/>
        <item x="44"/>
        <item x="45"/>
        <item x="219"/>
        <item x="48"/>
        <item x="56"/>
        <item x="89"/>
        <item x="224"/>
        <item x="83"/>
        <item x="177"/>
        <item x="85"/>
        <item x="59"/>
        <item x="228"/>
        <item x="221"/>
        <item x="236"/>
        <item x="139"/>
        <item x="230"/>
        <item x="27"/>
        <item x="15"/>
        <item x="140"/>
        <item x="108"/>
        <item x="207"/>
        <item x="217"/>
        <item x="107"/>
        <item x="129"/>
        <item x="168"/>
        <item x="98"/>
        <item x="77"/>
        <item x="28"/>
        <item x="235"/>
        <item x="92"/>
        <item x="104"/>
        <item x="132"/>
        <item x="206"/>
        <item x="79"/>
        <item x="82"/>
        <item x="64"/>
        <item x="151"/>
        <item x="5"/>
        <item x="29"/>
        <item x="118"/>
        <item x="62"/>
        <item x="71"/>
        <item x="80"/>
        <item x="211"/>
        <item x="90"/>
        <item x="41"/>
        <item x="87"/>
        <item x="86"/>
        <item x="212"/>
        <item x="135"/>
        <item x="193"/>
        <item x="213"/>
        <item x="102"/>
        <item x="113"/>
        <item x="197"/>
        <item x="10"/>
        <item x="60"/>
        <item x="67"/>
        <item x="137"/>
        <item x="94"/>
        <item x="136"/>
        <item x="218"/>
        <item x="196"/>
        <item x="122"/>
        <item x="231"/>
        <item x="13"/>
        <item x="229"/>
        <item x="115"/>
        <item x="209"/>
        <item x="154"/>
        <item x="214"/>
        <item x="81"/>
        <item x="93"/>
        <item x="114"/>
        <item x="150"/>
        <item x="63"/>
        <item x="101"/>
        <item x="30"/>
        <item x="78"/>
        <item x="147"/>
        <item x="21"/>
        <item x="2"/>
        <item x="123"/>
        <item x="47"/>
        <item x="58"/>
        <item x="216"/>
        <item x="100"/>
        <item x="131"/>
        <item x="97"/>
        <item x="234"/>
        <item x="42"/>
        <item x="40"/>
        <item x="215"/>
        <item x="68"/>
        <item x="12"/>
        <item x="50"/>
        <item x="190"/>
        <item x="0"/>
        <item x="66"/>
        <item x="84"/>
        <item x="20"/>
        <item x="43"/>
        <item x="23"/>
        <item x="106"/>
        <item x="201"/>
        <item x="117"/>
        <item x="200"/>
        <item x="227"/>
        <item x="145"/>
        <item x="179"/>
        <item x="199"/>
        <item x="163"/>
        <item x="142"/>
        <item x="38"/>
        <item x="55"/>
        <item x="116"/>
        <item x="25"/>
        <item x="52"/>
        <item x="134"/>
        <item x="204"/>
        <item x="22"/>
        <item x="31"/>
        <item x="33"/>
        <item x="181"/>
        <item x="57"/>
        <item x="35"/>
        <item x="155"/>
        <item x="19"/>
        <item x="184"/>
        <item x="26"/>
        <item x="127"/>
        <item x="96"/>
        <item x="18"/>
        <item x="226"/>
        <item x="88"/>
        <item x="205"/>
        <item x="208"/>
        <item x="121"/>
        <item x="99"/>
        <item x="203"/>
        <item x="162"/>
        <item x="153"/>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7"/>
    </i>
    <i>
      <x v="27"/>
    </i>
    <i>
      <x v="63"/>
    </i>
    <i>
      <x v="96"/>
    </i>
    <i>
      <x v="189"/>
    </i>
    <i t="grand">
      <x/>
    </i>
  </rowItems>
  <colItems count="1">
    <i/>
  </colItems>
  <dataFields count="1">
    <dataField name="Count of model" fld="2" subtotal="count" baseField="0" baseItem="0"/>
  </dataFields>
  <pivotTableStyleInfo name="PivotStyleLight17"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40A466-4774-43C2-98D2-D875D0BF6111}"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0">
    <pivotField showAll="0"/>
    <pivotField axis="axisRow" dataField="1" showAll="0" measureFilter="1">
      <items count="36">
        <item x="10"/>
        <item x="5"/>
        <item x="1"/>
        <item x="8"/>
        <item x="9"/>
        <item x="4"/>
        <item x="29"/>
        <item x="27"/>
        <item x="30"/>
        <item x="28"/>
        <item x="6"/>
        <item x="32"/>
        <item x="31"/>
        <item x="7"/>
        <item x="12"/>
        <item x="20"/>
        <item x="13"/>
        <item x="0"/>
        <item x="18"/>
        <item x="11"/>
        <item x="19"/>
        <item x="16"/>
        <item x="14"/>
        <item x="17"/>
        <item x="15"/>
        <item x="3"/>
        <item x="25"/>
        <item x="33"/>
        <item x="24"/>
        <item x="34"/>
        <item x="23"/>
        <item x="22"/>
        <item x="21"/>
        <item x="2"/>
        <item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2"/>
    </i>
    <i>
      <x v="10"/>
    </i>
    <i>
      <x v="13"/>
    </i>
    <i>
      <x v="14"/>
    </i>
    <i>
      <x v="25"/>
    </i>
    <i t="grand">
      <x/>
    </i>
  </rowItems>
  <colItems count="1">
    <i/>
  </colItems>
  <dataFields count="1">
    <dataField name="Count of mak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AA49C-90ED-4C9D-AB40-20AADB6F0792}"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2" firstHeaderRow="1" firstDataRow="2" firstDataCol="1"/>
  <pivotFields count="20">
    <pivotField showAll="0"/>
    <pivotField showAll="0"/>
    <pivotField showAll="0"/>
    <pivotField showAll="0"/>
    <pivotField showAll="0"/>
    <pivotField showAll="0"/>
    <pivotField showAll="0"/>
    <pivotField showAll="0"/>
    <pivotField showAll="0"/>
    <pivotField showAll="0">
      <items count="1965">
        <item x="694"/>
        <item x="316"/>
        <item x="61"/>
        <item x="338"/>
        <item x="123"/>
        <item x="444"/>
        <item x="37"/>
        <item x="45"/>
        <item x="378"/>
        <item x="281"/>
        <item x="2"/>
        <item x="62"/>
        <item x="67"/>
        <item x="11"/>
        <item x="416"/>
        <item x="1098"/>
        <item x="605"/>
        <item x="561"/>
        <item x="143"/>
        <item x="4"/>
        <item x="92"/>
        <item x="83"/>
        <item x="94"/>
        <item x="1193"/>
        <item x="53"/>
        <item x="690"/>
        <item x="40"/>
        <item x="110"/>
        <item x="411"/>
        <item x="9"/>
        <item x="357"/>
        <item x="419"/>
        <item x="125"/>
        <item x="1534"/>
        <item x="387"/>
        <item x="189"/>
        <item x="58"/>
        <item x="54"/>
        <item x="121"/>
        <item x="500"/>
        <item x="5"/>
        <item x="12"/>
        <item x="1247"/>
        <item x="69"/>
        <item x="23"/>
        <item x="33"/>
        <item x="587"/>
        <item x="56"/>
        <item x="1703"/>
        <item x="485"/>
        <item x="249"/>
        <item x="97"/>
        <item x="254"/>
        <item x="105"/>
        <item x="507"/>
        <item x="347"/>
        <item x="483"/>
        <item x="390"/>
        <item x="52"/>
        <item x="1050"/>
        <item x="1209"/>
        <item x="278"/>
        <item x="59"/>
        <item x="57"/>
        <item x="467"/>
        <item x="660"/>
        <item x="111"/>
        <item x="141"/>
        <item x="64"/>
        <item x="102"/>
        <item x="17"/>
        <item x="68"/>
        <item x="1474"/>
        <item x="96"/>
        <item x="453"/>
        <item x="16"/>
        <item x="238"/>
        <item x="385"/>
        <item x="635"/>
        <item x="288"/>
        <item x="1450"/>
        <item x="232"/>
        <item x="193"/>
        <item x="624"/>
        <item x="109"/>
        <item x="536"/>
        <item x="89"/>
        <item x="19"/>
        <item x="95"/>
        <item x="39"/>
        <item x="48"/>
        <item x="1000"/>
        <item x="354"/>
        <item x="78"/>
        <item x="41"/>
        <item x="494"/>
        <item x="25"/>
        <item x="424"/>
        <item x="285"/>
        <item x="1"/>
        <item x="565"/>
        <item x="574"/>
        <item x="332"/>
        <item x="241"/>
        <item x="99"/>
        <item x="8"/>
        <item x="31"/>
        <item x="1383"/>
        <item x="1491"/>
        <item x="60"/>
        <item x="113"/>
        <item x="1379"/>
        <item x="91"/>
        <item x="326"/>
        <item x="524"/>
        <item x="75"/>
        <item x="63"/>
        <item x="194"/>
        <item x="423"/>
        <item x="471"/>
        <item x="579"/>
        <item x="871"/>
        <item x="351"/>
        <item x="55"/>
        <item x="177"/>
        <item x="1021"/>
        <item x="1730"/>
        <item x="402"/>
        <item x="403"/>
        <item x="129"/>
        <item x="84"/>
        <item x="216"/>
        <item x="1784"/>
        <item x="293"/>
        <item x="114"/>
        <item x="541"/>
        <item x="682"/>
        <item x="100"/>
        <item x="51"/>
        <item x="607"/>
        <item x="24"/>
        <item x="1371"/>
        <item x="203"/>
        <item x="442"/>
        <item x="376"/>
        <item x="519"/>
        <item x="1090"/>
        <item x="50"/>
        <item x="622"/>
        <item x="164"/>
        <item x="526"/>
        <item x="313"/>
        <item x="79"/>
        <item x="1627"/>
        <item x="331"/>
        <item x="1315"/>
        <item x="723"/>
        <item x="146"/>
        <item x="1059"/>
        <item x="119"/>
        <item x="522"/>
        <item x="147"/>
        <item x="28"/>
        <item x="649"/>
        <item x="625"/>
        <item x="484"/>
        <item x="658"/>
        <item x="15"/>
        <item x="36"/>
        <item x="1149"/>
        <item x="136"/>
        <item x="155"/>
        <item x="228"/>
        <item x="324"/>
        <item x="382"/>
        <item x="872"/>
        <item x="361"/>
        <item x="304"/>
        <item x="1710"/>
        <item x="180"/>
        <item x="43"/>
        <item x="171"/>
        <item x="831"/>
        <item x="29"/>
        <item x="1658"/>
        <item x="1229"/>
        <item x="1208"/>
        <item x="227"/>
        <item x="72"/>
        <item x="626"/>
        <item x="1125"/>
        <item x="46"/>
        <item x="1482"/>
        <item x="118"/>
        <item x="106"/>
        <item x="662"/>
        <item x="1586"/>
        <item x="27"/>
        <item x="303"/>
        <item x="209"/>
        <item x="103"/>
        <item x="34"/>
        <item x="1364"/>
        <item x="116"/>
        <item x="1331"/>
        <item x="322"/>
        <item x="115"/>
        <item x="768"/>
        <item x="1241"/>
        <item x="469"/>
        <item x="321"/>
        <item x="1734"/>
        <item x="42"/>
        <item x="157"/>
        <item x="336"/>
        <item x="248"/>
        <item x="702"/>
        <item x="81"/>
        <item x="1684"/>
        <item x="842"/>
        <item x="18"/>
        <item x="86"/>
        <item x="295"/>
        <item x="438"/>
        <item x="1717"/>
        <item x="76"/>
        <item x="74"/>
        <item x="346"/>
        <item x="259"/>
        <item x="583"/>
        <item x="108"/>
        <item x="161"/>
        <item x="32"/>
        <item x="1215"/>
        <item x="1610"/>
        <item x="327"/>
        <item x="49"/>
        <item x="474"/>
        <item x="863"/>
        <item x="696"/>
        <item x="409"/>
        <item x="1799"/>
        <item x="373"/>
        <item x="274"/>
        <item x="752"/>
        <item x="65"/>
        <item x="192"/>
        <item x="3"/>
        <item x="1265"/>
        <item x="10"/>
        <item x="1471"/>
        <item x="737"/>
        <item x="220"/>
        <item x="1260"/>
        <item x="20"/>
        <item x="445"/>
        <item x="80"/>
        <item x="13"/>
        <item x="122"/>
        <item x="234"/>
        <item x="759"/>
        <item x="705"/>
        <item x="734"/>
        <item x="101"/>
        <item x="520"/>
        <item x="200"/>
        <item x="1778"/>
        <item x="786"/>
        <item x="6"/>
        <item x="1285"/>
        <item x="131"/>
        <item x="614"/>
        <item x="1329"/>
        <item x="181"/>
        <item x="301"/>
        <item x="82"/>
        <item x="853"/>
        <item x="163"/>
        <item x="606"/>
        <item x="240"/>
        <item x="829"/>
        <item x="1086"/>
        <item x="679"/>
        <item x="905"/>
        <item x="172"/>
        <item x="14"/>
        <item x="608"/>
        <item x="107"/>
        <item x="1486"/>
        <item x="589"/>
        <item x="1880"/>
        <item x="265"/>
        <item x="286"/>
        <item x="310"/>
        <item x="1838"/>
        <item x="1067"/>
        <item x="239"/>
        <item x="355"/>
        <item x="1363"/>
        <item x="217"/>
        <item x="325"/>
        <item x="150"/>
        <item x="344"/>
        <item x="1341"/>
        <item x="755"/>
        <item x="1651"/>
        <item x="178"/>
        <item x="90"/>
        <item x="38"/>
        <item x="742"/>
        <item x="148"/>
        <item x="686"/>
        <item x="391"/>
        <item x="1613"/>
        <item x="323"/>
        <item x="26"/>
        <item x="1946"/>
        <item x="482"/>
        <item x="272"/>
        <item x="117"/>
        <item x="0"/>
        <item x="205"/>
        <item x="830"/>
        <item x="342"/>
        <item x="1556"/>
        <item x="218"/>
        <item x="591"/>
        <item x="616"/>
        <item x="1760"/>
        <item x="1393"/>
        <item x="1502"/>
        <item x="208"/>
        <item x="750"/>
        <item x="350"/>
        <item x="196"/>
        <item x="1806"/>
        <item x="1016"/>
        <item x="1742"/>
        <item x="186"/>
        <item x="170"/>
        <item x="1244"/>
        <item x="897"/>
        <item x="1807"/>
        <item x="154"/>
        <item x="1354"/>
        <item x="307"/>
        <item x="66"/>
        <item x="810"/>
        <item x="320"/>
        <item x="869"/>
        <item x="1443"/>
        <item x="460"/>
        <item x="431"/>
        <item x="221"/>
        <item x="1191"/>
        <item x="1724"/>
        <item x="276"/>
        <item x="1395"/>
        <item x="1754"/>
        <item x="648"/>
        <item x="844"/>
        <item x="1827"/>
        <item x="85"/>
        <item x="1616"/>
        <item x="1631"/>
        <item x="666"/>
        <item x="1573"/>
        <item x="646"/>
        <item x="1679"/>
        <item x="697"/>
        <item x="206"/>
        <item x="173"/>
        <item x="1400"/>
        <item x="329"/>
        <item x="446"/>
        <item x="153"/>
        <item x="803"/>
        <item x="1457"/>
        <item x="235"/>
        <item x="1520"/>
        <item x="999"/>
        <item x="1313"/>
        <item x="1394"/>
        <item x="1667"/>
        <item x="314"/>
        <item x="455"/>
        <item x="1365"/>
        <item x="271"/>
        <item x="517"/>
        <item x="428"/>
        <item x="212"/>
        <item x="223"/>
        <item x="1790"/>
        <item x="1169"/>
        <item x="226"/>
        <item x="667"/>
        <item x="1664"/>
        <item x="806"/>
        <item x="1153"/>
        <item x="1385"/>
        <item x="1416"/>
        <item x="224"/>
        <item x="104"/>
        <item x="1812"/>
        <item x="35"/>
        <item x="534"/>
        <item x="377"/>
        <item x="1454"/>
        <item x="219"/>
        <item x="1591"/>
        <item x="296"/>
        <item x="586"/>
        <item x="183"/>
        <item x="763"/>
        <item x="406"/>
        <item x="71"/>
        <item x="282"/>
        <item x="732"/>
        <item x="1484"/>
        <item x="619"/>
        <item x="941"/>
        <item x="477"/>
        <item x="1435"/>
        <item x="764"/>
        <item x="743"/>
        <item x="1257"/>
        <item x="556"/>
        <item x="1234"/>
        <item x="269"/>
        <item x="1398"/>
        <item x="632"/>
        <item x="185"/>
        <item x="128"/>
        <item x="1425"/>
        <item x="934"/>
        <item x="1847"/>
        <item x="261"/>
        <item x="345"/>
        <item x="684"/>
        <item x="1419"/>
        <item x="372"/>
        <item x="839"/>
        <item x="1168"/>
        <item x="1061"/>
        <item x="302"/>
        <item x="397"/>
        <item x="184"/>
        <item x="290"/>
        <item x="1571"/>
        <item x="138"/>
        <item x="1283"/>
        <item x="1837"/>
        <item x="1134"/>
        <item x="604"/>
        <item x="340"/>
        <item x="348"/>
        <item x="1478"/>
        <item x="1653"/>
        <item x="1765"/>
        <item x="73"/>
        <item x="149"/>
        <item x="1865"/>
        <item x="362"/>
        <item x="237"/>
        <item x="1619"/>
        <item x="822"/>
        <item x="1357"/>
        <item x="532"/>
        <item x="668"/>
        <item x="747"/>
        <item x="678"/>
        <item x="264"/>
        <item x="242"/>
        <item x="458"/>
        <item x="1306"/>
        <item x="448"/>
        <item x="1505"/>
        <item x="1041"/>
        <item x="126"/>
        <item x="134"/>
        <item x="950"/>
        <item x="1771"/>
        <item x="470"/>
        <item x="1389"/>
        <item x="1488"/>
        <item x="456"/>
        <item x="814"/>
        <item x="167"/>
        <item x="1097"/>
        <item x="996"/>
        <item x="1572"/>
        <item x="780"/>
        <item x="132"/>
        <item x="1120"/>
        <item x="1192"/>
        <item x="93"/>
        <item x="260"/>
        <item x="319"/>
        <item x="1466"/>
        <item x="478"/>
        <item x="1884"/>
        <item x="1635"/>
        <item x="1644"/>
        <item x="558"/>
        <item x="645"/>
        <item x="441"/>
        <item x="1544"/>
        <item x="893"/>
        <item x="1344"/>
        <item x="512"/>
        <item x="709"/>
        <item x="525"/>
        <item x="691"/>
        <item x="174"/>
        <item x="289"/>
        <item x="1477"/>
        <item x="1455"/>
        <item x="1473"/>
        <item x="250"/>
        <item x="166"/>
        <item x="243"/>
        <item x="1919"/>
        <item x="640"/>
        <item x="1414"/>
        <item x="263"/>
        <item x="772"/>
        <item x="151"/>
        <item x="661"/>
        <item x="585"/>
        <item x="1403"/>
        <item x="1629"/>
        <item x="1721"/>
        <item x="544"/>
        <item x="1017"/>
        <item x="637"/>
        <item x="437"/>
        <item x="543"/>
        <item x="1741"/>
        <item x="1861"/>
        <item x="280"/>
        <item x="1835"/>
        <item x="796"/>
        <item x="546"/>
        <item x="903"/>
        <item x="133"/>
        <item x="514"/>
        <item x="1496"/>
        <item x="1039"/>
        <item x="1705"/>
        <item x="284"/>
        <item x="188"/>
        <item x="256"/>
        <item x="738"/>
        <item x="1332"/>
        <item x="1804"/>
        <item x="1171"/>
        <item x="1696"/>
        <item x="251"/>
        <item x="720"/>
        <item x="1177"/>
        <item x="311"/>
        <item x="334"/>
        <item x="889"/>
        <item x="214"/>
        <item x="1091"/>
        <item x="875"/>
        <item x="472"/>
        <item x="731"/>
        <item x="421"/>
        <item x="1599"/>
        <item x="1719"/>
        <item x="782"/>
        <item x="511"/>
        <item x="1499"/>
        <item x="1075"/>
        <item x="852"/>
        <item x="521"/>
        <item x="1793"/>
        <item x="210"/>
        <item x="190"/>
        <item x="991"/>
        <item x="1324"/>
        <item x="124"/>
        <item x="349"/>
        <item x="363"/>
        <item x="754"/>
        <item x="464"/>
        <item x="1163"/>
        <item x="594"/>
        <item x="1957"/>
        <item x="1045"/>
        <item x="1802"/>
        <item x="369"/>
        <item x="1897"/>
        <item x="1278"/>
        <item x="674"/>
        <item x="816"/>
        <item x="1820"/>
        <item x="1113"/>
        <item x="1080"/>
        <item x="620"/>
        <item x="1317"/>
        <item x="749"/>
        <item x="386"/>
        <item x="1128"/>
        <item x="1723"/>
        <item x="547"/>
        <item x="776"/>
        <item x="797"/>
        <item x="629"/>
        <item x="417"/>
        <item x="1319"/>
        <item x="1843"/>
        <item x="972"/>
        <item x="634"/>
        <item x="790"/>
        <item x="1846"/>
        <item x="1462"/>
        <item x="1728"/>
        <item x="688"/>
        <item x="168"/>
        <item x="730"/>
        <item x="1743"/>
        <item x="330"/>
        <item x="609"/>
        <item x="1155"/>
        <item x="828"/>
        <item x="1789"/>
        <item x="929"/>
        <item x="1413"/>
        <item x="199"/>
        <item x="1199"/>
        <item x="1655"/>
        <item x="1602"/>
        <item x="1763"/>
        <item x="805"/>
        <item x="1470"/>
        <item x="1322"/>
        <item x="1607"/>
        <item x="1862"/>
        <item x="820"/>
        <item x="1311"/>
        <item x="162"/>
        <item x="294"/>
        <item x="433"/>
        <item x="1447"/>
        <item x="1931"/>
        <item x="1288"/>
        <item x="229"/>
        <item x="1859"/>
        <item x="466"/>
        <item x="130"/>
        <item x="353"/>
        <item x="1381"/>
        <item x="1301"/>
        <item x="198"/>
        <item x="21"/>
        <item x="1459"/>
        <item x="809"/>
        <item x="1407"/>
        <item x="1872"/>
        <item x="681"/>
        <item x="1624"/>
        <item x="1325"/>
        <item x="1657"/>
        <item x="664"/>
        <item x="1420"/>
        <item x="1830"/>
        <item x="1740"/>
        <item x="917"/>
        <item x="1623"/>
        <item x="459"/>
        <item x="1372"/>
        <item x="1460"/>
        <item x="1594"/>
        <item x="898"/>
        <item x="213"/>
        <item x="1791"/>
        <item x="145"/>
        <item x="885"/>
        <item x="647"/>
        <item x="1583"/>
        <item x="575"/>
        <item x="704"/>
        <item x="1386"/>
        <item x="127"/>
        <item x="989"/>
        <item x="848"/>
        <item x="939"/>
        <item x="531"/>
        <item x="1875"/>
        <item x="1540"/>
        <item x="222"/>
        <item x="862"/>
        <item x="328"/>
        <item x="1815"/>
        <item x="596"/>
        <item x="479"/>
        <item x="1513"/>
        <item x="1772"/>
        <item x="140"/>
        <item x="233"/>
        <item x="1660"/>
        <item x="924"/>
        <item x="1677"/>
        <item x="1402"/>
        <item x="650"/>
        <item x="1632"/>
        <item x="1863"/>
        <item x="516"/>
        <item x="1494"/>
        <item x="1194"/>
        <item x="1751"/>
        <item x="781"/>
        <item x="1565"/>
        <item x="643"/>
        <item x="568"/>
        <item x="1909"/>
        <item x="1834"/>
        <item x="1228"/>
        <item x="846"/>
        <item x="1522"/>
        <item x="1338"/>
        <item x="1308"/>
        <item x="824"/>
        <item x="287"/>
        <item x="1757"/>
        <item x="1943"/>
        <item x="729"/>
        <item x="1063"/>
        <item x="1883"/>
        <item x="283"/>
        <item x="601"/>
        <item x="1040"/>
        <item x="1680"/>
        <item x="577"/>
        <item x="297"/>
        <item x="1429"/>
        <item x="1808"/>
        <item x="979"/>
        <item x="1312"/>
        <item x="1733"/>
        <item x="753"/>
        <item x="887"/>
        <item x="1694"/>
        <item x="1469"/>
        <item x="966"/>
        <item x="870"/>
        <item x="735"/>
        <item x="1130"/>
        <item x="959"/>
        <item x="630"/>
        <item x="413"/>
        <item x="771"/>
        <item x="1860"/>
        <item x="1245"/>
        <item x="182"/>
        <item x="1904"/>
        <item x="1150"/>
        <item x="273"/>
        <item x="865"/>
        <item x="1769"/>
        <item x="1458"/>
        <item x="434"/>
        <item x="758"/>
        <item x="152"/>
        <item x="1275"/>
        <item x="156"/>
        <item x="1339"/>
        <item x="713"/>
        <item x="1530"/>
        <item x="1140"/>
        <item x="757"/>
        <item x="552"/>
        <item x="463"/>
        <item x="1476"/>
        <item x="1523"/>
        <item x="784"/>
        <item x="1390"/>
        <item x="1118"/>
        <item x="1327"/>
        <item x="1693"/>
        <item x="808"/>
        <item x="1773"/>
        <item x="7"/>
        <item x="1197"/>
        <item x="1074"/>
        <item x="1652"/>
        <item x="176"/>
        <item x="1004"/>
        <item x="291"/>
        <item x="1735"/>
        <item x="1819"/>
        <item x="1489"/>
        <item x="1172"/>
        <item x="636"/>
        <item x="491"/>
        <item x="1521"/>
        <item x="253"/>
        <item x="1235"/>
        <item x="268"/>
        <item x="740"/>
        <item x="1295"/>
        <item x="1391"/>
        <item x="231"/>
        <item x="598"/>
        <item x="1240"/>
        <item x="1187"/>
        <item x="775"/>
        <item x="719"/>
        <item x="671"/>
        <item x="644"/>
        <item x="866"/>
        <item x="1446"/>
        <item x="1517"/>
        <item x="1174"/>
        <item x="1574"/>
        <item x="407"/>
        <item x="1316"/>
        <item x="912"/>
        <item x="1749"/>
        <item x="946"/>
        <item x="1590"/>
        <item x="878"/>
        <item x="1512"/>
        <item x="588"/>
        <item x="1410"/>
        <item x="1698"/>
        <item x="165"/>
        <item x="1465"/>
        <item x="1925"/>
        <item x="246"/>
        <item x="1518"/>
        <item x="312"/>
        <item x="1844"/>
        <item x="1874"/>
        <item x="1826"/>
        <item x="767"/>
        <item x="1722"/>
        <item x="1912"/>
        <item x="1503"/>
        <item x="211"/>
        <item x="1887"/>
        <item x="1841"/>
        <item x="1186"/>
        <item x="1851"/>
        <item x="1906"/>
        <item x="1766"/>
        <item x="1533"/>
        <item x="1297"/>
        <item x="1800"/>
        <item x="1392"/>
        <item x="895"/>
        <item x="618"/>
        <item x="1888"/>
        <item x="1210"/>
        <item x="1404"/>
        <item x="834"/>
        <item x="537"/>
        <item x="1776"/>
        <item x="701"/>
        <item x="855"/>
        <item x="1854"/>
        <item x="821"/>
        <item x="1940"/>
        <item x="292"/>
        <item x="1183"/>
        <item x="1828"/>
        <item x="245"/>
        <item x="899"/>
        <item x="1785"/>
        <item x="1747"/>
        <item x="1508"/>
        <item x="1788"/>
        <item x="1564"/>
        <item x="992"/>
        <item x="1886"/>
        <item x="987"/>
        <item x="1253"/>
        <item x="916"/>
        <item x="1777"/>
        <item x="840"/>
        <item x="1273"/>
        <item x="847"/>
        <item x="1188"/>
        <item x="533"/>
        <item x="1411"/>
        <item x="949"/>
        <item x="1755"/>
        <item x="1714"/>
        <item x="1589"/>
        <item x="1732"/>
        <item x="1936"/>
        <item x="1307"/>
        <item x="1487"/>
        <item x="1902"/>
        <item x="1321"/>
        <item x="1706"/>
        <item x="736"/>
        <item x="1709"/>
        <item x="1767"/>
        <item x="621"/>
        <item x="1096"/>
        <item x="1347"/>
        <item x="1274"/>
        <item x="787"/>
        <item x="1531"/>
        <item x="371"/>
        <item x="960"/>
        <item x="1739"/>
        <item x="1609"/>
        <item x="1333"/>
        <item x="1408"/>
        <item x="1005"/>
        <item x="1805"/>
        <item x="1345"/>
        <item x="1961"/>
        <item x="785"/>
        <item x="1792"/>
        <item x="819"/>
        <item x="1438"/>
        <item x="1495"/>
        <item x="439"/>
        <item x="1695"/>
        <item x="1903"/>
        <item x="766"/>
        <item x="1115"/>
        <item x="1856"/>
        <item x="1506"/>
        <item x="1625"/>
        <item x="1497"/>
        <item x="1135"/>
        <item x="1867"/>
        <item x="1707"/>
        <item x="384"/>
        <item x="1849"/>
        <item x="1305"/>
        <item x="1346"/>
        <item x="401"/>
        <item x="937"/>
        <item x="656"/>
        <item x="1136"/>
        <item x="1434"/>
        <item x="562"/>
        <item x="1117"/>
        <item x="1612"/>
        <item x="883"/>
        <item x="1485"/>
        <item x="812"/>
        <item x="1939"/>
        <item x="868"/>
        <item x="798"/>
        <item x="257"/>
        <item x="1284"/>
        <item x="1375"/>
        <item x="315"/>
        <item x="1368"/>
        <item x="317"/>
        <item x="791"/>
        <item x="765"/>
        <item x="493"/>
        <item x="1121"/>
        <item x="1913"/>
        <item x="1587"/>
        <item x="542"/>
        <item x="1406"/>
        <item x="481"/>
        <item x="1514"/>
        <item x="1561"/>
        <item x="777"/>
        <item x="1798"/>
        <item x="1720"/>
        <item x="1725"/>
        <item x="1007"/>
        <item x="712"/>
        <item x="602"/>
        <item x="1922"/>
        <item x="1525"/>
        <item x="70"/>
        <item x="1114"/>
        <item x="773"/>
        <item x="1164"/>
        <item x="252"/>
        <item x="1147"/>
        <item x="1885"/>
        <item x="1436"/>
        <item x="837"/>
        <item x="298"/>
        <item x="1122"/>
        <item x="700"/>
        <item x="1355"/>
        <item x="1170"/>
        <item x="1362"/>
        <item x="1145"/>
        <item x="1716"/>
        <item x="1358"/>
        <item x="825"/>
        <item x="1359"/>
        <item x="978"/>
        <item x="1251"/>
        <item x="22"/>
        <item x="1509"/>
        <item x="1917"/>
        <item x="1756"/>
        <item x="1683"/>
        <item x="1582"/>
        <item x="1665"/>
        <item x="1335"/>
        <item x="850"/>
        <item x="1399"/>
        <item x="1539"/>
        <item x="1620"/>
        <item x="563"/>
        <item x="783"/>
        <item x="890"/>
        <item x="503"/>
        <item x="1649"/>
        <item x="393"/>
        <item x="1440"/>
        <item x="1685"/>
        <item x="1374"/>
        <item x="818"/>
        <item x="699"/>
        <item x="1464"/>
        <item x="1270"/>
        <item x="1231"/>
        <item x="854"/>
        <item x="527"/>
        <item x="394"/>
        <item x="1451"/>
        <item x="1422"/>
        <item x="1712"/>
        <item x="1119"/>
        <item x="1527"/>
        <item x="1866"/>
        <item x="1351"/>
        <item x="175"/>
        <item x="1937"/>
        <item x="1663"/>
        <item x="1281"/>
        <item x="1081"/>
        <item x="1162"/>
        <item x="1617"/>
        <item x="1839"/>
        <item x="1133"/>
        <item x="1953"/>
        <item x="1816"/>
        <item x="1189"/>
        <item x="1066"/>
        <item x="1220"/>
        <item x="567"/>
        <item x="680"/>
        <item x="1628"/>
        <item x="685"/>
        <item x="1002"/>
        <item x="202"/>
        <item x="1786"/>
        <item x="927"/>
        <item x="728"/>
        <item x="967"/>
        <item x="1382"/>
        <item x="1842"/>
        <item x="215"/>
        <item x="1603"/>
        <item x="760"/>
        <item x="982"/>
        <item x="1334"/>
        <item x="1158"/>
        <item x="548"/>
        <item x="549"/>
        <item x="745"/>
        <item x="1764"/>
        <item x="826"/>
        <item x="581"/>
        <item x="1461"/>
        <item x="792"/>
        <item x="922"/>
        <item x="610"/>
        <item x="1214"/>
        <item x="799"/>
        <item x="708"/>
        <item x="1868"/>
        <item x="1848"/>
        <item x="1823"/>
        <item x="1560"/>
        <item x="1181"/>
        <item x="859"/>
        <item x="687"/>
        <item x="804"/>
        <item x="1950"/>
        <item x="1232"/>
        <item x="655"/>
        <item x="1219"/>
        <item x="1504"/>
        <item x="159"/>
        <item x="462"/>
        <item x="832"/>
        <item x="977"/>
        <item x="1254"/>
        <item x="726"/>
        <item x="300"/>
        <item x="1697"/>
        <item x="986"/>
        <item x="1261"/>
        <item x="449"/>
        <item x="845"/>
        <item x="1206"/>
        <item x="923"/>
        <item x="1536"/>
        <item x="496"/>
        <item x="761"/>
        <item x="1267"/>
        <item x="1143"/>
        <item x="973"/>
        <item x="751"/>
        <item x="1298"/>
        <item x="207"/>
        <item x="1480"/>
        <item x="339"/>
        <item x="412"/>
        <item x="1890"/>
        <item x="833"/>
        <item x="1102"/>
        <item x="267"/>
        <item x="1367"/>
        <item x="1200"/>
        <item x="1156"/>
        <item x="306"/>
        <item x="429"/>
        <item x="874"/>
        <item x="1956"/>
        <item x="918"/>
        <item x="1433"/>
        <item x="360"/>
        <item x="1864"/>
        <item x="1421"/>
        <item x="795"/>
        <item x="572"/>
        <item x="191"/>
        <item x="1243"/>
        <item x="1160"/>
        <item x="703"/>
        <item x="692"/>
        <item x="160"/>
        <item x="1020"/>
        <item x="1659"/>
        <item x="1048"/>
        <item x="1032"/>
        <item x="1294"/>
        <item x="1547"/>
        <item x="1237"/>
        <item x="1855"/>
        <item x="1643"/>
        <item x="1700"/>
        <item x="958"/>
        <item x="144"/>
        <item x="566"/>
        <item x="1818"/>
        <item x="584"/>
        <item x="389"/>
        <item x="886"/>
        <item x="744"/>
        <item x="1718"/>
        <item x="1479"/>
        <item x="341"/>
        <item x="1055"/>
        <item x="827"/>
        <item x="801"/>
        <item x="381"/>
        <item x="769"/>
        <item x="1662"/>
        <item x="1255"/>
        <item x="1498"/>
        <item x="1737"/>
        <item x="717"/>
        <item x="518"/>
        <item x="98"/>
        <item x="928"/>
        <item x="554"/>
        <item x="1836"/>
        <item x="1252"/>
        <item x="611"/>
        <item x="659"/>
        <item x="480"/>
        <item x="366"/>
        <item x="247"/>
        <item x="1328"/>
        <item x="490"/>
        <item x="447"/>
        <item x="299"/>
        <item x="1896"/>
        <item x="370"/>
        <item x="1415"/>
        <item x="612"/>
        <item x="851"/>
        <item x="1060"/>
        <item x="337"/>
        <item x="1775"/>
        <item x="592"/>
        <item x="888"/>
        <item x="356"/>
        <item x="266"/>
        <item x="1543"/>
        <item x="802"/>
        <item x="476"/>
        <item x="528"/>
        <item x="969"/>
        <item x="236"/>
        <item x="788"/>
        <item x="169"/>
        <item x="613"/>
        <item x="1290"/>
        <item x="502"/>
        <item x="570"/>
        <item x="1340"/>
        <item x="410"/>
        <item x="1318"/>
        <item x="1910"/>
        <item x="139"/>
        <item x="1405"/>
        <item x="335"/>
        <item x="1286"/>
        <item x="642"/>
        <item x="793"/>
        <item x="408"/>
        <item x="954"/>
        <item x="907"/>
        <item x="725"/>
        <item x="557"/>
        <item x="770"/>
        <item x="515"/>
        <item x="921"/>
        <item x="638"/>
        <item x="1110"/>
        <item x="383"/>
        <item x="665"/>
        <item x="405"/>
        <item x="77"/>
        <item x="195"/>
        <item x="595"/>
        <item x="651"/>
        <item x="1165"/>
        <item x="631"/>
        <item x="1671"/>
        <item x="1933"/>
        <item x="1948"/>
        <item x="1758"/>
        <item x="1601"/>
        <item x="30"/>
        <item x="1387"/>
        <item x="913"/>
        <item x="1579"/>
        <item x="87"/>
        <item x="1248"/>
        <item x="892"/>
        <item x="663"/>
        <item x="1323"/>
        <item x="807"/>
        <item x="1137"/>
        <item x="948"/>
        <item x="623"/>
        <item x="529"/>
        <item x="551"/>
        <item x="951"/>
        <item x="915"/>
        <item x="255"/>
        <item x="580"/>
        <item x="530"/>
        <item x="44"/>
        <item x="672"/>
        <item x="539"/>
        <item x="1031"/>
        <item x="318"/>
        <item x="414"/>
        <item x="489"/>
        <item x="523"/>
        <item x="1959"/>
        <item x="1727"/>
        <item x="492"/>
        <item x="1088"/>
        <item x="270"/>
        <item x="600"/>
        <item x="1927"/>
        <item x="498"/>
        <item x="933"/>
        <item x="1813"/>
        <item x="564"/>
        <item x="398"/>
        <item x="497"/>
        <item x="942"/>
        <item x="904"/>
        <item x="676"/>
        <item x="364"/>
        <item x="657"/>
        <item x="1935"/>
        <item x="838"/>
        <item x="560"/>
        <item x="1630"/>
        <item x="367"/>
        <item x="1196"/>
        <item x="1559"/>
        <item x="1258"/>
        <item x="230"/>
        <item x="495"/>
        <item x="1568"/>
        <item x="1833"/>
        <item x="1152"/>
        <item x="475"/>
        <item x="627"/>
        <item x="1472"/>
        <item x="418"/>
        <item x="1958"/>
        <item x="1845"/>
        <item x="935"/>
        <item x="1269"/>
        <item x="400"/>
        <item x="1542"/>
        <item x="1463"/>
        <item x="1853"/>
        <item x="617"/>
        <item x="1768"/>
        <item x="465"/>
        <item x="440"/>
        <item x="473"/>
        <item x="1223"/>
        <item x="654"/>
        <item x="593"/>
        <item x="733"/>
        <item x="454"/>
        <item x="508"/>
        <item x="359"/>
        <item x="1384"/>
        <item x="88"/>
        <item x="756"/>
        <item x="689"/>
        <item x="1348"/>
        <item x="1829"/>
        <item x="1809"/>
        <item x="1962"/>
        <item x="993"/>
        <item x="794"/>
        <item x="1901"/>
        <item x="1356"/>
        <item x="559"/>
        <item x="677"/>
        <item x="706"/>
        <item x="683"/>
        <item x="137"/>
        <item x="1702"/>
        <item x="721"/>
        <item x="1932"/>
        <item x="1780"/>
        <item x="333"/>
        <item x="724"/>
        <item x="1198"/>
        <item x="1272"/>
        <item x="343"/>
        <item x="197"/>
        <item x="506"/>
        <item x="1537"/>
        <item x="815"/>
        <item x="670"/>
        <item x="430"/>
        <item x="1711"/>
        <item x="1646"/>
        <item x="308"/>
        <item x="1330"/>
        <item x="1562"/>
        <item x="451"/>
        <item x="1279"/>
        <item x="112"/>
        <item x="1668"/>
        <item x="452"/>
        <item x="538"/>
        <item x="1299"/>
        <item x="120"/>
        <item x="1203"/>
        <item x="1605"/>
        <item x="258"/>
        <item x="47"/>
        <item x="1882"/>
        <item x="1759"/>
        <item x="1377"/>
        <item x="1190"/>
        <item x="501"/>
        <item x="571"/>
        <item x="399"/>
        <item x="938"/>
        <item x="1787"/>
        <item x="1326"/>
        <item x="368"/>
        <item x="965"/>
        <item x="597"/>
        <item x="1427"/>
        <item x="1557"/>
        <item x="1645"/>
        <item x="1431"/>
        <item x="1666"/>
        <item x="486"/>
        <item x="698"/>
        <item x="279"/>
        <item x="1567"/>
        <item x="849"/>
        <item x="1511"/>
        <item x="1532"/>
        <item x="1921"/>
        <item x="352"/>
        <item x="1622"/>
        <item x="1424"/>
        <item x="305"/>
        <item x="722"/>
        <item x="426"/>
        <item x="641"/>
        <item x="201"/>
        <item x="944"/>
        <item x="1106"/>
        <item x="1361"/>
        <item x="158"/>
        <item x="1226"/>
        <item x="715"/>
        <item x="1850"/>
        <item x="450"/>
        <item x="277"/>
        <item x="1715"/>
        <item x="900"/>
        <item x="1528"/>
        <item x="1822"/>
        <item x="1894"/>
        <item x="1595"/>
        <item x="1456"/>
        <item x="1507"/>
        <item x="1271"/>
        <item x="1832"/>
        <item x="1179"/>
        <item x="1148"/>
        <item x="499"/>
        <item x="1675"/>
        <item x="1320"/>
        <item x="509"/>
        <item x="1397"/>
        <item x="1541"/>
        <item x="1899"/>
        <item x="1256"/>
        <item x="841"/>
        <item x="1453"/>
        <item x="727"/>
        <item x="1794"/>
        <item x="204"/>
        <item x="931"/>
        <item x="535"/>
        <item x="1388"/>
        <item x="1817"/>
        <item x="505"/>
        <item x="1417"/>
        <item x="427"/>
        <item x="1014"/>
        <item x="545"/>
        <item x="710"/>
        <item x="1216"/>
        <item x="906"/>
        <item x="1175"/>
        <item x="1877"/>
        <item x="778"/>
        <item x="741"/>
        <item x="1159"/>
        <item x="891"/>
        <item x="504"/>
        <item x="1006"/>
        <item x="1441"/>
        <item x="718"/>
        <item x="1928"/>
        <item x="1107"/>
        <item x="811"/>
        <item x="1519"/>
        <item x="1548"/>
        <item x="1276"/>
        <item x="1736"/>
        <item x="1688"/>
        <item x="1731"/>
        <item x="1380"/>
        <item x="911"/>
        <item x="909"/>
        <item x="1037"/>
        <item x="716"/>
        <item x="1445"/>
        <item x="1166"/>
        <item x="835"/>
        <item x="1889"/>
        <item x="1047"/>
        <item x="1212"/>
        <item x="1225"/>
        <item x="880"/>
        <item x="1640"/>
        <item x="1310"/>
        <item x="1277"/>
        <item x="1681"/>
        <item x="882"/>
        <item x="873"/>
        <item x="244"/>
        <item x="1131"/>
        <item x="1309"/>
        <item x="1178"/>
        <item x="901"/>
        <item x="396"/>
        <item x="365"/>
        <item x="375"/>
        <item x="1783"/>
        <item x="590"/>
        <item x="1448"/>
        <item x="1656"/>
        <item x="860"/>
        <item x="1626"/>
        <item x="1467"/>
        <item x="1246"/>
        <item x="1018"/>
        <item x="968"/>
        <item x="487"/>
        <item x="1292"/>
        <item x="976"/>
        <item x="653"/>
        <item x="1501"/>
        <item x="1926"/>
        <item x="932"/>
        <item x="1250"/>
        <item x="1336"/>
        <item x="1593"/>
        <item x="1779"/>
        <item x="1638"/>
        <item x="1211"/>
        <item x="1238"/>
        <item x="746"/>
        <item x="1636"/>
        <item x="1349"/>
        <item x="1857"/>
        <item x="1378"/>
        <item x="864"/>
        <item x="513"/>
        <item x="422"/>
        <item x="1218"/>
        <item x="1077"/>
        <item x="435"/>
        <item x="1054"/>
        <item x="432"/>
        <item x="633"/>
        <item x="652"/>
        <item x="262"/>
        <item x="1596"/>
        <item x="1202"/>
        <item x="1642"/>
        <item x="443"/>
        <item x="1893"/>
        <item x="1287"/>
        <item x="1881"/>
        <item x="573"/>
        <item x="1892"/>
        <item x="1924"/>
        <item x="1606"/>
        <item x="1013"/>
        <item x="1062"/>
        <item x="926"/>
        <item x="774"/>
        <item x="461"/>
        <item x="1876"/>
        <item x="1167"/>
        <item x="392"/>
        <item x="877"/>
        <item x="962"/>
        <item x="1024"/>
        <item x="823"/>
        <item x="1873"/>
        <item x="179"/>
        <item x="1138"/>
        <item x="1418"/>
        <item x="1350"/>
        <item x="555"/>
        <item x="908"/>
        <item x="910"/>
        <item x="309"/>
        <item x="1442"/>
        <item x="1101"/>
        <item x="1263"/>
        <item x="876"/>
        <item x="374"/>
        <item x="1738"/>
        <item x="1157"/>
        <item x="1195"/>
        <item x="1072"/>
        <item x="404"/>
        <item x="1207"/>
        <item x="1558"/>
        <item x="1376"/>
        <item x="1142"/>
        <item x="380"/>
        <item x="919"/>
        <item x="1085"/>
        <item x="858"/>
        <item x="436"/>
        <item x="920"/>
        <item x="379"/>
        <item x="1516"/>
        <item x="1025"/>
        <item x="714"/>
        <item x="762"/>
        <item x="420"/>
        <item x="1291"/>
        <item x="187"/>
        <item x="1430"/>
        <item x="1116"/>
        <item x="1803"/>
        <item x="569"/>
        <item x="1475"/>
        <item x="1634"/>
        <item x="1161"/>
        <item x="1019"/>
        <item x="1551"/>
        <item x="1437"/>
        <item x="1581"/>
        <item x="1852"/>
        <item x="1895"/>
        <item x="550"/>
        <item x="1584"/>
        <item x="1035"/>
        <item x="1432"/>
        <item x="1918"/>
        <item x="1795"/>
        <item x="1483"/>
        <item x="1026"/>
        <item x="1370"/>
        <item x="1423"/>
        <item x="1870"/>
        <item x="1222"/>
        <item x="1824"/>
        <item x="1151"/>
        <item x="1051"/>
        <item x="896"/>
        <item x="980"/>
        <item x="707"/>
        <item x="1577"/>
        <item x="225"/>
        <item x="836"/>
        <item x="1648"/>
        <item x="925"/>
        <item x="1205"/>
        <item x="1891"/>
        <item x="615"/>
        <item x="1104"/>
        <item x="1108"/>
        <item x="879"/>
        <item x="739"/>
        <item x="1871"/>
        <item x="1428"/>
        <item x="975"/>
        <item x="1184"/>
        <item x="1878"/>
        <item x="1452"/>
        <item x="817"/>
        <item x="1249"/>
        <item x="1762"/>
        <item x="1083"/>
        <item x="800"/>
        <item x="628"/>
        <item x="1615"/>
        <item x="1259"/>
        <item x="1588"/>
        <item x="1585"/>
        <item x="843"/>
        <item x="1490"/>
        <item x="1481"/>
        <item x="1687"/>
        <item x="1426"/>
        <item x="1708"/>
        <item x="1879"/>
        <item x="1094"/>
        <item x="789"/>
        <item x="1092"/>
        <item x="779"/>
        <item x="1176"/>
        <item x="1123"/>
        <item x="1678"/>
        <item x="813"/>
        <item x="1396"/>
        <item x="940"/>
        <item x="971"/>
        <item x="1647"/>
        <item x="1242"/>
        <item x="1915"/>
        <item x="884"/>
        <item x="1012"/>
        <item x="1920"/>
        <item x="1701"/>
        <item x="1555"/>
        <item x="673"/>
        <item x="990"/>
        <item x="1578"/>
        <item x="1373"/>
        <item x="1053"/>
        <item x="881"/>
        <item x="1409"/>
        <item x="1337"/>
        <item x="1814"/>
        <item x="1100"/>
        <item x="388"/>
        <item x="576"/>
        <item x="748"/>
        <item x="1761"/>
        <item x="142"/>
        <item x="856"/>
        <item x="1611"/>
        <item x="395"/>
        <item x="1550"/>
        <item x="1676"/>
        <item x="956"/>
        <item x="1811"/>
        <item x="1691"/>
        <item x="1801"/>
        <item x="1300"/>
        <item x="1103"/>
        <item x="425"/>
        <item x="1744"/>
        <item x="1401"/>
        <item x="1221"/>
        <item x="1672"/>
        <item x="1180"/>
        <item x="711"/>
        <item x="984"/>
        <item x="1748"/>
        <item x="135"/>
        <item x="1282"/>
        <item x="955"/>
        <item x="1303"/>
        <item x="1746"/>
        <item x="1266"/>
        <item x="894"/>
        <item x="1084"/>
        <item x="902"/>
        <item x="1010"/>
        <item x="1500"/>
        <item x="1033"/>
        <item x="1951"/>
        <item x="1580"/>
        <item x="603"/>
        <item x="1552"/>
        <item x="1139"/>
        <item x="1078"/>
        <item x="983"/>
        <item x="1369"/>
        <item x="1068"/>
        <item x="1621"/>
        <item x="1576"/>
        <item x="1831"/>
        <item x="981"/>
        <item x="540"/>
        <item x="1692"/>
        <item x="1082"/>
        <item x="695"/>
        <item x="1566"/>
        <item x="1654"/>
        <item x="1070"/>
        <item x="1682"/>
        <item x="1087"/>
        <item x="861"/>
        <item x="415"/>
        <item x="1592"/>
        <item x="1726"/>
        <item x="1729"/>
        <item x="1713"/>
        <item x="952"/>
        <item x="1071"/>
        <item x="1099"/>
        <item x="669"/>
        <item x="1604"/>
        <item x="1043"/>
        <item x="1600"/>
        <item x="1614"/>
        <item x="1492"/>
        <item x="1690"/>
        <item x="1304"/>
        <item x="1673"/>
        <item x="1052"/>
        <item x="1597"/>
        <item x="1545"/>
        <item x="1618"/>
        <item x="985"/>
        <item x="867"/>
        <item x="1608"/>
        <item x="1750"/>
        <item x="1296"/>
        <item x="1015"/>
        <item x="1079"/>
        <item x="1745"/>
        <item x="1009"/>
        <item x="1774"/>
        <item x="1916"/>
        <item x="1056"/>
        <item x="1810"/>
        <item x="857"/>
        <item x="1029"/>
        <item x="358"/>
        <item x="1036"/>
        <item x="1699"/>
        <item x="1224"/>
        <item x="1515"/>
        <item x="1230"/>
        <item x="1003"/>
        <item x="994"/>
        <item x="1049"/>
        <item x="693"/>
        <item x="639"/>
        <item x="1141"/>
        <item x="1022"/>
        <item x="1109"/>
        <item x="1439"/>
        <item x="1011"/>
        <item x="1182"/>
        <item x="1598"/>
        <item x="1073"/>
        <item x="1127"/>
        <item x="1038"/>
        <item x="1689"/>
        <item x="936"/>
        <item x="1468"/>
        <item x="1111"/>
        <item x="1858"/>
        <item x="1028"/>
        <item x="947"/>
        <item x="1268"/>
        <item x="1535"/>
        <item x="1314"/>
        <item x="1293"/>
        <item x="1126"/>
        <item x="1641"/>
        <item x="953"/>
        <item x="1093"/>
        <item x="930"/>
        <item x="1704"/>
        <item x="1146"/>
        <item x="1753"/>
        <item x="1213"/>
        <item x="1553"/>
        <item x="1227"/>
        <item x="1661"/>
        <item x="1444"/>
        <item x="1001"/>
        <item x="1947"/>
        <item x="1538"/>
        <item x="1089"/>
        <item x="945"/>
        <item x="510"/>
        <item x="578"/>
        <item x="997"/>
        <item x="963"/>
        <item x="1941"/>
        <item x="1945"/>
        <item x="1955"/>
        <item x="1065"/>
        <item x="957"/>
        <item x="1752"/>
        <item x="1575"/>
        <item x="675"/>
        <item x="1670"/>
        <item x="1529"/>
        <item x="943"/>
        <item x="1669"/>
        <item x="1262"/>
        <item x="1302"/>
        <item x="1144"/>
        <item x="1069"/>
        <item x="1058"/>
        <item x="1914"/>
        <item x="1570"/>
        <item x="1095"/>
        <item x="1493"/>
        <item x="1008"/>
        <item x="1900"/>
        <item x="1686"/>
        <item x="488"/>
        <item x="1366"/>
        <item x="1173"/>
        <item x="1204"/>
        <item x="1781"/>
        <item x="1023"/>
        <item x="1908"/>
        <item x="553"/>
        <item x="1129"/>
        <item x="1264"/>
        <item x="1650"/>
        <item x="1343"/>
        <item x="468"/>
        <item x="1770"/>
        <item x="1154"/>
        <item x="1044"/>
        <item x="1057"/>
        <item x="1569"/>
        <item x="995"/>
        <item x="1554"/>
        <item x="1549"/>
        <item x="1526"/>
        <item x="1905"/>
        <item x="1233"/>
        <item x="1952"/>
        <item x="1821"/>
        <item x="1449"/>
        <item x="1840"/>
        <item x="1124"/>
        <item x="974"/>
        <item x="1132"/>
        <item x="1954"/>
        <item x="1674"/>
        <item x="1546"/>
        <item x="457"/>
        <item x="1353"/>
        <item x="1112"/>
        <item x="1034"/>
        <item x="599"/>
        <item x="1637"/>
        <item x="1944"/>
        <item x="1280"/>
        <item x="1352"/>
        <item x="1825"/>
        <item x="961"/>
        <item x="970"/>
        <item x="1289"/>
        <item x="1236"/>
        <item x="1360"/>
        <item x="1930"/>
        <item x="1105"/>
        <item x="1898"/>
        <item x="964"/>
        <item x="1510"/>
        <item x="1782"/>
        <item x="1797"/>
        <item x="914"/>
        <item x="1869"/>
        <item x="1412"/>
        <item x="1042"/>
        <item x="1907"/>
        <item x="1923"/>
        <item x="1064"/>
        <item x="988"/>
        <item x="1342"/>
        <item x="1633"/>
        <item x="582"/>
        <item x="1942"/>
        <item x="1030"/>
        <item x="1239"/>
        <item x="1911"/>
        <item x="1201"/>
        <item x="1076"/>
        <item x="1929"/>
        <item x="1934"/>
        <item x="1949"/>
        <item x="1796"/>
        <item x="1938"/>
        <item x="1217"/>
        <item x="1185"/>
        <item x="1046"/>
        <item x="1960"/>
        <item x="1563"/>
        <item x="1524"/>
        <item x="998"/>
        <item x="1027"/>
        <item x="1639"/>
        <item x="275"/>
        <item x="1963"/>
        <item t="default"/>
      </items>
    </pivotField>
    <pivotField showAll="0"/>
    <pivotField showAll="0"/>
    <pivotField showAll="0"/>
    <pivotField showAll="0"/>
    <pivotField showAll="0">
      <items count="389">
        <item x="267"/>
        <item x="324"/>
        <item x="37"/>
        <item x="150"/>
        <item x="224"/>
        <item x="208"/>
        <item x="242"/>
        <item x="326"/>
        <item x="72"/>
        <item x="119"/>
        <item x="359"/>
        <item x="199"/>
        <item x="244"/>
        <item x="14"/>
        <item x="343"/>
        <item x="139"/>
        <item x="372"/>
        <item x="246"/>
        <item x="366"/>
        <item x="371"/>
        <item x="165"/>
        <item x="383"/>
        <item x="201"/>
        <item x="325"/>
        <item x="342"/>
        <item x="76"/>
        <item x="361"/>
        <item x="214"/>
        <item x="335"/>
        <item x="195"/>
        <item x="385"/>
        <item x="121"/>
        <item x="84"/>
        <item x="112"/>
        <item x="382"/>
        <item x="179"/>
        <item x="193"/>
        <item x="330"/>
        <item x="18"/>
        <item x="374"/>
        <item x="272"/>
        <item x="363"/>
        <item x="153"/>
        <item x="128"/>
        <item x="167"/>
        <item x="386"/>
        <item x="144"/>
        <item x="327"/>
        <item x="184"/>
        <item x="116"/>
        <item x="275"/>
        <item x="370"/>
        <item x="317"/>
        <item x="142"/>
        <item x="21"/>
        <item x="254"/>
        <item x="131"/>
        <item x="384"/>
        <item x="96"/>
        <item x="175"/>
        <item x="54"/>
        <item x="174"/>
        <item x="30"/>
        <item x="346"/>
        <item x="274"/>
        <item x="125"/>
        <item x="74"/>
        <item x="189"/>
        <item x="344"/>
        <item x="145"/>
        <item x="6"/>
        <item x="263"/>
        <item x="36"/>
        <item x="163"/>
        <item x="273"/>
        <item x="82"/>
        <item x="251"/>
        <item x="231"/>
        <item x="51"/>
        <item x="12"/>
        <item x="93"/>
        <item x="348"/>
        <item x="138"/>
        <item x="4"/>
        <item x="49"/>
        <item x="253"/>
        <item x="276"/>
        <item x="250"/>
        <item x="123"/>
        <item x="99"/>
        <item x="25"/>
        <item x="41"/>
        <item x="80"/>
        <item x="100"/>
        <item x="124"/>
        <item x="110"/>
        <item x="11"/>
        <item x="148"/>
        <item x="137"/>
        <item x="259"/>
        <item x="98"/>
        <item x="162"/>
        <item x="161"/>
        <item x="149"/>
        <item x="132"/>
        <item x="178"/>
        <item x="83"/>
        <item x="168"/>
        <item x="39"/>
        <item x="192"/>
        <item x="69"/>
        <item x="347"/>
        <item x="197"/>
        <item x="108"/>
        <item x="186"/>
        <item x="58"/>
        <item x="68"/>
        <item x="229"/>
        <item x="154"/>
        <item x="187"/>
        <item x="180"/>
        <item x="13"/>
        <item x="191"/>
        <item x="349"/>
        <item x="215"/>
        <item x="241"/>
        <item x="239"/>
        <item x="236"/>
        <item x="19"/>
        <item x="247"/>
        <item x="129"/>
        <item x="141"/>
        <item x="345"/>
        <item x="173"/>
        <item x="205"/>
        <item x="218"/>
        <item x="206"/>
        <item x="357"/>
        <item x="188"/>
        <item x="362"/>
        <item x="204"/>
        <item x="318"/>
        <item x="152"/>
        <item x="160"/>
        <item x="245"/>
        <item x="117"/>
        <item x="111"/>
        <item x="255"/>
        <item x="140"/>
        <item x="207"/>
        <item x="101"/>
        <item x="216"/>
        <item x="270"/>
        <item x="320"/>
        <item x="170"/>
        <item x="166"/>
        <item x="16"/>
        <item x="143"/>
        <item x="147"/>
        <item x="225"/>
        <item x="48"/>
        <item x="156"/>
        <item x="8"/>
        <item x="258"/>
        <item x="10"/>
        <item x="211"/>
        <item x="279"/>
        <item x="298"/>
        <item x="135"/>
        <item x="115"/>
        <item x="134"/>
        <item x="130"/>
        <item x="249"/>
        <item x="155"/>
        <item x="73"/>
        <item x="159"/>
        <item x="268"/>
        <item x="122"/>
        <item x="103"/>
        <item x="237"/>
        <item x="228"/>
        <item x="226"/>
        <item x="303"/>
        <item x="104"/>
        <item x="323"/>
        <item x="45"/>
        <item x="306"/>
        <item x="24"/>
        <item x="52"/>
        <item x="262"/>
        <item x="379"/>
        <item x="329"/>
        <item x="158"/>
        <item x="185"/>
        <item x="336"/>
        <item x="269"/>
        <item x="120"/>
        <item x="126"/>
        <item x="81"/>
        <item x="221"/>
        <item x="43"/>
        <item x="50"/>
        <item x="377"/>
        <item x="27"/>
        <item x="164"/>
        <item x="288"/>
        <item x="29"/>
        <item x="337"/>
        <item x="40"/>
        <item x="133"/>
        <item x="0"/>
        <item x="286"/>
        <item x="380"/>
        <item x="78"/>
        <item x="351"/>
        <item x="332"/>
        <item x="114"/>
        <item x="319"/>
        <item x="136"/>
        <item x="62"/>
        <item x="63"/>
        <item x="105"/>
        <item x="257"/>
        <item x="240"/>
        <item x="106"/>
        <item x="97"/>
        <item x="376"/>
        <item x="102"/>
        <item x="260"/>
        <item x="20"/>
        <item x="146"/>
        <item x="64"/>
        <item x="243"/>
        <item x="92"/>
        <item x="334"/>
        <item x="88"/>
        <item x="107"/>
        <item x="322"/>
        <item x="85"/>
        <item x="381"/>
        <item x="113"/>
        <item x="118"/>
        <item x="333"/>
        <item x="53"/>
        <item x="127"/>
        <item x="256"/>
        <item x="109"/>
        <item x="95"/>
        <item x="56"/>
        <item x="302"/>
        <item x="87"/>
        <item x="368"/>
        <item x="90"/>
        <item x="265"/>
        <item x="157"/>
        <item x="86"/>
        <item x="316"/>
        <item x="91"/>
        <item x="34"/>
        <item x="2"/>
        <item x="354"/>
        <item x="59"/>
        <item x="212"/>
        <item x="296"/>
        <item x="375"/>
        <item x="177"/>
        <item x="331"/>
        <item x="373"/>
        <item x="266"/>
        <item x="282"/>
        <item x="233"/>
        <item x="360"/>
        <item x="190"/>
        <item x="356"/>
        <item x="1"/>
        <item x="71"/>
        <item x="32"/>
        <item x="338"/>
        <item x="234"/>
        <item x="94"/>
        <item x="235"/>
        <item x="313"/>
        <item x="291"/>
        <item x="182"/>
        <item x="213"/>
        <item x="89"/>
        <item x="172"/>
        <item x="7"/>
        <item x="22"/>
        <item x="290"/>
        <item x="198"/>
        <item x="304"/>
        <item x="289"/>
        <item x="176"/>
        <item x="308"/>
        <item x="23"/>
        <item x="66"/>
        <item x="196"/>
        <item x="238"/>
        <item x="358"/>
        <item x="169"/>
        <item x="200"/>
        <item x="341"/>
        <item x="151"/>
        <item x="209"/>
        <item x="230"/>
        <item x="301"/>
        <item x="181"/>
        <item x="311"/>
        <item x="227"/>
        <item x="44"/>
        <item x="378"/>
        <item x="365"/>
        <item x="223"/>
        <item x="271"/>
        <item x="67"/>
        <item x="15"/>
        <item x="328"/>
        <item x="283"/>
        <item x="305"/>
        <item x="47"/>
        <item x="299"/>
        <item x="70"/>
        <item x="367"/>
        <item x="194"/>
        <item x="309"/>
        <item x="280"/>
        <item x="220"/>
        <item x="315"/>
        <item x="285"/>
        <item x="353"/>
        <item x="294"/>
        <item x="314"/>
        <item x="35"/>
        <item x="297"/>
        <item x="28"/>
        <item x="321"/>
        <item x="287"/>
        <item x="171"/>
        <item x="340"/>
        <item x="277"/>
        <item x="77"/>
        <item x="219"/>
        <item x="284"/>
        <item x="26"/>
        <item x="217"/>
        <item x="312"/>
        <item x="281"/>
        <item x="300"/>
        <item x="252"/>
        <item x="9"/>
        <item x="55"/>
        <item x="278"/>
        <item x="310"/>
        <item x="203"/>
        <item x="38"/>
        <item x="295"/>
        <item x="293"/>
        <item x="350"/>
        <item x="352"/>
        <item x="222"/>
        <item x="183"/>
        <item x="261"/>
        <item x="210"/>
        <item x="79"/>
        <item x="61"/>
        <item x="292"/>
        <item x="355"/>
        <item x="264"/>
        <item x="31"/>
        <item x="232"/>
        <item x="364"/>
        <item x="60"/>
        <item x="75"/>
        <item x="202"/>
        <item x="33"/>
        <item x="5"/>
        <item x="65"/>
        <item x="57"/>
        <item x="42"/>
        <item x="3"/>
        <item x="17"/>
        <item x="369"/>
        <item x="46"/>
        <item x="248"/>
        <item x="307"/>
        <item x="339"/>
        <item x="387"/>
        <item t="default"/>
      </items>
    </pivotField>
    <pivotField showAll="0"/>
    <pivotField showAll="0"/>
    <pivotField showAll="0">
      <items count="483">
        <item x="217"/>
        <item x="48"/>
        <item x="29"/>
        <item x="43"/>
        <item x="252"/>
        <item x="250"/>
        <item x="247"/>
        <item x="435"/>
        <item x="238"/>
        <item x="226"/>
        <item x="243"/>
        <item x="219"/>
        <item x="236"/>
        <item x="244"/>
        <item x="19"/>
        <item x="456"/>
        <item x="430"/>
        <item x="7"/>
        <item x="245"/>
        <item x="234"/>
        <item x="220"/>
        <item x="9"/>
        <item x="232"/>
        <item x="36"/>
        <item x="14"/>
        <item x="447"/>
        <item x="249"/>
        <item x="442"/>
        <item x="444"/>
        <item x="246"/>
        <item x="231"/>
        <item x="445"/>
        <item x="23"/>
        <item x="22"/>
        <item x="40"/>
        <item x="235"/>
        <item x="224"/>
        <item x="223"/>
        <item x="1"/>
        <item x="438"/>
        <item x="449"/>
        <item x="233"/>
        <item x="452"/>
        <item x="222"/>
        <item x="41"/>
        <item x="18"/>
        <item x="230"/>
        <item x="45"/>
        <item x="227"/>
        <item x="251"/>
        <item x="240"/>
        <item x="433"/>
        <item x="225"/>
        <item x="16"/>
        <item x="241"/>
        <item x="3"/>
        <item x="221"/>
        <item x="228"/>
        <item x="237"/>
        <item x="218"/>
        <item x="38"/>
        <item x="229"/>
        <item x="239"/>
        <item x="5"/>
        <item x="37"/>
        <item x="248"/>
        <item x="302"/>
        <item x="307"/>
        <item x="21"/>
        <item x="262"/>
        <item x="47"/>
        <item x="257"/>
        <item x="278"/>
        <item x="28"/>
        <item x="292"/>
        <item x="261"/>
        <item x="39"/>
        <item x="474"/>
        <item x="479"/>
        <item x="24"/>
        <item x="294"/>
        <item x="26"/>
        <item x="325"/>
        <item x="288"/>
        <item x="297"/>
        <item x="258"/>
        <item x="46"/>
        <item x="15"/>
        <item x="8"/>
        <item x="313"/>
        <item x="308"/>
        <item x="286"/>
        <item x="318"/>
        <item x="6"/>
        <item x="12"/>
        <item x="305"/>
        <item x="280"/>
        <item x="263"/>
        <item x="320"/>
        <item x="281"/>
        <item x="462"/>
        <item x="304"/>
        <item x="319"/>
        <item x="475"/>
        <item x="327"/>
        <item x="287"/>
        <item x="17"/>
        <item x="265"/>
        <item x="31"/>
        <item x="467"/>
        <item x="463"/>
        <item x="44"/>
        <item x="301"/>
        <item x="478"/>
        <item x="42"/>
        <item x="326"/>
        <item x="25"/>
        <item x="471"/>
        <item x="264"/>
        <item x="472"/>
        <item x="299"/>
        <item x="461"/>
        <item x="270"/>
        <item x="466"/>
        <item x="282"/>
        <item x="296"/>
        <item x="253"/>
        <item x="460"/>
        <item x="276"/>
        <item x="311"/>
        <item x="289"/>
        <item x="323"/>
        <item x="468"/>
        <item x="290"/>
        <item x="274"/>
        <item x="324"/>
        <item x="285"/>
        <item x="269"/>
        <item x="306"/>
        <item x="464"/>
        <item x="279"/>
        <item x="291"/>
        <item x="275"/>
        <item x="256"/>
        <item x="310"/>
        <item x="255"/>
        <item x="273"/>
        <item x="303"/>
        <item x="298"/>
        <item x="312"/>
        <item x="254"/>
        <item x="315"/>
        <item x="284"/>
        <item x="322"/>
        <item x="316"/>
        <item x="295"/>
        <item x="469"/>
        <item x="314"/>
        <item x="476"/>
        <item x="321"/>
        <item x="283"/>
        <item x="267"/>
        <item x="293"/>
        <item x="272"/>
        <item x="268"/>
        <item x="260"/>
        <item x="277"/>
        <item x="317"/>
        <item x="266"/>
        <item x="271"/>
        <item x="259"/>
        <item x="300"/>
        <item x="354"/>
        <item x="11"/>
        <item x="309"/>
        <item x="347"/>
        <item x="332"/>
        <item x="358"/>
        <item x="357"/>
        <item x="351"/>
        <item x="473"/>
        <item x="352"/>
        <item x="363"/>
        <item x="477"/>
        <item x="345"/>
        <item x="341"/>
        <item x="355"/>
        <item x="343"/>
        <item x="330"/>
        <item x="333"/>
        <item x="339"/>
        <item x="328"/>
        <item x="338"/>
        <item x="361"/>
        <item x="366"/>
        <item x="334"/>
        <item x="350"/>
        <item x="329"/>
        <item x="348"/>
        <item x="480"/>
        <item x="465"/>
        <item x="335"/>
        <item x="344"/>
        <item x="356"/>
        <item x="337"/>
        <item x="365"/>
        <item x="349"/>
        <item x="342"/>
        <item x="336"/>
        <item x="346"/>
        <item x="62"/>
        <item x="65"/>
        <item x="70"/>
        <item x="66"/>
        <item x="72"/>
        <item x="64"/>
        <item x="55"/>
        <item x="60"/>
        <item x="34"/>
        <item x="54"/>
        <item x="69"/>
        <item x="71"/>
        <item x="340"/>
        <item x="53"/>
        <item x="74"/>
        <item x="52"/>
        <item x="353"/>
        <item x="58"/>
        <item x="61"/>
        <item x="56"/>
        <item x="67"/>
        <item x="57"/>
        <item x="59"/>
        <item x="13"/>
        <item x="68"/>
        <item x="75"/>
        <item x="73"/>
        <item x="63"/>
        <item x="364"/>
        <item x="470"/>
        <item x="362"/>
        <item x="51"/>
        <item x="360"/>
        <item x="359"/>
        <item x="49"/>
        <item x="113"/>
        <item x="331"/>
        <item x="50"/>
        <item x="106"/>
        <item x="105"/>
        <item x="384"/>
        <item x="89"/>
        <item x="399"/>
        <item x="373"/>
        <item x="126"/>
        <item x="387"/>
        <item x="367"/>
        <item x="394"/>
        <item x="379"/>
        <item x="385"/>
        <item x="372"/>
        <item x="103"/>
        <item x="383"/>
        <item x="121"/>
        <item x="369"/>
        <item x="401"/>
        <item x="76"/>
        <item x="84"/>
        <item x="119"/>
        <item x="114"/>
        <item x="390"/>
        <item x="101"/>
        <item x="380"/>
        <item x="30"/>
        <item x="110"/>
        <item x="77"/>
        <item x="397"/>
        <item x="10"/>
        <item x="83"/>
        <item x="128"/>
        <item x="86"/>
        <item x="107"/>
        <item x="395"/>
        <item x="131"/>
        <item x="0"/>
        <item x="102"/>
        <item x="91"/>
        <item x="92"/>
        <item x="381"/>
        <item x="120"/>
        <item x="371"/>
        <item x="109"/>
        <item x="124"/>
        <item x="116"/>
        <item x="132"/>
        <item x="388"/>
        <item x="396"/>
        <item x="135"/>
        <item x="374"/>
        <item x="95"/>
        <item x="80"/>
        <item x="370"/>
        <item x="400"/>
        <item x="117"/>
        <item x="32"/>
        <item x="108"/>
        <item x="125"/>
        <item x="123"/>
        <item x="376"/>
        <item x="378"/>
        <item x="402"/>
        <item x="100"/>
        <item x="85"/>
        <item x="88"/>
        <item x="112"/>
        <item x="97"/>
        <item x="104"/>
        <item x="393"/>
        <item x="115"/>
        <item x="111"/>
        <item x="382"/>
        <item x="392"/>
        <item x="375"/>
        <item x="82"/>
        <item x="87"/>
        <item x="134"/>
        <item x="136"/>
        <item x="368"/>
        <item x="422"/>
        <item x="96"/>
        <item x="122"/>
        <item x="127"/>
        <item x="118"/>
        <item x="129"/>
        <item x="412"/>
        <item x="423"/>
        <item x="426"/>
        <item x="417"/>
        <item x="79"/>
        <item x="391"/>
        <item x="94"/>
        <item x="99"/>
        <item x="98"/>
        <item x="377"/>
        <item x="130"/>
        <item x="389"/>
        <item x="398"/>
        <item x="242"/>
        <item x="386"/>
        <item x="429"/>
        <item x="421"/>
        <item x="403"/>
        <item x="137"/>
        <item x="133"/>
        <item x="81"/>
        <item x="93"/>
        <item x="424"/>
        <item x="90"/>
        <item x="78"/>
        <item x="4"/>
        <item x="155"/>
        <item x="413"/>
        <item x="190"/>
        <item x="180"/>
        <item x="198"/>
        <item x="175"/>
        <item x="411"/>
        <item x="142"/>
        <item x="189"/>
        <item x="149"/>
        <item x="187"/>
        <item x="168"/>
        <item x="213"/>
        <item x="214"/>
        <item x="193"/>
        <item x="146"/>
        <item x="409"/>
        <item x="161"/>
        <item x="195"/>
        <item x="164"/>
        <item x="215"/>
        <item x="145"/>
        <item x="184"/>
        <item x="404"/>
        <item x="183"/>
        <item x="207"/>
        <item x="170"/>
        <item x="144"/>
        <item x="178"/>
        <item x="427"/>
        <item x="157"/>
        <item x="33"/>
        <item x="405"/>
        <item x="35"/>
        <item x="172"/>
        <item x="171"/>
        <item x="419"/>
        <item x="209"/>
        <item x="176"/>
        <item x="169"/>
        <item x="194"/>
        <item x="420"/>
        <item x="196"/>
        <item x="414"/>
        <item x="406"/>
        <item x="416"/>
        <item x="407"/>
        <item x="418"/>
        <item x="160"/>
        <item x="167"/>
        <item x="179"/>
        <item x="428"/>
        <item x="199"/>
        <item x="415"/>
        <item x="202"/>
        <item x="410"/>
        <item x="154"/>
        <item x="205"/>
        <item x="425"/>
        <item x="188"/>
        <item x="185"/>
        <item x="408"/>
        <item x="201"/>
        <item x="159"/>
        <item x="210"/>
        <item x="177"/>
        <item x="216"/>
        <item x="150"/>
        <item x="206"/>
        <item x="151"/>
        <item x="212"/>
        <item x="139"/>
        <item x="147"/>
        <item x="197"/>
        <item x="156"/>
        <item x="436"/>
        <item x="446"/>
        <item x="200"/>
        <item x="459"/>
        <item x="432"/>
        <item x="173"/>
        <item x="162"/>
        <item x="453"/>
        <item x="186"/>
        <item x="450"/>
        <item x="141"/>
        <item x="181"/>
        <item x="152"/>
        <item x="192"/>
        <item x="204"/>
        <item x="166"/>
        <item x="191"/>
        <item x="143"/>
        <item x="211"/>
        <item x="443"/>
        <item x="158"/>
        <item x="448"/>
        <item x="148"/>
        <item x="441"/>
        <item x="431"/>
        <item x="439"/>
        <item x="455"/>
        <item x="451"/>
        <item x="153"/>
        <item x="182"/>
        <item x="165"/>
        <item x="458"/>
        <item x="203"/>
        <item x="138"/>
        <item x="208"/>
        <item x="163"/>
        <item x="437"/>
        <item x="457"/>
        <item x="2"/>
        <item x="440"/>
        <item x="174"/>
        <item x="27"/>
        <item x="140"/>
        <item x="454"/>
        <item x="20"/>
        <item x="434"/>
        <item x="481"/>
        <item t="default"/>
      </items>
    </pivotField>
    <pivotField axis="axisCol" showAll="0">
      <items count="5">
        <item x="1"/>
        <item x="0"/>
        <item x="2"/>
        <item h="1" x="3"/>
        <item t="default"/>
      </items>
    </pivotField>
    <pivotField dataField="1" showAll="0"/>
  </pivotFields>
  <rowItems count="1">
    <i/>
  </rowItems>
  <colFields count="1">
    <field x="18"/>
  </colFields>
  <colItems count="4">
    <i>
      <x/>
    </i>
    <i>
      <x v="1"/>
    </i>
    <i>
      <x v="2"/>
    </i>
    <i t="grand">
      <x/>
    </i>
  </colItems>
  <dataFields count="1">
    <dataField name="Count of price_flag"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30167D-E654-42E5-AC57-D387DBB6E497}"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 firstHeaderRow="1" firstDataRow="2" firstDataCol="1"/>
  <pivotFields count="20">
    <pivotField showAll="0"/>
    <pivotField showAll="0"/>
    <pivotField showAll="0"/>
    <pivotField showAll="0"/>
    <pivotField showAll="0"/>
    <pivotField showAll="0"/>
    <pivotField showAll="0"/>
    <pivotField showAll="0"/>
    <pivotField showAll="0"/>
    <pivotField showAll="0">
      <items count="1965">
        <item x="694"/>
        <item x="316"/>
        <item x="61"/>
        <item x="338"/>
        <item x="123"/>
        <item x="444"/>
        <item x="37"/>
        <item x="45"/>
        <item x="378"/>
        <item x="281"/>
        <item x="2"/>
        <item x="62"/>
        <item x="67"/>
        <item x="11"/>
        <item x="416"/>
        <item x="1098"/>
        <item x="605"/>
        <item x="561"/>
        <item x="143"/>
        <item x="4"/>
        <item x="92"/>
        <item x="83"/>
        <item x="94"/>
        <item x="1193"/>
        <item x="53"/>
        <item x="690"/>
        <item x="40"/>
        <item x="110"/>
        <item x="411"/>
        <item x="9"/>
        <item x="357"/>
        <item x="419"/>
        <item x="125"/>
        <item x="1534"/>
        <item x="387"/>
        <item x="189"/>
        <item x="58"/>
        <item x="54"/>
        <item x="121"/>
        <item x="500"/>
        <item x="5"/>
        <item x="12"/>
        <item x="1247"/>
        <item x="69"/>
        <item x="23"/>
        <item x="33"/>
        <item x="587"/>
        <item x="56"/>
        <item x="1703"/>
        <item x="485"/>
        <item x="249"/>
        <item x="97"/>
        <item x="254"/>
        <item x="105"/>
        <item x="507"/>
        <item x="347"/>
        <item x="483"/>
        <item x="390"/>
        <item x="52"/>
        <item x="1050"/>
        <item x="1209"/>
        <item x="278"/>
        <item x="59"/>
        <item x="57"/>
        <item x="467"/>
        <item x="660"/>
        <item x="111"/>
        <item x="141"/>
        <item x="64"/>
        <item x="102"/>
        <item x="17"/>
        <item x="68"/>
        <item x="1474"/>
        <item x="96"/>
        <item x="453"/>
        <item x="16"/>
        <item x="238"/>
        <item x="385"/>
        <item x="635"/>
        <item x="288"/>
        <item x="1450"/>
        <item x="232"/>
        <item x="193"/>
        <item x="624"/>
        <item x="109"/>
        <item x="536"/>
        <item x="89"/>
        <item x="19"/>
        <item x="95"/>
        <item x="39"/>
        <item x="48"/>
        <item x="1000"/>
        <item x="354"/>
        <item x="78"/>
        <item x="41"/>
        <item x="494"/>
        <item x="25"/>
        <item x="424"/>
        <item x="285"/>
        <item x="1"/>
        <item x="565"/>
        <item x="574"/>
        <item x="332"/>
        <item x="241"/>
        <item x="99"/>
        <item x="8"/>
        <item x="31"/>
        <item x="1383"/>
        <item x="1491"/>
        <item x="60"/>
        <item x="113"/>
        <item x="1379"/>
        <item x="91"/>
        <item x="326"/>
        <item x="524"/>
        <item x="75"/>
        <item x="63"/>
        <item x="194"/>
        <item x="423"/>
        <item x="471"/>
        <item x="579"/>
        <item x="871"/>
        <item x="351"/>
        <item x="55"/>
        <item x="177"/>
        <item x="1021"/>
        <item x="1730"/>
        <item x="402"/>
        <item x="403"/>
        <item x="129"/>
        <item x="84"/>
        <item x="216"/>
        <item x="1784"/>
        <item x="293"/>
        <item x="114"/>
        <item x="541"/>
        <item x="682"/>
        <item x="100"/>
        <item x="51"/>
        <item x="607"/>
        <item x="24"/>
        <item x="1371"/>
        <item x="203"/>
        <item x="442"/>
        <item x="376"/>
        <item x="519"/>
        <item x="1090"/>
        <item x="50"/>
        <item x="622"/>
        <item x="164"/>
        <item x="526"/>
        <item x="313"/>
        <item x="79"/>
        <item x="1627"/>
        <item x="331"/>
        <item x="1315"/>
        <item x="723"/>
        <item x="146"/>
        <item x="1059"/>
        <item x="119"/>
        <item x="522"/>
        <item x="147"/>
        <item x="28"/>
        <item x="649"/>
        <item x="625"/>
        <item x="484"/>
        <item x="658"/>
        <item x="15"/>
        <item x="36"/>
        <item x="1149"/>
        <item x="136"/>
        <item x="155"/>
        <item x="228"/>
        <item x="324"/>
        <item x="382"/>
        <item x="872"/>
        <item x="361"/>
        <item x="304"/>
        <item x="1710"/>
        <item x="180"/>
        <item x="43"/>
        <item x="171"/>
        <item x="831"/>
        <item x="29"/>
        <item x="1658"/>
        <item x="1229"/>
        <item x="1208"/>
        <item x="227"/>
        <item x="72"/>
        <item x="626"/>
        <item x="1125"/>
        <item x="46"/>
        <item x="1482"/>
        <item x="118"/>
        <item x="106"/>
        <item x="662"/>
        <item x="1586"/>
        <item x="27"/>
        <item x="303"/>
        <item x="209"/>
        <item x="103"/>
        <item x="34"/>
        <item x="1364"/>
        <item x="116"/>
        <item x="1331"/>
        <item x="322"/>
        <item x="115"/>
        <item x="768"/>
        <item x="1241"/>
        <item x="469"/>
        <item x="321"/>
        <item x="1734"/>
        <item x="42"/>
        <item x="157"/>
        <item x="336"/>
        <item x="248"/>
        <item x="702"/>
        <item x="81"/>
        <item x="1684"/>
        <item x="842"/>
        <item x="18"/>
        <item x="86"/>
        <item x="295"/>
        <item x="438"/>
        <item x="1717"/>
        <item x="76"/>
        <item x="74"/>
        <item x="346"/>
        <item x="259"/>
        <item x="583"/>
        <item x="108"/>
        <item x="161"/>
        <item x="32"/>
        <item x="1215"/>
        <item x="1610"/>
        <item x="327"/>
        <item x="49"/>
        <item x="474"/>
        <item x="863"/>
        <item x="696"/>
        <item x="409"/>
        <item x="1799"/>
        <item x="373"/>
        <item x="274"/>
        <item x="752"/>
        <item x="65"/>
        <item x="192"/>
        <item x="3"/>
        <item x="1265"/>
        <item x="10"/>
        <item x="1471"/>
        <item x="737"/>
        <item x="220"/>
        <item x="1260"/>
        <item x="20"/>
        <item x="445"/>
        <item x="80"/>
        <item x="13"/>
        <item x="122"/>
        <item x="234"/>
        <item x="759"/>
        <item x="705"/>
        <item x="734"/>
        <item x="101"/>
        <item x="520"/>
        <item x="200"/>
        <item x="1778"/>
        <item x="786"/>
        <item x="6"/>
        <item x="1285"/>
        <item x="131"/>
        <item x="614"/>
        <item x="1329"/>
        <item x="181"/>
        <item x="301"/>
        <item x="82"/>
        <item x="853"/>
        <item x="163"/>
        <item x="606"/>
        <item x="240"/>
        <item x="829"/>
        <item x="1086"/>
        <item x="679"/>
        <item x="905"/>
        <item x="172"/>
        <item x="14"/>
        <item x="608"/>
        <item x="107"/>
        <item x="1486"/>
        <item x="589"/>
        <item x="1880"/>
        <item x="265"/>
        <item x="286"/>
        <item x="310"/>
        <item x="1838"/>
        <item x="1067"/>
        <item x="239"/>
        <item x="355"/>
        <item x="1363"/>
        <item x="217"/>
        <item x="325"/>
        <item x="150"/>
        <item x="344"/>
        <item x="1341"/>
        <item x="755"/>
        <item x="1651"/>
        <item x="178"/>
        <item x="90"/>
        <item x="38"/>
        <item x="742"/>
        <item x="148"/>
        <item x="686"/>
        <item x="391"/>
        <item x="1613"/>
        <item x="323"/>
        <item x="26"/>
        <item x="1946"/>
        <item x="482"/>
        <item x="272"/>
        <item x="117"/>
        <item x="0"/>
        <item x="205"/>
        <item x="830"/>
        <item x="342"/>
        <item x="1556"/>
        <item x="218"/>
        <item x="591"/>
        <item x="616"/>
        <item x="1760"/>
        <item x="1393"/>
        <item x="1502"/>
        <item x="208"/>
        <item x="750"/>
        <item x="350"/>
        <item x="196"/>
        <item x="1806"/>
        <item x="1016"/>
        <item x="1742"/>
        <item x="186"/>
        <item x="170"/>
        <item x="1244"/>
        <item x="897"/>
        <item x="1807"/>
        <item x="154"/>
        <item x="1354"/>
        <item x="307"/>
        <item x="66"/>
        <item x="810"/>
        <item x="320"/>
        <item x="869"/>
        <item x="1443"/>
        <item x="460"/>
        <item x="431"/>
        <item x="221"/>
        <item x="1191"/>
        <item x="1724"/>
        <item x="276"/>
        <item x="1395"/>
        <item x="1754"/>
        <item x="648"/>
        <item x="844"/>
        <item x="1827"/>
        <item x="85"/>
        <item x="1616"/>
        <item x="1631"/>
        <item x="666"/>
        <item x="1573"/>
        <item x="646"/>
        <item x="1679"/>
        <item x="697"/>
        <item x="206"/>
        <item x="173"/>
        <item x="1400"/>
        <item x="329"/>
        <item x="446"/>
        <item x="153"/>
        <item x="803"/>
        <item x="1457"/>
        <item x="235"/>
        <item x="1520"/>
        <item x="999"/>
        <item x="1313"/>
        <item x="1394"/>
        <item x="1667"/>
        <item x="314"/>
        <item x="455"/>
        <item x="1365"/>
        <item x="271"/>
        <item x="517"/>
        <item x="428"/>
        <item x="212"/>
        <item x="223"/>
        <item x="1790"/>
        <item x="1169"/>
        <item x="226"/>
        <item x="667"/>
        <item x="1664"/>
        <item x="806"/>
        <item x="1153"/>
        <item x="1385"/>
        <item x="1416"/>
        <item x="224"/>
        <item x="104"/>
        <item x="1812"/>
        <item x="35"/>
        <item x="534"/>
        <item x="377"/>
        <item x="1454"/>
        <item x="219"/>
        <item x="1591"/>
        <item x="296"/>
        <item x="586"/>
        <item x="183"/>
        <item x="763"/>
        <item x="406"/>
        <item x="71"/>
        <item x="282"/>
        <item x="732"/>
        <item x="1484"/>
        <item x="619"/>
        <item x="941"/>
        <item x="477"/>
        <item x="1435"/>
        <item x="764"/>
        <item x="743"/>
        <item x="1257"/>
        <item x="556"/>
        <item x="1234"/>
        <item x="269"/>
        <item x="1398"/>
        <item x="632"/>
        <item x="185"/>
        <item x="128"/>
        <item x="1425"/>
        <item x="934"/>
        <item x="1847"/>
        <item x="261"/>
        <item x="345"/>
        <item x="684"/>
        <item x="1419"/>
        <item x="372"/>
        <item x="839"/>
        <item x="1168"/>
        <item x="1061"/>
        <item x="302"/>
        <item x="397"/>
        <item x="184"/>
        <item x="290"/>
        <item x="1571"/>
        <item x="138"/>
        <item x="1283"/>
        <item x="1837"/>
        <item x="1134"/>
        <item x="604"/>
        <item x="340"/>
        <item x="348"/>
        <item x="1478"/>
        <item x="1653"/>
        <item x="1765"/>
        <item x="73"/>
        <item x="149"/>
        <item x="1865"/>
        <item x="362"/>
        <item x="237"/>
        <item x="1619"/>
        <item x="822"/>
        <item x="1357"/>
        <item x="532"/>
        <item x="668"/>
        <item x="747"/>
        <item x="678"/>
        <item x="264"/>
        <item x="242"/>
        <item x="458"/>
        <item x="1306"/>
        <item x="448"/>
        <item x="1505"/>
        <item x="1041"/>
        <item x="126"/>
        <item x="134"/>
        <item x="950"/>
        <item x="1771"/>
        <item x="470"/>
        <item x="1389"/>
        <item x="1488"/>
        <item x="456"/>
        <item x="814"/>
        <item x="167"/>
        <item x="1097"/>
        <item x="996"/>
        <item x="1572"/>
        <item x="780"/>
        <item x="132"/>
        <item x="1120"/>
        <item x="1192"/>
        <item x="93"/>
        <item x="260"/>
        <item x="319"/>
        <item x="1466"/>
        <item x="478"/>
        <item x="1884"/>
        <item x="1635"/>
        <item x="1644"/>
        <item x="558"/>
        <item x="645"/>
        <item x="441"/>
        <item x="1544"/>
        <item x="893"/>
        <item x="1344"/>
        <item x="512"/>
        <item x="709"/>
        <item x="525"/>
        <item x="691"/>
        <item x="174"/>
        <item x="289"/>
        <item x="1477"/>
        <item x="1455"/>
        <item x="1473"/>
        <item x="250"/>
        <item x="166"/>
        <item x="243"/>
        <item x="1919"/>
        <item x="640"/>
        <item x="1414"/>
        <item x="263"/>
        <item x="772"/>
        <item x="151"/>
        <item x="661"/>
        <item x="585"/>
        <item x="1403"/>
        <item x="1629"/>
        <item x="1721"/>
        <item x="544"/>
        <item x="1017"/>
        <item x="637"/>
        <item x="437"/>
        <item x="543"/>
        <item x="1741"/>
        <item x="1861"/>
        <item x="280"/>
        <item x="1835"/>
        <item x="796"/>
        <item x="546"/>
        <item x="903"/>
        <item x="133"/>
        <item x="514"/>
        <item x="1496"/>
        <item x="1039"/>
        <item x="1705"/>
        <item x="284"/>
        <item x="188"/>
        <item x="256"/>
        <item x="738"/>
        <item x="1332"/>
        <item x="1804"/>
        <item x="1171"/>
        <item x="1696"/>
        <item x="251"/>
        <item x="720"/>
        <item x="1177"/>
        <item x="311"/>
        <item x="334"/>
        <item x="889"/>
        <item x="214"/>
        <item x="1091"/>
        <item x="875"/>
        <item x="472"/>
        <item x="731"/>
        <item x="421"/>
        <item x="1599"/>
        <item x="1719"/>
        <item x="782"/>
        <item x="511"/>
        <item x="1499"/>
        <item x="1075"/>
        <item x="852"/>
        <item x="521"/>
        <item x="1793"/>
        <item x="210"/>
        <item x="190"/>
        <item x="991"/>
        <item x="1324"/>
        <item x="124"/>
        <item x="349"/>
        <item x="363"/>
        <item x="754"/>
        <item x="464"/>
        <item x="1163"/>
        <item x="594"/>
        <item x="1957"/>
        <item x="1045"/>
        <item x="1802"/>
        <item x="369"/>
        <item x="1897"/>
        <item x="1278"/>
        <item x="674"/>
        <item x="816"/>
        <item x="1820"/>
        <item x="1113"/>
        <item x="1080"/>
        <item x="620"/>
        <item x="1317"/>
        <item x="749"/>
        <item x="386"/>
        <item x="1128"/>
        <item x="1723"/>
        <item x="547"/>
        <item x="776"/>
        <item x="797"/>
        <item x="629"/>
        <item x="417"/>
        <item x="1319"/>
        <item x="1843"/>
        <item x="972"/>
        <item x="634"/>
        <item x="790"/>
        <item x="1846"/>
        <item x="1462"/>
        <item x="1728"/>
        <item x="688"/>
        <item x="168"/>
        <item x="730"/>
        <item x="1743"/>
        <item x="330"/>
        <item x="609"/>
        <item x="1155"/>
        <item x="828"/>
        <item x="1789"/>
        <item x="929"/>
        <item x="1413"/>
        <item x="199"/>
        <item x="1199"/>
        <item x="1655"/>
        <item x="1602"/>
        <item x="1763"/>
        <item x="805"/>
        <item x="1470"/>
        <item x="1322"/>
        <item x="1607"/>
        <item x="1862"/>
        <item x="820"/>
        <item x="1311"/>
        <item x="162"/>
        <item x="294"/>
        <item x="433"/>
        <item x="1447"/>
        <item x="1931"/>
        <item x="1288"/>
        <item x="229"/>
        <item x="1859"/>
        <item x="466"/>
        <item x="130"/>
        <item x="353"/>
        <item x="1381"/>
        <item x="1301"/>
        <item x="198"/>
        <item x="21"/>
        <item x="1459"/>
        <item x="809"/>
        <item x="1407"/>
        <item x="1872"/>
        <item x="681"/>
        <item x="1624"/>
        <item x="1325"/>
        <item x="1657"/>
        <item x="664"/>
        <item x="1420"/>
        <item x="1830"/>
        <item x="1740"/>
        <item x="917"/>
        <item x="1623"/>
        <item x="459"/>
        <item x="1372"/>
        <item x="1460"/>
        <item x="1594"/>
        <item x="898"/>
        <item x="213"/>
        <item x="1791"/>
        <item x="145"/>
        <item x="885"/>
        <item x="647"/>
        <item x="1583"/>
        <item x="575"/>
        <item x="704"/>
        <item x="1386"/>
        <item x="127"/>
        <item x="989"/>
        <item x="848"/>
        <item x="939"/>
        <item x="531"/>
        <item x="1875"/>
        <item x="1540"/>
        <item x="222"/>
        <item x="862"/>
        <item x="328"/>
        <item x="1815"/>
        <item x="596"/>
        <item x="479"/>
        <item x="1513"/>
        <item x="1772"/>
        <item x="140"/>
        <item x="233"/>
        <item x="1660"/>
        <item x="924"/>
        <item x="1677"/>
        <item x="1402"/>
        <item x="650"/>
        <item x="1632"/>
        <item x="1863"/>
        <item x="516"/>
        <item x="1494"/>
        <item x="1194"/>
        <item x="1751"/>
        <item x="781"/>
        <item x="1565"/>
        <item x="643"/>
        <item x="568"/>
        <item x="1909"/>
        <item x="1834"/>
        <item x="1228"/>
        <item x="846"/>
        <item x="1522"/>
        <item x="1338"/>
        <item x="1308"/>
        <item x="824"/>
        <item x="287"/>
        <item x="1757"/>
        <item x="1943"/>
        <item x="729"/>
        <item x="1063"/>
        <item x="1883"/>
        <item x="283"/>
        <item x="601"/>
        <item x="1040"/>
        <item x="1680"/>
        <item x="577"/>
        <item x="297"/>
        <item x="1429"/>
        <item x="1808"/>
        <item x="979"/>
        <item x="1312"/>
        <item x="1733"/>
        <item x="753"/>
        <item x="887"/>
        <item x="1694"/>
        <item x="1469"/>
        <item x="966"/>
        <item x="870"/>
        <item x="735"/>
        <item x="1130"/>
        <item x="959"/>
        <item x="630"/>
        <item x="413"/>
        <item x="771"/>
        <item x="1860"/>
        <item x="1245"/>
        <item x="182"/>
        <item x="1904"/>
        <item x="1150"/>
        <item x="273"/>
        <item x="865"/>
        <item x="1769"/>
        <item x="1458"/>
        <item x="434"/>
        <item x="758"/>
        <item x="152"/>
        <item x="1275"/>
        <item x="156"/>
        <item x="1339"/>
        <item x="713"/>
        <item x="1530"/>
        <item x="1140"/>
        <item x="757"/>
        <item x="552"/>
        <item x="463"/>
        <item x="1476"/>
        <item x="1523"/>
        <item x="784"/>
        <item x="1390"/>
        <item x="1118"/>
        <item x="1327"/>
        <item x="1693"/>
        <item x="808"/>
        <item x="1773"/>
        <item x="7"/>
        <item x="1197"/>
        <item x="1074"/>
        <item x="1652"/>
        <item x="176"/>
        <item x="1004"/>
        <item x="291"/>
        <item x="1735"/>
        <item x="1819"/>
        <item x="1489"/>
        <item x="1172"/>
        <item x="636"/>
        <item x="491"/>
        <item x="1521"/>
        <item x="253"/>
        <item x="1235"/>
        <item x="268"/>
        <item x="740"/>
        <item x="1295"/>
        <item x="1391"/>
        <item x="231"/>
        <item x="598"/>
        <item x="1240"/>
        <item x="1187"/>
        <item x="775"/>
        <item x="719"/>
        <item x="671"/>
        <item x="644"/>
        <item x="866"/>
        <item x="1446"/>
        <item x="1517"/>
        <item x="1174"/>
        <item x="1574"/>
        <item x="407"/>
        <item x="1316"/>
        <item x="912"/>
        <item x="1749"/>
        <item x="946"/>
        <item x="1590"/>
        <item x="878"/>
        <item x="1512"/>
        <item x="588"/>
        <item x="1410"/>
        <item x="1698"/>
        <item x="165"/>
        <item x="1465"/>
        <item x="1925"/>
        <item x="246"/>
        <item x="1518"/>
        <item x="312"/>
        <item x="1844"/>
        <item x="1874"/>
        <item x="1826"/>
        <item x="767"/>
        <item x="1722"/>
        <item x="1912"/>
        <item x="1503"/>
        <item x="211"/>
        <item x="1887"/>
        <item x="1841"/>
        <item x="1186"/>
        <item x="1851"/>
        <item x="1906"/>
        <item x="1766"/>
        <item x="1533"/>
        <item x="1297"/>
        <item x="1800"/>
        <item x="1392"/>
        <item x="895"/>
        <item x="618"/>
        <item x="1888"/>
        <item x="1210"/>
        <item x="1404"/>
        <item x="834"/>
        <item x="537"/>
        <item x="1776"/>
        <item x="701"/>
        <item x="855"/>
        <item x="1854"/>
        <item x="821"/>
        <item x="1940"/>
        <item x="292"/>
        <item x="1183"/>
        <item x="1828"/>
        <item x="245"/>
        <item x="899"/>
        <item x="1785"/>
        <item x="1747"/>
        <item x="1508"/>
        <item x="1788"/>
        <item x="1564"/>
        <item x="992"/>
        <item x="1886"/>
        <item x="987"/>
        <item x="1253"/>
        <item x="916"/>
        <item x="1777"/>
        <item x="840"/>
        <item x="1273"/>
        <item x="847"/>
        <item x="1188"/>
        <item x="533"/>
        <item x="1411"/>
        <item x="949"/>
        <item x="1755"/>
        <item x="1714"/>
        <item x="1589"/>
        <item x="1732"/>
        <item x="1936"/>
        <item x="1307"/>
        <item x="1487"/>
        <item x="1902"/>
        <item x="1321"/>
        <item x="1706"/>
        <item x="736"/>
        <item x="1709"/>
        <item x="1767"/>
        <item x="621"/>
        <item x="1096"/>
        <item x="1347"/>
        <item x="1274"/>
        <item x="787"/>
        <item x="1531"/>
        <item x="371"/>
        <item x="960"/>
        <item x="1739"/>
        <item x="1609"/>
        <item x="1333"/>
        <item x="1408"/>
        <item x="1005"/>
        <item x="1805"/>
        <item x="1345"/>
        <item x="1961"/>
        <item x="785"/>
        <item x="1792"/>
        <item x="819"/>
        <item x="1438"/>
        <item x="1495"/>
        <item x="439"/>
        <item x="1695"/>
        <item x="1903"/>
        <item x="766"/>
        <item x="1115"/>
        <item x="1856"/>
        <item x="1506"/>
        <item x="1625"/>
        <item x="1497"/>
        <item x="1135"/>
        <item x="1867"/>
        <item x="1707"/>
        <item x="384"/>
        <item x="1849"/>
        <item x="1305"/>
        <item x="1346"/>
        <item x="401"/>
        <item x="937"/>
        <item x="656"/>
        <item x="1136"/>
        <item x="1434"/>
        <item x="562"/>
        <item x="1117"/>
        <item x="1612"/>
        <item x="883"/>
        <item x="1485"/>
        <item x="812"/>
        <item x="1939"/>
        <item x="868"/>
        <item x="798"/>
        <item x="257"/>
        <item x="1284"/>
        <item x="1375"/>
        <item x="315"/>
        <item x="1368"/>
        <item x="317"/>
        <item x="791"/>
        <item x="765"/>
        <item x="493"/>
        <item x="1121"/>
        <item x="1913"/>
        <item x="1587"/>
        <item x="542"/>
        <item x="1406"/>
        <item x="481"/>
        <item x="1514"/>
        <item x="1561"/>
        <item x="777"/>
        <item x="1798"/>
        <item x="1720"/>
        <item x="1725"/>
        <item x="1007"/>
        <item x="712"/>
        <item x="602"/>
        <item x="1922"/>
        <item x="1525"/>
        <item x="70"/>
        <item x="1114"/>
        <item x="773"/>
        <item x="1164"/>
        <item x="252"/>
        <item x="1147"/>
        <item x="1885"/>
        <item x="1436"/>
        <item x="837"/>
        <item x="298"/>
        <item x="1122"/>
        <item x="700"/>
        <item x="1355"/>
        <item x="1170"/>
        <item x="1362"/>
        <item x="1145"/>
        <item x="1716"/>
        <item x="1358"/>
        <item x="825"/>
        <item x="1359"/>
        <item x="978"/>
        <item x="1251"/>
        <item x="22"/>
        <item x="1509"/>
        <item x="1917"/>
        <item x="1756"/>
        <item x="1683"/>
        <item x="1582"/>
        <item x="1665"/>
        <item x="1335"/>
        <item x="850"/>
        <item x="1399"/>
        <item x="1539"/>
        <item x="1620"/>
        <item x="563"/>
        <item x="783"/>
        <item x="890"/>
        <item x="503"/>
        <item x="1649"/>
        <item x="393"/>
        <item x="1440"/>
        <item x="1685"/>
        <item x="1374"/>
        <item x="818"/>
        <item x="699"/>
        <item x="1464"/>
        <item x="1270"/>
        <item x="1231"/>
        <item x="854"/>
        <item x="527"/>
        <item x="394"/>
        <item x="1451"/>
        <item x="1422"/>
        <item x="1712"/>
        <item x="1119"/>
        <item x="1527"/>
        <item x="1866"/>
        <item x="1351"/>
        <item x="175"/>
        <item x="1937"/>
        <item x="1663"/>
        <item x="1281"/>
        <item x="1081"/>
        <item x="1162"/>
        <item x="1617"/>
        <item x="1839"/>
        <item x="1133"/>
        <item x="1953"/>
        <item x="1816"/>
        <item x="1189"/>
        <item x="1066"/>
        <item x="1220"/>
        <item x="567"/>
        <item x="680"/>
        <item x="1628"/>
        <item x="685"/>
        <item x="1002"/>
        <item x="202"/>
        <item x="1786"/>
        <item x="927"/>
        <item x="728"/>
        <item x="967"/>
        <item x="1382"/>
        <item x="1842"/>
        <item x="215"/>
        <item x="1603"/>
        <item x="760"/>
        <item x="982"/>
        <item x="1334"/>
        <item x="1158"/>
        <item x="548"/>
        <item x="549"/>
        <item x="745"/>
        <item x="1764"/>
        <item x="826"/>
        <item x="581"/>
        <item x="1461"/>
        <item x="792"/>
        <item x="922"/>
        <item x="610"/>
        <item x="1214"/>
        <item x="799"/>
        <item x="708"/>
        <item x="1868"/>
        <item x="1848"/>
        <item x="1823"/>
        <item x="1560"/>
        <item x="1181"/>
        <item x="859"/>
        <item x="687"/>
        <item x="804"/>
        <item x="1950"/>
        <item x="1232"/>
        <item x="655"/>
        <item x="1219"/>
        <item x="1504"/>
        <item x="159"/>
        <item x="462"/>
        <item x="832"/>
        <item x="977"/>
        <item x="1254"/>
        <item x="726"/>
        <item x="300"/>
        <item x="1697"/>
        <item x="986"/>
        <item x="1261"/>
        <item x="449"/>
        <item x="845"/>
        <item x="1206"/>
        <item x="923"/>
        <item x="1536"/>
        <item x="496"/>
        <item x="761"/>
        <item x="1267"/>
        <item x="1143"/>
        <item x="973"/>
        <item x="751"/>
        <item x="1298"/>
        <item x="207"/>
        <item x="1480"/>
        <item x="339"/>
        <item x="412"/>
        <item x="1890"/>
        <item x="833"/>
        <item x="1102"/>
        <item x="267"/>
        <item x="1367"/>
        <item x="1200"/>
        <item x="1156"/>
        <item x="306"/>
        <item x="429"/>
        <item x="874"/>
        <item x="1956"/>
        <item x="918"/>
        <item x="1433"/>
        <item x="360"/>
        <item x="1864"/>
        <item x="1421"/>
        <item x="795"/>
        <item x="572"/>
        <item x="191"/>
        <item x="1243"/>
        <item x="1160"/>
        <item x="703"/>
        <item x="692"/>
        <item x="160"/>
        <item x="1020"/>
        <item x="1659"/>
        <item x="1048"/>
        <item x="1032"/>
        <item x="1294"/>
        <item x="1547"/>
        <item x="1237"/>
        <item x="1855"/>
        <item x="1643"/>
        <item x="1700"/>
        <item x="958"/>
        <item x="144"/>
        <item x="566"/>
        <item x="1818"/>
        <item x="584"/>
        <item x="389"/>
        <item x="886"/>
        <item x="744"/>
        <item x="1718"/>
        <item x="1479"/>
        <item x="341"/>
        <item x="1055"/>
        <item x="827"/>
        <item x="801"/>
        <item x="381"/>
        <item x="769"/>
        <item x="1662"/>
        <item x="1255"/>
        <item x="1498"/>
        <item x="1737"/>
        <item x="717"/>
        <item x="518"/>
        <item x="98"/>
        <item x="928"/>
        <item x="554"/>
        <item x="1836"/>
        <item x="1252"/>
        <item x="611"/>
        <item x="659"/>
        <item x="480"/>
        <item x="366"/>
        <item x="247"/>
        <item x="1328"/>
        <item x="490"/>
        <item x="447"/>
        <item x="299"/>
        <item x="1896"/>
        <item x="370"/>
        <item x="1415"/>
        <item x="612"/>
        <item x="851"/>
        <item x="1060"/>
        <item x="337"/>
        <item x="1775"/>
        <item x="592"/>
        <item x="888"/>
        <item x="356"/>
        <item x="266"/>
        <item x="1543"/>
        <item x="802"/>
        <item x="476"/>
        <item x="528"/>
        <item x="969"/>
        <item x="236"/>
        <item x="788"/>
        <item x="169"/>
        <item x="613"/>
        <item x="1290"/>
        <item x="502"/>
        <item x="570"/>
        <item x="1340"/>
        <item x="410"/>
        <item x="1318"/>
        <item x="1910"/>
        <item x="139"/>
        <item x="1405"/>
        <item x="335"/>
        <item x="1286"/>
        <item x="642"/>
        <item x="793"/>
        <item x="408"/>
        <item x="954"/>
        <item x="907"/>
        <item x="725"/>
        <item x="557"/>
        <item x="770"/>
        <item x="515"/>
        <item x="921"/>
        <item x="638"/>
        <item x="1110"/>
        <item x="383"/>
        <item x="665"/>
        <item x="405"/>
        <item x="77"/>
        <item x="195"/>
        <item x="595"/>
        <item x="651"/>
        <item x="1165"/>
        <item x="631"/>
        <item x="1671"/>
        <item x="1933"/>
        <item x="1948"/>
        <item x="1758"/>
        <item x="1601"/>
        <item x="30"/>
        <item x="1387"/>
        <item x="913"/>
        <item x="1579"/>
        <item x="87"/>
        <item x="1248"/>
        <item x="892"/>
        <item x="663"/>
        <item x="1323"/>
        <item x="807"/>
        <item x="1137"/>
        <item x="948"/>
        <item x="623"/>
        <item x="529"/>
        <item x="551"/>
        <item x="951"/>
        <item x="915"/>
        <item x="255"/>
        <item x="580"/>
        <item x="530"/>
        <item x="44"/>
        <item x="672"/>
        <item x="539"/>
        <item x="1031"/>
        <item x="318"/>
        <item x="414"/>
        <item x="489"/>
        <item x="523"/>
        <item x="1959"/>
        <item x="1727"/>
        <item x="492"/>
        <item x="1088"/>
        <item x="270"/>
        <item x="600"/>
        <item x="1927"/>
        <item x="498"/>
        <item x="933"/>
        <item x="1813"/>
        <item x="564"/>
        <item x="398"/>
        <item x="497"/>
        <item x="942"/>
        <item x="904"/>
        <item x="676"/>
        <item x="364"/>
        <item x="657"/>
        <item x="1935"/>
        <item x="838"/>
        <item x="560"/>
        <item x="1630"/>
        <item x="367"/>
        <item x="1196"/>
        <item x="1559"/>
        <item x="1258"/>
        <item x="230"/>
        <item x="495"/>
        <item x="1568"/>
        <item x="1833"/>
        <item x="1152"/>
        <item x="475"/>
        <item x="627"/>
        <item x="1472"/>
        <item x="418"/>
        <item x="1958"/>
        <item x="1845"/>
        <item x="935"/>
        <item x="1269"/>
        <item x="400"/>
        <item x="1542"/>
        <item x="1463"/>
        <item x="1853"/>
        <item x="617"/>
        <item x="1768"/>
        <item x="465"/>
        <item x="440"/>
        <item x="473"/>
        <item x="1223"/>
        <item x="654"/>
        <item x="593"/>
        <item x="733"/>
        <item x="454"/>
        <item x="508"/>
        <item x="359"/>
        <item x="1384"/>
        <item x="88"/>
        <item x="756"/>
        <item x="689"/>
        <item x="1348"/>
        <item x="1829"/>
        <item x="1809"/>
        <item x="1962"/>
        <item x="993"/>
        <item x="794"/>
        <item x="1901"/>
        <item x="1356"/>
        <item x="559"/>
        <item x="677"/>
        <item x="706"/>
        <item x="683"/>
        <item x="137"/>
        <item x="1702"/>
        <item x="721"/>
        <item x="1932"/>
        <item x="1780"/>
        <item x="333"/>
        <item x="724"/>
        <item x="1198"/>
        <item x="1272"/>
        <item x="343"/>
        <item x="197"/>
        <item x="506"/>
        <item x="1537"/>
        <item x="815"/>
        <item x="670"/>
        <item x="430"/>
        <item x="1711"/>
        <item x="1646"/>
        <item x="308"/>
        <item x="1330"/>
        <item x="1562"/>
        <item x="451"/>
        <item x="1279"/>
        <item x="112"/>
        <item x="1668"/>
        <item x="452"/>
        <item x="538"/>
        <item x="1299"/>
        <item x="120"/>
        <item x="1203"/>
        <item x="1605"/>
        <item x="258"/>
        <item x="47"/>
        <item x="1882"/>
        <item x="1759"/>
        <item x="1377"/>
        <item x="1190"/>
        <item x="501"/>
        <item x="571"/>
        <item x="399"/>
        <item x="938"/>
        <item x="1787"/>
        <item x="1326"/>
        <item x="368"/>
        <item x="965"/>
        <item x="597"/>
        <item x="1427"/>
        <item x="1557"/>
        <item x="1645"/>
        <item x="1431"/>
        <item x="1666"/>
        <item x="486"/>
        <item x="698"/>
        <item x="279"/>
        <item x="1567"/>
        <item x="849"/>
        <item x="1511"/>
        <item x="1532"/>
        <item x="1921"/>
        <item x="352"/>
        <item x="1622"/>
        <item x="1424"/>
        <item x="305"/>
        <item x="722"/>
        <item x="426"/>
        <item x="641"/>
        <item x="201"/>
        <item x="944"/>
        <item x="1106"/>
        <item x="1361"/>
        <item x="158"/>
        <item x="1226"/>
        <item x="715"/>
        <item x="1850"/>
        <item x="450"/>
        <item x="277"/>
        <item x="1715"/>
        <item x="900"/>
        <item x="1528"/>
        <item x="1822"/>
        <item x="1894"/>
        <item x="1595"/>
        <item x="1456"/>
        <item x="1507"/>
        <item x="1271"/>
        <item x="1832"/>
        <item x="1179"/>
        <item x="1148"/>
        <item x="499"/>
        <item x="1675"/>
        <item x="1320"/>
        <item x="509"/>
        <item x="1397"/>
        <item x="1541"/>
        <item x="1899"/>
        <item x="1256"/>
        <item x="841"/>
        <item x="1453"/>
        <item x="727"/>
        <item x="1794"/>
        <item x="204"/>
        <item x="931"/>
        <item x="535"/>
        <item x="1388"/>
        <item x="1817"/>
        <item x="505"/>
        <item x="1417"/>
        <item x="427"/>
        <item x="1014"/>
        <item x="545"/>
        <item x="710"/>
        <item x="1216"/>
        <item x="906"/>
        <item x="1175"/>
        <item x="1877"/>
        <item x="778"/>
        <item x="741"/>
        <item x="1159"/>
        <item x="891"/>
        <item x="504"/>
        <item x="1006"/>
        <item x="1441"/>
        <item x="718"/>
        <item x="1928"/>
        <item x="1107"/>
        <item x="811"/>
        <item x="1519"/>
        <item x="1548"/>
        <item x="1276"/>
        <item x="1736"/>
        <item x="1688"/>
        <item x="1731"/>
        <item x="1380"/>
        <item x="911"/>
        <item x="909"/>
        <item x="1037"/>
        <item x="716"/>
        <item x="1445"/>
        <item x="1166"/>
        <item x="835"/>
        <item x="1889"/>
        <item x="1047"/>
        <item x="1212"/>
        <item x="1225"/>
        <item x="880"/>
        <item x="1640"/>
        <item x="1310"/>
        <item x="1277"/>
        <item x="1681"/>
        <item x="882"/>
        <item x="873"/>
        <item x="244"/>
        <item x="1131"/>
        <item x="1309"/>
        <item x="1178"/>
        <item x="901"/>
        <item x="396"/>
        <item x="365"/>
        <item x="375"/>
        <item x="1783"/>
        <item x="590"/>
        <item x="1448"/>
        <item x="1656"/>
        <item x="860"/>
        <item x="1626"/>
        <item x="1467"/>
        <item x="1246"/>
        <item x="1018"/>
        <item x="968"/>
        <item x="487"/>
        <item x="1292"/>
        <item x="976"/>
        <item x="653"/>
        <item x="1501"/>
        <item x="1926"/>
        <item x="932"/>
        <item x="1250"/>
        <item x="1336"/>
        <item x="1593"/>
        <item x="1779"/>
        <item x="1638"/>
        <item x="1211"/>
        <item x="1238"/>
        <item x="746"/>
        <item x="1636"/>
        <item x="1349"/>
        <item x="1857"/>
        <item x="1378"/>
        <item x="864"/>
        <item x="513"/>
        <item x="422"/>
        <item x="1218"/>
        <item x="1077"/>
        <item x="435"/>
        <item x="1054"/>
        <item x="432"/>
        <item x="633"/>
        <item x="652"/>
        <item x="262"/>
        <item x="1596"/>
        <item x="1202"/>
        <item x="1642"/>
        <item x="443"/>
        <item x="1893"/>
        <item x="1287"/>
        <item x="1881"/>
        <item x="573"/>
        <item x="1892"/>
        <item x="1924"/>
        <item x="1606"/>
        <item x="1013"/>
        <item x="1062"/>
        <item x="926"/>
        <item x="774"/>
        <item x="461"/>
        <item x="1876"/>
        <item x="1167"/>
        <item x="392"/>
        <item x="877"/>
        <item x="962"/>
        <item x="1024"/>
        <item x="823"/>
        <item x="1873"/>
        <item x="179"/>
        <item x="1138"/>
        <item x="1418"/>
        <item x="1350"/>
        <item x="555"/>
        <item x="908"/>
        <item x="910"/>
        <item x="309"/>
        <item x="1442"/>
        <item x="1101"/>
        <item x="1263"/>
        <item x="876"/>
        <item x="374"/>
        <item x="1738"/>
        <item x="1157"/>
        <item x="1195"/>
        <item x="1072"/>
        <item x="404"/>
        <item x="1207"/>
        <item x="1558"/>
        <item x="1376"/>
        <item x="1142"/>
        <item x="380"/>
        <item x="919"/>
        <item x="1085"/>
        <item x="858"/>
        <item x="436"/>
        <item x="920"/>
        <item x="379"/>
        <item x="1516"/>
        <item x="1025"/>
        <item x="714"/>
        <item x="762"/>
        <item x="420"/>
        <item x="1291"/>
        <item x="187"/>
        <item x="1430"/>
        <item x="1116"/>
        <item x="1803"/>
        <item x="569"/>
        <item x="1475"/>
        <item x="1634"/>
        <item x="1161"/>
        <item x="1019"/>
        <item x="1551"/>
        <item x="1437"/>
        <item x="1581"/>
        <item x="1852"/>
        <item x="1895"/>
        <item x="550"/>
        <item x="1584"/>
        <item x="1035"/>
        <item x="1432"/>
        <item x="1918"/>
        <item x="1795"/>
        <item x="1483"/>
        <item x="1026"/>
        <item x="1370"/>
        <item x="1423"/>
        <item x="1870"/>
        <item x="1222"/>
        <item x="1824"/>
        <item x="1151"/>
        <item x="1051"/>
        <item x="896"/>
        <item x="980"/>
        <item x="707"/>
        <item x="1577"/>
        <item x="225"/>
        <item x="836"/>
        <item x="1648"/>
        <item x="925"/>
        <item x="1205"/>
        <item x="1891"/>
        <item x="615"/>
        <item x="1104"/>
        <item x="1108"/>
        <item x="879"/>
        <item x="739"/>
        <item x="1871"/>
        <item x="1428"/>
        <item x="975"/>
        <item x="1184"/>
        <item x="1878"/>
        <item x="1452"/>
        <item x="817"/>
        <item x="1249"/>
        <item x="1762"/>
        <item x="1083"/>
        <item x="800"/>
        <item x="628"/>
        <item x="1615"/>
        <item x="1259"/>
        <item x="1588"/>
        <item x="1585"/>
        <item x="843"/>
        <item x="1490"/>
        <item x="1481"/>
        <item x="1687"/>
        <item x="1426"/>
        <item x="1708"/>
        <item x="1879"/>
        <item x="1094"/>
        <item x="789"/>
        <item x="1092"/>
        <item x="779"/>
        <item x="1176"/>
        <item x="1123"/>
        <item x="1678"/>
        <item x="813"/>
        <item x="1396"/>
        <item x="940"/>
        <item x="971"/>
        <item x="1647"/>
        <item x="1242"/>
        <item x="1915"/>
        <item x="884"/>
        <item x="1012"/>
        <item x="1920"/>
        <item x="1701"/>
        <item x="1555"/>
        <item x="673"/>
        <item x="990"/>
        <item x="1578"/>
        <item x="1373"/>
        <item x="1053"/>
        <item x="881"/>
        <item x="1409"/>
        <item x="1337"/>
        <item x="1814"/>
        <item x="1100"/>
        <item x="388"/>
        <item x="576"/>
        <item x="748"/>
        <item x="1761"/>
        <item x="142"/>
        <item x="856"/>
        <item x="1611"/>
        <item x="395"/>
        <item x="1550"/>
        <item x="1676"/>
        <item x="956"/>
        <item x="1811"/>
        <item x="1691"/>
        <item x="1801"/>
        <item x="1300"/>
        <item x="1103"/>
        <item x="425"/>
        <item x="1744"/>
        <item x="1401"/>
        <item x="1221"/>
        <item x="1672"/>
        <item x="1180"/>
        <item x="711"/>
        <item x="984"/>
        <item x="1748"/>
        <item x="135"/>
        <item x="1282"/>
        <item x="955"/>
        <item x="1303"/>
        <item x="1746"/>
        <item x="1266"/>
        <item x="894"/>
        <item x="1084"/>
        <item x="902"/>
        <item x="1010"/>
        <item x="1500"/>
        <item x="1033"/>
        <item x="1951"/>
        <item x="1580"/>
        <item x="603"/>
        <item x="1552"/>
        <item x="1139"/>
        <item x="1078"/>
        <item x="983"/>
        <item x="1369"/>
        <item x="1068"/>
        <item x="1621"/>
        <item x="1576"/>
        <item x="1831"/>
        <item x="981"/>
        <item x="540"/>
        <item x="1692"/>
        <item x="1082"/>
        <item x="695"/>
        <item x="1566"/>
        <item x="1654"/>
        <item x="1070"/>
        <item x="1682"/>
        <item x="1087"/>
        <item x="861"/>
        <item x="415"/>
        <item x="1592"/>
        <item x="1726"/>
        <item x="1729"/>
        <item x="1713"/>
        <item x="952"/>
        <item x="1071"/>
        <item x="1099"/>
        <item x="669"/>
        <item x="1604"/>
        <item x="1043"/>
        <item x="1600"/>
        <item x="1614"/>
        <item x="1492"/>
        <item x="1690"/>
        <item x="1304"/>
        <item x="1673"/>
        <item x="1052"/>
        <item x="1597"/>
        <item x="1545"/>
        <item x="1618"/>
        <item x="985"/>
        <item x="867"/>
        <item x="1608"/>
        <item x="1750"/>
        <item x="1296"/>
        <item x="1015"/>
        <item x="1079"/>
        <item x="1745"/>
        <item x="1009"/>
        <item x="1774"/>
        <item x="1916"/>
        <item x="1056"/>
        <item x="1810"/>
        <item x="857"/>
        <item x="1029"/>
        <item x="358"/>
        <item x="1036"/>
        <item x="1699"/>
        <item x="1224"/>
        <item x="1515"/>
        <item x="1230"/>
        <item x="1003"/>
        <item x="994"/>
        <item x="1049"/>
        <item x="693"/>
        <item x="639"/>
        <item x="1141"/>
        <item x="1022"/>
        <item x="1109"/>
        <item x="1439"/>
        <item x="1011"/>
        <item x="1182"/>
        <item x="1598"/>
        <item x="1073"/>
        <item x="1127"/>
        <item x="1038"/>
        <item x="1689"/>
        <item x="936"/>
        <item x="1468"/>
        <item x="1111"/>
        <item x="1858"/>
        <item x="1028"/>
        <item x="947"/>
        <item x="1268"/>
        <item x="1535"/>
        <item x="1314"/>
        <item x="1293"/>
        <item x="1126"/>
        <item x="1641"/>
        <item x="953"/>
        <item x="1093"/>
        <item x="930"/>
        <item x="1704"/>
        <item x="1146"/>
        <item x="1753"/>
        <item x="1213"/>
        <item x="1553"/>
        <item x="1227"/>
        <item x="1661"/>
        <item x="1444"/>
        <item x="1001"/>
        <item x="1947"/>
        <item x="1538"/>
        <item x="1089"/>
        <item x="945"/>
        <item x="510"/>
        <item x="578"/>
        <item x="997"/>
        <item x="963"/>
        <item x="1941"/>
        <item x="1945"/>
        <item x="1955"/>
        <item x="1065"/>
        <item x="957"/>
        <item x="1752"/>
        <item x="1575"/>
        <item x="675"/>
        <item x="1670"/>
        <item x="1529"/>
        <item x="943"/>
        <item x="1669"/>
        <item x="1262"/>
        <item x="1302"/>
        <item x="1144"/>
        <item x="1069"/>
        <item x="1058"/>
        <item x="1914"/>
        <item x="1570"/>
        <item x="1095"/>
        <item x="1493"/>
        <item x="1008"/>
        <item x="1900"/>
        <item x="1686"/>
        <item x="488"/>
        <item x="1366"/>
        <item x="1173"/>
        <item x="1204"/>
        <item x="1781"/>
        <item x="1023"/>
        <item x="1908"/>
        <item x="553"/>
        <item x="1129"/>
        <item x="1264"/>
        <item x="1650"/>
        <item x="1343"/>
        <item x="468"/>
        <item x="1770"/>
        <item x="1154"/>
        <item x="1044"/>
        <item x="1057"/>
        <item x="1569"/>
        <item x="995"/>
        <item x="1554"/>
        <item x="1549"/>
        <item x="1526"/>
        <item x="1905"/>
        <item x="1233"/>
        <item x="1952"/>
        <item x="1821"/>
        <item x="1449"/>
        <item x="1840"/>
        <item x="1124"/>
        <item x="974"/>
        <item x="1132"/>
        <item x="1954"/>
        <item x="1674"/>
        <item x="1546"/>
        <item x="457"/>
        <item x="1353"/>
        <item x="1112"/>
        <item x="1034"/>
        <item x="599"/>
        <item x="1637"/>
        <item x="1944"/>
        <item x="1280"/>
        <item x="1352"/>
        <item x="1825"/>
        <item x="961"/>
        <item x="970"/>
        <item x="1289"/>
        <item x="1236"/>
        <item x="1360"/>
        <item x="1930"/>
        <item x="1105"/>
        <item x="1898"/>
        <item x="964"/>
        <item x="1510"/>
        <item x="1782"/>
        <item x="1797"/>
        <item x="914"/>
        <item x="1869"/>
        <item x="1412"/>
        <item x="1042"/>
        <item x="1907"/>
        <item x="1923"/>
        <item x="1064"/>
        <item x="988"/>
        <item x="1342"/>
        <item x="1633"/>
        <item x="582"/>
        <item x="1942"/>
        <item x="1030"/>
        <item x="1239"/>
        <item x="1911"/>
        <item x="1201"/>
        <item x="1076"/>
        <item x="1929"/>
        <item x="1934"/>
        <item x="1949"/>
        <item x="1796"/>
        <item x="1938"/>
        <item x="1217"/>
        <item x="1185"/>
        <item x="1046"/>
        <item x="1960"/>
        <item x="1563"/>
        <item x="1524"/>
        <item x="998"/>
        <item x="1027"/>
        <item x="1639"/>
        <item x="275"/>
        <item x="1963"/>
        <item t="default"/>
      </items>
    </pivotField>
    <pivotField showAll="0"/>
    <pivotField showAll="0"/>
    <pivotField showAll="0"/>
    <pivotField showAll="0"/>
    <pivotField showAll="0">
      <items count="389">
        <item x="267"/>
        <item x="324"/>
        <item x="37"/>
        <item x="150"/>
        <item x="224"/>
        <item x="208"/>
        <item x="242"/>
        <item x="326"/>
        <item x="72"/>
        <item x="119"/>
        <item x="359"/>
        <item x="199"/>
        <item x="244"/>
        <item x="14"/>
        <item x="343"/>
        <item x="139"/>
        <item x="372"/>
        <item x="246"/>
        <item x="366"/>
        <item x="371"/>
        <item x="165"/>
        <item x="383"/>
        <item x="201"/>
        <item x="325"/>
        <item x="342"/>
        <item x="76"/>
        <item x="361"/>
        <item x="214"/>
        <item x="335"/>
        <item x="195"/>
        <item x="385"/>
        <item x="121"/>
        <item x="84"/>
        <item x="112"/>
        <item x="382"/>
        <item x="179"/>
        <item x="193"/>
        <item x="330"/>
        <item x="18"/>
        <item x="374"/>
        <item x="272"/>
        <item x="363"/>
        <item x="153"/>
        <item x="128"/>
        <item x="167"/>
        <item x="386"/>
        <item x="144"/>
        <item x="327"/>
        <item x="184"/>
        <item x="116"/>
        <item x="275"/>
        <item x="370"/>
        <item x="317"/>
        <item x="142"/>
        <item x="21"/>
        <item x="254"/>
        <item x="131"/>
        <item x="384"/>
        <item x="96"/>
        <item x="175"/>
        <item x="54"/>
        <item x="174"/>
        <item x="30"/>
        <item x="346"/>
        <item x="274"/>
        <item x="125"/>
        <item x="74"/>
        <item x="189"/>
        <item x="344"/>
        <item x="145"/>
        <item x="6"/>
        <item x="263"/>
        <item x="36"/>
        <item x="163"/>
        <item x="273"/>
        <item x="82"/>
        <item x="251"/>
        <item x="231"/>
        <item x="51"/>
        <item x="12"/>
        <item x="93"/>
        <item x="348"/>
        <item x="138"/>
        <item x="4"/>
        <item x="49"/>
        <item x="253"/>
        <item x="276"/>
        <item x="250"/>
        <item x="123"/>
        <item x="99"/>
        <item x="25"/>
        <item x="41"/>
        <item x="80"/>
        <item x="100"/>
        <item x="124"/>
        <item x="110"/>
        <item x="11"/>
        <item x="148"/>
        <item x="137"/>
        <item x="259"/>
        <item x="98"/>
        <item x="162"/>
        <item x="161"/>
        <item x="149"/>
        <item x="132"/>
        <item x="178"/>
        <item x="83"/>
        <item x="168"/>
        <item x="39"/>
        <item x="192"/>
        <item x="69"/>
        <item x="347"/>
        <item x="197"/>
        <item x="108"/>
        <item x="186"/>
        <item x="58"/>
        <item x="68"/>
        <item x="229"/>
        <item x="154"/>
        <item x="187"/>
        <item x="180"/>
        <item x="13"/>
        <item x="191"/>
        <item x="349"/>
        <item x="215"/>
        <item x="241"/>
        <item x="239"/>
        <item x="236"/>
        <item x="19"/>
        <item x="247"/>
        <item x="129"/>
        <item x="141"/>
        <item x="345"/>
        <item x="173"/>
        <item x="205"/>
        <item x="218"/>
        <item x="206"/>
        <item x="357"/>
        <item x="188"/>
        <item x="362"/>
        <item x="204"/>
        <item x="318"/>
        <item x="152"/>
        <item x="160"/>
        <item x="245"/>
        <item x="117"/>
        <item x="111"/>
        <item x="255"/>
        <item x="140"/>
        <item x="207"/>
        <item x="101"/>
        <item x="216"/>
        <item x="270"/>
        <item x="320"/>
        <item x="170"/>
        <item x="166"/>
        <item x="16"/>
        <item x="143"/>
        <item x="147"/>
        <item x="225"/>
        <item x="48"/>
        <item x="156"/>
        <item x="8"/>
        <item x="258"/>
        <item x="10"/>
        <item x="211"/>
        <item x="279"/>
        <item x="298"/>
        <item x="135"/>
        <item x="115"/>
        <item x="134"/>
        <item x="130"/>
        <item x="249"/>
        <item x="155"/>
        <item x="73"/>
        <item x="159"/>
        <item x="268"/>
        <item x="122"/>
        <item x="103"/>
        <item x="237"/>
        <item x="228"/>
        <item x="226"/>
        <item x="303"/>
        <item x="104"/>
        <item x="323"/>
        <item x="45"/>
        <item x="306"/>
        <item x="24"/>
        <item x="52"/>
        <item x="262"/>
        <item x="379"/>
        <item x="329"/>
        <item x="158"/>
        <item x="185"/>
        <item x="336"/>
        <item x="269"/>
        <item x="120"/>
        <item x="126"/>
        <item x="81"/>
        <item x="221"/>
        <item x="43"/>
        <item x="50"/>
        <item x="377"/>
        <item x="27"/>
        <item x="164"/>
        <item x="288"/>
        <item x="29"/>
        <item x="337"/>
        <item x="40"/>
        <item x="133"/>
        <item x="0"/>
        <item x="286"/>
        <item x="380"/>
        <item x="78"/>
        <item x="351"/>
        <item x="332"/>
        <item x="114"/>
        <item x="319"/>
        <item x="136"/>
        <item x="62"/>
        <item x="63"/>
        <item x="105"/>
        <item x="257"/>
        <item x="240"/>
        <item x="106"/>
        <item x="97"/>
        <item x="376"/>
        <item x="102"/>
        <item x="260"/>
        <item x="20"/>
        <item x="146"/>
        <item x="64"/>
        <item x="243"/>
        <item x="92"/>
        <item x="334"/>
        <item x="88"/>
        <item x="107"/>
        <item x="322"/>
        <item x="85"/>
        <item x="381"/>
        <item x="113"/>
        <item x="118"/>
        <item x="333"/>
        <item x="53"/>
        <item x="127"/>
        <item x="256"/>
        <item x="109"/>
        <item x="95"/>
        <item x="56"/>
        <item x="302"/>
        <item x="87"/>
        <item x="368"/>
        <item x="90"/>
        <item x="265"/>
        <item x="157"/>
        <item x="86"/>
        <item x="316"/>
        <item x="91"/>
        <item x="34"/>
        <item x="2"/>
        <item x="354"/>
        <item x="59"/>
        <item x="212"/>
        <item x="296"/>
        <item x="375"/>
        <item x="177"/>
        <item x="331"/>
        <item x="373"/>
        <item x="266"/>
        <item x="282"/>
        <item x="233"/>
        <item x="360"/>
        <item x="190"/>
        <item x="356"/>
        <item x="1"/>
        <item x="71"/>
        <item x="32"/>
        <item x="338"/>
        <item x="234"/>
        <item x="94"/>
        <item x="235"/>
        <item x="313"/>
        <item x="291"/>
        <item x="182"/>
        <item x="213"/>
        <item x="89"/>
        <item x="172"/>
        <item x="7"/>
        <item x="22"/>
        <item x="290"/>
        <item x="198"/>
        <item x="304"/>
        <item x="289"/>
        <item x="176"/>
        <item x="308"/>
        <item x="23"/>
        <item x="66"/>
        <item x="196"/>
        <item x="238"/>
        <item x="358"/>
        <item x="169"/>
        <item x="200"/>
        <item x="341"/>
        <item x="151"/>
        <item x="209"/>
        <item x="230"/>
        <item x="301"/>
        <item x="181"/>
        <item x="311"/>
        <item x="227"/>
        <item x="44"/>
        <item x="378"/>
        <item x="365"/>
        <item x="223"/>
        <item x="271"/>
        <item x="67"/>
        <item x="15"/>
        <item x="328"/>
        <item x="283"/>
        <item x="305"/>
        <item x="47"/>
        <item x="299"/>
        <item x="70"/>
        <item x="367"/>
        <item x="194"/>
        <item x="309"/>
        <item x="280"/>
        <item x="220"/>
        <item x="315"/>
        <item x="285"/>
        <item x="353"/>
        <item x="294"/>
        <item x="314"/>
        <item x="35"/>
        <item x="297"/>
        <item x="28"/>
        <item x="321"/>
        <item x="287"/>
        <item x="171"/>
        <item x="340"/>
        <item x="277"/>
        <item x="77"/>
        <item x="219"/>
        <item x="284"/>
        <item x="26"/>
        <item x="217"/>
        <item x="312"/>
        <item x="281"/>
        <item x="300"/>
        <item x="252"/>
        <item x="9"/>
        <item x="55"/>
        <item x="278"/>
        <item x="310"/>
        <item x="203"/>
        <item x="38"/>
        <item x="295"/>
        <item x="293"/>
        <item x="350"/>
        <item x="352"/>
        <item x="222"/>
        <item x="183"/>
        <item x="261"/>
        <item x="210"/>
        <item x="79"/>
        <item x="61"/>
        <item x="292"/>
        <item x="355"/>
        <item x="264"/>
        <item x="31"/>
        <item x="232"/>
        <item x="364"/>
        <item x="60"/>
        <item x="75"/>
        <item x="202"/>
        <item x="33"/>
        <item x="5"/>
        <item x="65"/>
        <item x="57"/>
        <item x="42"/>
        <item x="3"/>
        <item x="17"/>
        <item x="369"/>
        <item x="46"/>
        <item x="248"/>
        <item x="307"/>
        <item x="339"/>
        <item x="387"/>
        <item t="default"/>
      </items>
    </pivotField>
    <pivotField showAll="0"/>
    <pivotField showAll="0"/>
    <pivotField dataField="1" showAll="0">
      <items count="483">
        <item x="217"/>
        <item x="48"/>
        <item x="29"/>
        <item x="43"/>
        <item x="252"/>
        <item x="250"/>
        <item x="247"/>
        <item x="435"/>
        <item x="238"/>
        <item x="226"/>
        <item x="243"/>
        <item x="219"/>
        <item x="236"/>
        <item x="244"/>
        <item x="19"/>
        <item x="456"/>
        <item x="430"/>
        <item x="7"/>
        <item x="245"/>
        <item x="234"/>
        <item x="220"/>
        <item x="9"/>
        <item x="232"/>
        <item x="36"/>
        <item x="14"/>
        <item x="447"/>
        <item x="249"/>
        <item x="442"/>
        <item x="444"/>
        <item x="246"/>
        <item x="231"/>
        <item x="445"/>
        <item x="23"/>
        <item x="22"/>
        <item x="40"/>
        <item x="235"/>
        <item x="224"/>
        <item x="223"/>
        <item x="1"/>
        <item x="438"/>
        <item x="449"/>
        <item x="233"/>
        <item x="452"/>
        <item x="222"/>
        <item x="41"/>
        <item x="18"/>
        <item x="230"/>
        <item x="45"/>
        <item x="227"/>
        <item x="251"/>
        <item x="240"/>
        <item x="433"/>
        <item x="225"/>
        <item x="16"/>
        <item x="241"/>
        <item x="3"/>
        <item x="221"/>
        <item x="228"/>
        <item x="237"/>
        <item x="218"/>
        <item x="38"/>
        <item x="229"/>
        <item x="239"/>
        <item x="5"/>
        <item x="37"/>
        <item x="248"/>
        <item x="302"/>
        <item x="307"/>
        <item x="21"/>
        <item x="262"/>
        <item x="47"/>
        <item x="257"/>
        <item x="278"/>
        <item x="28"/>
        <item x="292"/>
        <item x="261"/>
        <item x="39"/>
        <item x="474"/>
        <item x="479"/>
        <item x="24"/>
        <item x="294"/>
        <item x="26"/>
        <item x="325"/>
        <item x="288"/>
        <item x="297"/>
        <item x="258"/>
        <item x="46"/>
        <item x="15"/>
        <item x="8"/>
        <item x="313"/>
        <item x="308"/>
        <item x="286"/>
        <item x="318"/>
        <item x="6"/>
        <item x="12"/>
        <item x="305"/>
        <item x="280"/>
        <item x="263"/>
        <item x="320"/>
        <item x="281"/>
        <item x="462"/>
        <item x="304"/>
        <item x="319"/>
        <item x="475"/>
        <item x="327"/>
        <item x="287"/>
        <item x="17"/>
        <item x="265"/>
        <item x="31"/>
        <item x="467"/>
        <item x="463"/>
        <item x="44"/>
        <item x="301"/>
        <item x="478"/>
        <item x="42"/>
        <item x="326"/>
        <item x="25"/>
        <item x="471"/>
        <item x="264"/>
        <item x="472"/>
        <item x="299"/>
        <item x="461"/>
        <item x="270"/>
        <item x="466"/>
        <item x="282"/>
        <item x="296"/>
        <item x="253"/>
        <item x="460"/>
        <item x="276"/>
        <item x="311"/>
        <item x="289"/>
        <item x="323"/>
        <item x="468"/>
        <item x="290"/>
        <item x="274"/>
        <item x="324"/>
        <item x="285"/>
        <item x="269"/>
        <item x="306"/>
        <item x="464"/>
        <item x="279"/>
        <item x="291"/>
        <item x="275"/>
        <item x="256"/>
        <item x="310"/>
        <item x="255"/>
        <item x="273"/>
        <item x="303"/>
        <item x="298"/>
        <item x="312"/>
        <item x="254"/>
        <item x="315"/>
        <item x="284"/>
        <item x="322"/>
        <item x="316"/>
        <item x="295"/>
        <item x="469"/>
        <item x="314"/>
        <item x="476"/>
        <item x="321"/>
        <item x="283"/>
        <item x="267"/>
        <item x="293"/>
        <item x="272"/>
        <item x="268"/>
        <item x="260"/>
        <item x="277"/>
        <item x="317"/>
        <item x="266"/>
        <item x="271"/>
        <item x="259"/>
        <item x="300"/>
        <item x="354"/>
        <item x="11"/>
        <item x="309"/>
        <item x="347"/>
        <item x="332"/>
        <item x="358"/>
        <item x="357"/>
        <item x="351"/>
        <item x="473"/>
        <item x="352"/>
        <item x="363"/>
        <item x="477"/>
        <item x="345"/>
        <item x="341"/>
        <item x="355"/>
        <item x="343"/>
        <item x="330"/>
        <item x="333"/>
        <item x="339"/>
        <item x="328"/>
        <item x="338"/>
        <item x="361"/>
        <item x="366"/>
        <item x="334"/>
        <item x="350"/>
        <item x="329"/>
        <item x="348"/>
        <item x="480"/>
        <item x="465"/>
        <item x="335"/>
        <item x="344"/>
        <item x="356"/>
        <item x="337"/>
        <item x="365"/>
        <item x="349"/>
        <item x="342"/>
        <item x="336"/>
        <item x="346"/>
        <item x="62"/>
        <item x="65"/>
        <item x="70"/>
        <item x="66"/>
        <item x="72"/>
        <item x="64"/>
        <item x="55"/>
        <item x="60"/>
        <item x="34"/>
        <item x="54"/>
        <item x="69"/>
        <item x="71"/>
        <item x="340"/>
        <item x="53"/>
        <item x="74"/>
        <item x="52"/>
        <item x="353"/>
        <item x="58"/>
        <item x="61"/>
        <item x="56"/>
        <item x="67"/>
        <item x="57"/>
        <item x="59"/>
        <item x="13"/>
        <item x="68"/>
        <item x="75"/>
        <item x="73"/>
        <item x="63"/>
        <item x="364"/>
        <item x="470"/>
        <item x="362"/>
        <item x="51"/>
        <item x="360"/>
        <item x="359"/>
        <item x="49"/>
        <item x="113"/>
        <item x="331"/>
        <item x="50"/>
        <item x="106"/>
        <item x="105"/>
        <item x="384"/>
        <item x="89"/>
        <item x="399"/>
        <item x="373"/>
        <item x="126"/>
        <item x="387"/>
        <item x="367"/>
        <item x="394"/>
        <item x="379"/>
        <item x="385"/>
        <item x="372"/>
        <item x="103"/>
        <item x="383"/>
        <item x="121"/>
        <item x="369"/>
        <item x="401"/>
        <item x="76"/>
        <item x="84"/>
        <item x="119"/>
        <item x="114"/>
        <item x="390"/>
        <item x="101"/>
        <item x="380"/>
        <item x="30"/>
        <item x="110"/>
        <item x="77"/>
        <item x="397"/>
        <item x="10"/>
        <item x="83"/>
        <item x="128"/>
        <item x="86"/>
        <item x="107"/>
        <item x="395"/>
        <item x="131"/>
        <item x="0"/>
        <item x="102"/>
        <item x="91"/>
        <item x="92"/>
        <item x="381"/>
        <item x="120"/>
        <item x="371"/>
        <item x="109"/>
        <item x="124"/>
        <item x="116"/>
        <item x="132"/>
        <item x="388"/>
        <item x="396"/>
        <item x="135"/>
        <item x="374"/>
        <item x="95"/>
        <item x="80"/>
        <item x="370"/>
        <item x="400"/>
        <item x="117"/>
        <item x="32"/>
        <item x="108"/>
        <item x="125"/>
        <item x="123"/>
        <item x="376"/>
        <item x="378"/>
        <item x="402"/>
        <item x="100"/>
        <item x="85"/>
        <item x="88"/>
        <item x="112"/>
        <item x="97"/>
        <item x="104"/>
        <item x="393"/>
        <item x="115"/>
        <item x="111"/>
        <item x="382"/>
        <item x="392"/>
        <item x="375"/>
        <item x="82"/>
        <item x="87"/>
        <item x="134"/>
        <item x="136"/>
        <item x="368"/>
        <item x="422"/>
        <item x="96"/>
        <item x="122"/>
        <item x="127"/>
        <item x="118"/>
        <item x="129"/>
        <item x="412"/>
        <item x="423"/>
        <item x="426"/>
        <item x="417"/>
        <item x="79"/>
        <item x="391"/>
        <item x="94"/>
        <item x="99"/>
        <item x="98"/>
        <item x="377"/>
        <item x="130"/>
        <item x="389"/>
        <item x="398"/>
        <item x="242"/>
        <item x="386"/>
        <item x="429"/>
        <item x="421"/>
        <item x="403"/>
        <item x="137"/>
        <item x="133"/>
        <item x="81"/>
        <item x="93"/>
        <item x="424"/>
        <item x="90"/>
        <item x="78"/>
        <item x="4"/>
        <item x="155"/>
        <item x="413"/>
        <item x="190"/>
        <item x="180"/>
        <item x="198"/>
        <item x="175"/>
        <item x="411"/>
        <item x="142"/>
        <item x="189"/>
        <item x="149"/>
        <item x="187"/>
        <item x="168"/>
        <item x="213"/>
        <item x="214"/>
        <item x="193"/>
        <item x="146"/>
        <item x="409"/>
        <item x="161"/>
        <item x="195"/>
        <item x="164"/>
        <item x="215"/>
        <item x="145"/>
        <item x="184"/>
        <item x="404"/>
        <item x="183"/>
        <item x="207"/>
        <item x="170"/>
        <item x="144"/>
        <item x="178"/>
        <item x="427"/>
        <item x="157"/>
        <item x="33"/>
        <item x="405"/>
        <item x="35"/>
        <item x="172"/>
        <item x="171"/>
        <item x="419"/>
        <item x="209"/>
        <item x="176"/>
        <item x="169"/>
        <item x="194"/>
        <item x="420"/>
        <item x="196"/>
        <item x="414"/>
        <item x="406"/>
        <item x="416"/>
        <item x="407"/>
        <item x="418"/>
        <item x="160"/>
        <item x="167"/>
        <item x="179"/>
        <item x="428"/>
        <item x="199"/>
        <item x="415"/>
        <item x="202"/>
        <item x="410"/>
        <item x="154"/>
        <item x="205"/>
        <item x="425"/>
        <item x="188"/>
        <item x="185"/>
        <item x="408"/>
        <item x="201"/>
        <item x="159"/>
        <item x="210"/>
        <item x="177"/>
        <item x="216"/>
        <item x="150"/>
        <item x="206"/>
        <item x="151"/>
        <item x="212"/>
        <item x="139"/>
        <item x="147"/>
        <item x="197"/>
        <item x="156"/>
        <item x="436"/>
        <item x="446"/>
        <item x="200"/>
        <item x="459"/>
        <item x="432"/>
        <item x="173"/>
        <item x="162"/>
        <item x="453"/>
        <item x="186"/>
        <item x="450"/>
        <item x="141"/>
        <item x="181"/>
        <item x="152"/>
        <item x="192"/>
        <item x="204"/>
        <item x="166"/>
        <item x="191"/>
        <item x="143"/>
        <item x="211"/>
        <item x="443"/>
        <item x="158"/>
        <item x="448"/>
        <item x="148"/>
        <item x="441"/>
        <item x="431"/>
        <item x="439"/>
        <item x="455"/>
        <item x="451"/>
        <item x="153"/>
        <item x="182"/>
        <item x="165"/>
        <item x="458"/>
        <item x="203"/>
        <item x="138"/>
        <item x="208"/>
        <item x="163"/>
        <item x="437"/>
        <item x="457"/>
        <item x="2"/>
        <item x="440"/>
        <item x="174"/>
        <item x="27"/>
        <item x="140"/>
        <item x="454"/>
        <item x="20"/>
        <item x="434"/>
        <item x="481"/>
        <item t="default"/>
      </items>
    </pivotField>
    <pivotField axis="axisCol" showAll="0">
      <items count="5">
        <item x="1"/>
        <item x="0"/>
        <item x="2"/>
        <item h="1" x="3"/>
        <item t="default"/>
      </items>
    </pivotField>
    <pivotField showAll="0"/>
  </pivotFields>
  <rowItems count="1">
    <i/>
  </rowItems>
  <colFields count="1">
    <field x="18"/>
  </colFields>
  <colItems count="4">
    <i>
      <x/>
    </i>
    <i>
      <x v="1"/>
    </i>
    <i>
      <x v="2"/>
    </i>
    <i t="grand">
      <x/>
    </i>
  </colItems>
  <dataFields count="1">
    <dataField name="Count of car_full_name"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BC1A5F-1707-431D-B091-C9971C6AF71B}" name="Table1" displayName="Table1" ref="A1:P2000" totalsRowShown="0" headerRowDxfId="19" headerRowBorderDxfId="18" tableBorderDxfId="17" totalsRowBorderDxfId="16">
  <autoFilter ref="A1:P2000" xr:uid="{68BC1A5F-1707-431D-B091-C9971C6AF71B}"/>
  <tableColumns count="16">
    <tableColumn id="1" xr3:uid="{54684C07-E89A-4C83-9FF0-2FA2D502C7C2}" name="year" dataDxfId="15"/>
    <tableColumn id="2" xr3:uid="{DDA08E66-18F0-41B0-950E-E12C1E1AB39C}" name="make" dataDxfId="14"/>
    <tableColumn id="3" xr3:uid="{90B5071D-44EB-4F09-9960-9868F2B7FEF1}" name="model" dataDxfId="13"/>
    <tableColumn id="4" xr3:uid="{BE2E31D5-03B6-4BB7-AEF4-5C34E6E2C0F2}" name="trim" dataDxfId="12"/>
    <tableColumn id="5" xr3:uid="{263AE4BB-C003-4842-A5AC-AF0C3B4F592B}" name="body" dataDxfId="11"/>
    <tableColumn id="6" xr3:uid="{F7D29420-86FA-470A-8AD1-1900A1522525}" name="transmission" dataDxfId="10"/>
    <tableColumn id="7" xr3:uid="{BD537096-89D8-4C7C-8BD9-5ADC8F9BEE2A}" name="vin" dataDxfId="9"/>
    <tableColumn id="8" xr3:uid="{323F839D-82CC-4004-B07F-729359E23148}" name="state" dataDxfId="8"/>
    <tableColumn id="9" xr3:uid="{E0AB1F32-B24E-49F0-9CDB-CD8FEA5D6373}" name="condition" dataDxfId="7"/>
    <tableColumn id="10" xr3:uid="{98029C21-D576-4361-A367-27F22CED9B31}" name="odometer" dataDxfId="6"/>
    <tableColumn id="11" xr3:uid="{BE1DF84F-F4E7-4470-9544-22AD9BC4C34C}" name="color" dataDxfId="5"/>
    <tableColumn id="12" xr3:uid="{9B83EFFF-A4FB-4941-934F-11FFB26A7452}" name="interior" dataDxfId="4"/>
    <tableColumn id="13" xr3:uid="{B13AEDFF-F47F-457C-8509-EAACC6D03C0E}" name="seller" dataDxfId="3"/>
    <tableColumn id="14" xr3:uid="{485B29FA-F678-4D10-9482-55FCA36F41B3}" name="mmr" dataDxfId="2"/>
    <tableColumn id="15" xr3:uid="{C945615A-B123-41FF-B268-20766D712400}" name="sellingprice" dataDxfId="1" dataCellStyle="Comma"/>
    <tableColumn id="16" xr3:uid="{6E74F1C6-CE43-47EC-9CC5-CEBC290EE4F4}" name="sal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C7EE-9704-4DB3-8182-036ACFCBDF5A}">
  <dimension ref="A2:A17"/>
  <sheetViews>
    <sheetView workbookViewId="0">
      <selection activeCell="E7" sqref="E7"/>
    </sheetView>
  </sheetViews>
  <sheetFormatPr defaultRowHeight="15" x14ac:dyDescent="0.25"/>
  <cols>
    <col min="1" max="1" width="40.5703125" bestFit="1" customWidth="1"/>
  </cols>
  <sheetData>
    <row r="2" spans="1:1" x14ac:dyDescent="0.25">
      <c r="A2" s="15" t="s">
        <v>2884</v>
      </c>
    </row>
    <row r="3" spans="1:1" x14ac:dyDescent="0.25">
      <c r="A3" s="15" t="s">
        <v>2885</v>
      </c>
    </row>
    <row r="4" spans="1:1" x14ac:dyDescent="0.25">
      <c r="A4" s="15" t="s">
        <v>2886</v>
      </c>
    </row>
    <row r="5" spans="1:1" x14ac:dyDescent="0.25">
      <c r="A5" s="15" t="s">
        <v>2887</v>
      </c>
    </row>
    <row r="6" spans="1:1" x14ac:dyDescent="0.25">
      <c r="A6" s="15" t="s">
        <v>2888</v>
      </c>
    </row>
    <row r="7" spans="1:1" x14ac:dyDescent="0.25">
      <c r="A7" s="15" t="s">
        <v>2889</v>
      </c>
    </row>
    <row r="8" spans="1:1" x14ac:dyDescent="0.25">
      <c r="A8" s="15" t="s">
        <v>2890</v>
      </c>
    </row>
    <row r="9" spans="1:1" x14ac:dyDescent="0.25">
      <c r="A9" s="15" t="s">
        <v>2891</v>
      </c>
    </row>
    <row r="10" spans="1:1" x14ac:dyDescent="0.25">
      <c r="A10" s="15" t="s">
        <v>2892</v>
      </c>
    </row>
    <row r="11" spans="1:1" x14ac:dyDescent="0.25">
      <c r="A11" s="15" t="s">
        <v>2893</v>
      </c>
    </row>
    <row r="12" spans="1:1" x14ac:dyDescent="0.25">
      <c r="A12" s="15" t="s">
        <v>2894</v>
      </c>
    </row>
    <row r="13" spans="1:1" x14ac:dyDescent="0.25">
      <c r="A13" s="15" t="s">
        <v>2895</v>
      </c>
    </row>
    <row r="14" spans="1:1" x14ac:dyDescent="0.25">
      <c r="A14" s="15" t="s">
        <v>2896</v>
      </c>
    </row>
    <row r="15" spans="1:1" x14ac:dyDescent="0.25">
      <c r="A15" s="15" t="s">
        <v>2897</v>
      </c>
    </row>
    <row r="16" spans="1:1" x14ac:dyDescent="0.25">
      <c r="A16" s="15" t="s">
        <v>2898</v>
      </c>
    </row>
    <row r="17" spans="1:1" x14ac:dyDescent="0.25">
      <c r="A17" s="15" t="s">
        <v>2899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5D8A-BB41-429A-9597-1219EC00C5CD}">
  <dimension ref="A1:L15"/>
  <sheetViews>
    <sheetView workbookViewId="0">
      <selection activeCell="I1" sqref="I1:J1"/>
    </sheetView>
  </sheetViews>
  <sheetFormatPr defaultRowHeight="15" x14ac:dyDescent="0.25"/>
  <cols>
    <col min="1" max="2" width="16.28515625" bestFit="1" customWidth="1"/>
    <col min="3" max="3" width="4.7109375" customWidth="1"/>
    <col min="4" max="4" width="20" customWidth="1"/>
    <col min="5" max="6" width="16.28515625" bestFit="1" customWidth="1"/>
    <col min="7" max="7" width="5.5703125" customWidth="1"/>
    <col min="8" max="8" width="31.140625" customWidth="1"/>
    <col min="9" max="10" width="16.28515625" bestFit="1" customWidth="1"/>
    <col min="11" max="11" width="6.5703125" customWidth="1"/>
    <col min="12" max="12" width="23.140625" customWidth="1"/>
    <col min="13" max="388" width="16.28515625" bestFit="1" customWidth="1"/>
    <col min="389" max="389" width="11.28515625" bestFit="1" customWidth="1"/>
  </cols>
  <sheetData>
    <row r="1" spans="1:12" x14ac:dyDescent="0.25">
      <c r="A1" s="19" t="s">
        <v>14</v>
      </c>
      <c r="B1" s="19"/>
      <c r="C1" s="21"/>
      <c r="D1" s="21"/>
      <c r="E1" s="22" t="s">
        <v>8</v>
      </c>
      <c r="F1" s="22"/>
      <c r="I1" s="25" t="s">
        <v>9</v>
      </c>
      <c r="J1" s="25"/>
    </row>
    <row r="2" spans="1:12" x14ac:dyDescent="0.25">
      <c r="A2" s="24" t="s">
        <v>2903</v>
      </c>
      <c r="B2" s="1">
        <f>COUNT(Table1[sellingprice])</f>
        <v>1999</v>
      </c>
      <c r="E2" s="23" t="s">
        <v>2903</v>
      </c>
      <c r="F2" s="1">
        <f>COUNT(Table1[condition])</f>
        <v>1944</v>
      </c>
      <c r="I2" s="26" t="s">
        <v>2903</v>
      </c>
      <c r="J2" s="1">
        <f>COUNT((Table1[odometer]))</f>
        <v>1999</v>
      </c>
    </row>
    <row r="3" spans="1:12" x14ac:dyDescent="0.25">
      <c r="A3" s="24" t="s">
        <v>2904</v>
      </c>
      <c r="B3" s="1">
        <f>AVERAGE(Table1[sellingprice])</f>
        <v>20393.274137068533</v>
      </c>
      <c r="E3" s="23" t="s">
        <v>2904</v>
      </c>
      <c r="F3" s="1">
        <f>AVERAGE((Table1[condition]))</f>
        <v>33.529320987654323</v>
      </c>
      <c r="I3" s="26" t="s">
        <v>2904</v>
      </c>
      <c r="J3" s="1">
        <f>AVERAGE((Table1[odometer]))</f>
        <v>35371.082041020512</v>
      </c>
    </row>
    <row r="4" spans="1:12" x14ac:dyDescent="0.25">
      <c r="A4" s="24" t="s">
        <v>2882</v>
      </c>
      <c r="B4" s="1">
        <f>MEDIAN(Table1[sellingprice])</f>
        <v>18200</v>
      </c>
      <c r="E4" s="23" t="s">
        <v>2882</v>
      </c>
      <c r="F4" s="1">
        <f>MEDIAN((Table1[condition]))</f>
        <v>38</v>
      </c>
      <c r="I4" s="26" t="s">
        <v>2882</v>
      </c>
      <c r="J4" s="1">
        <f>MEDIAN((Table1[odometer]))</f>
        <v>32906</v>
      </c>
    </row>
    <row r="5" spans="1:12" x14ac:dyDescent="0.25">
      <c r="A5" s="24" t="s">
        <v>2905</v>
      </c>
      <c r="B5" s="1">
        <f>_xlfn.STDEV.S((Table1[sellingprice]))</f>
        <v>11708.734419209704</v>
      </c>
      <c r="E5" s="23" t="s">
        <v>2905</v>
      </c>
      <c r="F5" s="1">
        <f>_xlfn.STDEV.S((Table1[condition]))</f>
        <v>13.332177335230964</v>
      </c>
      <c r="I5" s="26" t="s">
        <v>2905</v>
      </c>
      <c r="J5" s="1">
        <f>_xlfn.STDEV.S((Table1[odometer]))</f>
        <v>29372.755446651605</v>
      </c>
    </row>
    <row r="6" spans="1:12" x14ac:dyDescent="0.25">
      <c r="A6" s="24" t="s">
        <v>2880</v>
      </c>
      <c r="B6" s="1">
        <f>_xlfn.QUARTILE.INC((Table1[sellingprice]), C6)</f>
        <v>1000</v>
      </c>
      <c r="C6" s="20">
        <v>0</v>
      </c>
      <c r="D6" s="30" t="str">
        <f>VLOOKUP(B6, car_sale_raw_dataset!O:R, 4, FALSE)</f>
        <v>Nissan Maxima 3.5 S</v>
      </c>
      <c r="E6" s="23" t="s">
        <v>2880</v>
      </c>
      <c r="F6" s="1">
        <f>_xlfn.QUARTILE.INC((Table1[condition]), G6)</f>
        <v>1</v>
      </c>
      <c r="G6" s="20">
        <v>0</v>
      </c>
      <c r="H6" s="30" t="str">
        <f>VLOOKUP(F6, car_sale_raw_dataset!$I:$R, 10, FALSE)</f>
        <v>Nissan Altima 2.5 S</v>
      </c>
      <c r="I6" s="26" t="s">
        <v>2880</v>
      </c>
      <c r="J6" s="1">
        <f>_xlfn.QUARTILE.INC((Table1[odometer]), K6)</f>
        <v>1</v>
      </c>
      <c r="K6" s="27">
        <v>0</v>
      </c>
      <c r="L6" t="str">
        <f>VLOOKUP(J6, car_sale_raw_dataset!$J:$R, 9, FALSE)</f>
        <v>Nissan Maxima 3.5 S</v>
      </c>
    </row>
    <row r="7" spans="1:12" x14ac:dyDescent="0.25">
      <c r="A7" s="24" t="s">
        <v>2906</v>
      </c>
      <c r="B7" s="1">
        <f>_xlfn.QUARTILE.INC((Table1[sellingprice]), C7)</f>
        <v>12100</v>
      </c>
      <c r="C7" s="20">
        <v>1</v>
      </c>
      <c r="D7" s="30"/>
      <c r="E7" s="23" t="s">
        <v>2906</v>
      </c>
      <c r="F7" s="1">
        <f>_xlfn.QUARTILE.INC((Table1[condition]), G7)</f>
        <v>29</v>
      </c>
      <c r="G7" s="20">
        <v>1</v>
      </c>
      <c r="H7" s="30"/>
      <c r="I7" s="26" t="s">
        <v>2906</v>
      </c>
      <c r="J7" s="1">
        <f>_xlfn.QUARTILE.INC((Table1[odometer]), K7)</f>
        <v>21323</v>
      </c>
      <c r="K7" s="27">
        <v>1</v>
      </c>
    </row>
    <row r="8" spans="1:12" x14ac:dyDescent="0.25">
      <c r="A8" s="24" t="s">
        <v>2907</v>
      </c>
      <c r="B8" s="1">
        <f>_xlfn.QUARTILE.INC((Table1[sellingprice]), C8)</f>
        <v>18200</v>
      </c>
      <c r="C8" s="20">
        <v>2</v>
      </c>
      <c r="D8" s="30"/>
      <c r="E8" s="23" t="s">
        <v>2907</v>
      </c>
      <c r="F8" s="1">
        <f>_xlfn.QUARTILE.INC((Table1[condition]), G8)</f>
        <v>38</v>
      </c>
      <c r="G8" s="20">
        <v>2</v>
      </c>
      <c r="H8" s="30"/>
      <c r="I8" s="26" t="s">
        <v>2907</v>
      </c>
      <c r="J8" s="1">
        <f>_xlfn.QUARTILE.INC((Table1[odometer]), K8)</f>
        <v>32906</v>
      </c>
      <c r="K8" s="27">
        <v>2</v>
      </c>
    </row>
    <row r="9" spans="1:12" x14ac:dyDescent="0.25">
      <c r="A9" s="24" t="s">
        <v>2908</v>
      </c>
      <c r="B9" s="1">
        <f>_xlfn.QUARTILE.INC((Table1[sellingprice]), C9)</f>
        <v>25000</v>
      </c>
      <c r="C9" s="20">
        <v>3</v>
      </c>
      <c r="D9" s="30"/>
      <c r="E9" s="23" t="s">
        <v>2908</v>
      </c>
      <c r="F9" s="1">
        <f>_xlfn.QUARTILE.INC((Table1[condition]), G9)</f>
        <v>43</v>
      </c>
      <c r="G9" s="20">
        <v>3</v>
      </c>
      <c r="H9" s="30"/>
      <c r="I9" s="26" t="s">
        <v>2908</v>
      </c>
      <c r="J9" s="1">
        <f>_xlfn.QUARTILE.INC((Table1[odometer]), K9)</f>
        <v>43261</v>
      </c>
      <c r="K9" s="27">
        <v>3</v>
      </c>
    </row>
    <row r="10" spans="1:12" x14ac:dyDescent="0.25">
      <c r="A10" s="24" t="s">
        <v>2881</v>
      </c>
      <c r="B10" s="1">
        <f>_xlfn.QUARTILE.INC((Table1[sellingprice]), C10)</f>
        <v>154000</v>
      </c>
      <c r="C10" s="20">
        <v>4</v>
      </c>
      <c r="D10" s="30" t="str">
        <f>VLOOKUP(B10, car_sale_raw_dataset!O:R, 4, FALSE)</f>
        <v>Ferrari California Base</v>
      </c>
      <c r="E10" s="23" t="s">
        <v>2881</v>
      </c>
      <c r="F10" s="1">
        <f>_xlfn.QUARTILE.INC((Table1[condition]), G10)</f>
        <v>49</v>
      </c>
      <c r="G10" s="20">
        <v>4</v>
      </c>
      <c r="H10" s="30" t="str">
        <f>VLOOKUP(F10, car_sale_raw_dataset!$I:$R, 10, FALSE)</f>
        <v>Audi Q5 2.0T Premium Plus quattro</v>
      </c>
      <c r="I10" s="26" t="s">
        <v>2881</v>
      </c>
      <c r="J10" s="28">
        <f>_xlfn.QUARTILE.INC((Table1[odometer]), K10)</f>
        <v>999999</v>
      </c>
      <c r="K10" s="27">
        <v>4</v>
      </c>
      <c r="L10" t="str">
        <f>VLOOKUP(J10, car_sale_raw_dataset!$J:$R, 9, FALSE)</f>
        <v>Hyundai Elantra Coupe GS</v>
      </c>
    </row>
    <row r="11" spans="1:12" x14ac:dyDescent="0.25">
      <c r="A11" s="24" t="s">
        <v>2909</v>
      </c>
      <c r="B11" s="1">
        <f>MODE((Table1[sellingprice]))</f>
        <v>21000</v>
      </c>
      <c r="E11" s="23" t="s">
        <v>2909</v>
      </c>
      <c r="F11" s="1">
        <f>MODE((Table1[condition]))</f>
        <v>44</v>
      </c>
      <c r="I11" s="26" t="s">
        <v>2909</v>
      </c>
      <c r="J11" s="1">
        <f>MODE((Table1[odometer]))</f>
        <v>13661</v>
      </c>
    </row>
    <row r="14" spans="1:12" x14ac:dyDescent="0.25">
      <c r="E14" s="29"/>
    </row>
    <row r="15" spans="1:12" x14ac:dyDescent="0.25">
      <c r="F15" s="30"/>
    </row>
  </sheetData>
  <mergeCells count="3">
    <mergeCell ref="A1:B1"/>
    <mergeCell ref="E1:F1"/>
    <mergeCell ref="I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0D62-C9E5-45B2-A854-AF7F73B7A1B5}">
  <dimension ref="A3:J18"/>
  <sheetViews>
    <sheetView workbookViewId="0">
      <selection activeCell="K17" sqref="K17"/>
    </sheetView>
  </sheetViews>
  <sheetFormatPr defaultRowHeight="15" x14ac:dyDescent="0.25"/>
  <cols>
    <col min="1" max="1" width="15" customWidth="1"/>
    <col min="2" max="2" width="20.5703125" customWidth="1"/>
    <col min="5" max="5" width="14.7109375" customWidth="1"/>
    <col min="6" max="6" width="21.7109375" customWidth="1"/>
    <col min="7" max="7" width="9.140625" customWidth="1"/>
    <col min="9" max="9" width="16.85546875" customWidth="1"/>
    <col min="10" max="10" width="17" customWidth="1"/>
  </cols>
  <sheetData>
    <row r="3" spans="1:10" x14ac:dyDescent="0.25">
      <c r="A3" s="16" t="s">
        <v>2900</v>
      </c>
      <c r="B3" t="s">
        <v>2910</v>
      </c>
      <c r="E3" s="16" t="s">
        <v>2900</v>
      </c>
      <c r="F3" t="s">
        <v>2911</v>
      </c>
      <c r="I3" s="16" t="s">
        <v>2900</v>
      </c>
      <c r="J3" t="s">
        <v>2912</v>
      </c>
    </row>
    <row r="4" spans="1:10" x14ac:dyDescent="0.25">
      <c r="A4" s="17" t="s">
        <v>29</v>
      </c>
      <c r="B4" s="18">
        <v>330</v>
      </c>
      <c r="E4" s="17" t="s">
        <v>30</v>
      </c>
      <c r="F4" s="18">
        <v>151</v>
      </c>
      <c r="I4" s="17" t="s">
        <v>1282</v>
      </c>
      <c r="J4" s="18">
        <v>109</v>
      </c>
    </row>
    <row r="5" spans="1:10" x14ac:dyDescent="0.25">
      <c r="A5" s="17" t="s">
        <v>85</v>
      </c>
      <c r="B5" s="18">
        <v>137</v>
      </c>
      <c r="E5" s="17" t="s">
        <v>48</v>
      </c>
      <c r="F5" s="18">
        <v>118</v>
      </c>
      <c r="I5" s="17" t="s">
        <v>54</v>
      </c>
      <c r="J5" s="18">
        <v>173</v>
      </c>
    </row>
    <row r="6" spans="1:10" x14ac:dyDescent="0.25">
      <c r="A6" s="17" t="s">
        <v>98</v>
      </c>
      <c r="B6" s="18">
        <v>189</v>
      </c>
      <c r="E6" s="17" t="s">
        <v>219</v>
      </c>
      <c r="F6" s="18">
        <v>53</v>
      </c>
      <c r="I6" s="17" t="s">
        <v>324</v>
      </c>
      <c r="J6" s="18">
        <v>139</v>
      </c>
    </row>
    <row r="7" spans="1:10" x14ac:dyDescent="0.25">
      <c r="A7" s="17" t="s">
        <v>318</v>
      </c>
      <c r="B7" s="18">
        <v>249</v>
      </c>
      <c r="E7" s="17" t="s">
        <v>323</v>
      </c>
      <c r="F7" s="18">
        <v>181</v>
      </c>
      <c r="I7" s="17" t="s">
        <v>348</v>
      </c>
      <c r="J7" s="18">
        <v>86</v>
      </c>
    </row>
    <row r="8" spans="1:10" x14ac:dyDescent="0.25">
      <c r="A8" s="17" t="s">
        <v>47</v>
      </c>
      <c r="B8" s="18">
        <v>244</v>
      </c>
      <c r="E8" s="17" t="s">
        <v>99</v>
      </c>
      <c r="F8" s="18">
        <v>54</v>
      </c>
      <c r="I8" s="17" t="s">
        <v>87</v>
      </c>
      <c r="J8" s="18">
        <v>88</v>
      </c>
    </row>
    <row r="9" spans="1:10" x14ac:dyDescent="0.25">
      <c r="A9" s="17" t="s">
        <v>2901</v>
      </c>
      <c r="B9" s="18">
        <v>1149</v>
      </c>
      <c r="E9" s="17" t="s">
        <v>2901</v>
      </c>
      <c r="F9" s="18">
        <v>557</v>
      </c>
      <c r="I9" s="17" t="s">
        <v>2901</v>
      </c>
      <c r="J9" s="18">
        <v>595</v>
      </c>
    </row>
    <row r="10" spans="1:10" x14ac:dyDescent="0.25">
      <c r="A10" s="17"/>
      <c r="B10" s="18"/>
    </row>
    <row r="12" spans="1:10" x14ac:dyDescent="0.25">
      <c r="A12" s="16" t="s">
        <v>2900</v>
      </c>
      <c r="B12" t="s">
        <v>2913</v>
      </c>
    </row>
    <row r="13" spans="1:10" x14ac:dyDescent="0.25">
      <c r="A13" s="17" t="s">
        <v>71</v>
      </c>
      <c r="B13" s="18">
        <v>103</v>
      </c>
    </row>
    <row r="14" spans="1:10" x14ac:dyDescent="0.25">
      <c r="A14" s="17" t="s">
        <v>323</v>
      </c>
      <c r="B14" s="18">
        <v>181</v>
      </c>
    </row>
    <row r="15" spans="1:10" x14ac:dyDescent="0.25">
      <c r="A15" s="17" t="s">
        <v>227</v>
      </c>
      <c r="B15" s="18">
        <v>145</v>
      </c>
    </row>
    <row r="16" spans="1:10" x14ac:dyDescent="0.25">
      <c r="A16" s="17" t="s">
        <v>32</v>
      </c>
      <c r="B16" s="18">
        <v>961</v>
      </c>
    </row>
    <row r="17" spans="1:2" x14ac:dyDescent="0.25">
      <c r="A17" s="17" t="s">
        <v>19</v>
      </c>
      <c r="B17" s="18">
        <v>320</v>
      </c>
    </row>
    <row r="18" spans="1:2" x14ac:dyDescent="0.25">
      <c r="A18" s="17" t="s">
        <v>2901</v>
      </c>
      <c r="B18" s="18">
        <v>1710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00"/>
  <sheetViews>
    <sheetView topLeftCell="O1" workbookViewId="0">
      <selection activeCell="T2" sqref="T2"/>
    </sheetView>
  </sheetViews>
  <sheetFormatPr defaultRowHeight="15" x14ac:dyDescent="0.25"/>
  <cols>
    <col min="1" max="1" width="7" customWidth="1"/>
    <col min="2" max="2" width="14.85546875" bestFit="1" customWidth="1"/>
    <col min="3" max="3" width="20.28515625" bestFit="1" customWidth="1"/>
    <col min="4" max="4" width="27.5703125" customWidth="1"/>
    <col min="5" max="5" width="14.28515625" bestFit="1" customWidth="1"/>
    <col min="6" max="6" width="14.42578125" customWidth="1"/>
    <col min="7" max="7" width="21.5703125" bestFit="1" customWidth="1"/>
    <col min="8" max="8" width="7.5703125" customWidth="1"/>
    <col min="9" max="9" width="11.5703125" customWidth="1"/>
    <col min="10" max="10" width="12" customWidth="1"/>
    <col min="11" max="11" width="9.5703125" customWidth="1"/>
    <col min="12" max="12" width="9.85546875" customWidth="1"/>
    <col min="13" max="13" width="45.28515625" customWidth="1"/>
    <col min="14" max="14" width="7.28515625" customWidth="1"/>
    <col min="15" max="15" width="13.42578125" customWidth="1"/>
    <col min="16" max="16" width="38.42578125" customWidth="1"/>
    <col min="17" max="17" width="14.7109375" customWidth="1"/>
    <col min="18" max="18" width="45.5703125" customWidth="1"/>
    <col min="19" max="19" width="13.85546875" customWidth="1"/>
    <col min="20" max="20" width="9.140625" customWidth="1"/>
    <col min="22" max="22" width="10.85546875" customWidth="1"/>
    <col min="23" max="23" width="13.5703125" customWidth="1"/>
    <col min="24" max="24" width="15.28515625" customWidth="1"/>
  </cols>
  <sheetData>
    <row r="1" spans="1:24"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6" t="s">
        <v>15</v>
      </c>
      <c r="Q1" s="14" t="s">
        <v>2878</v>
      </c>
      <c r="R1" s="14" t="s">
        <v>2877</v>
      </c>
      <c r="S1" s="14" t="s">
        <v>2879</v>
      </c>
      <c r="T1" s="14" t="s">
        <v>2883</v>
      </c>
    </row>
    <row r="2" spans="1:24" x14ac:dyDescent="0.25">
      <c r="A2" s="2">
        <v>2015</v>
      </c>
      <c r="B2" s="1" t="s">
        <v>16</v>
      </c>
      <c r="C2" s="1" t="s">
        <v>17</v>
      </c>
      <c r="D2" s="1" t="s">
        <v>18</v>
      </c>
      <c r="E2" s="1" t="s">
        <v>19</v>
      </c>
      <c r="F2" s="1" t="s">
        <v>20</v>
      </c>
      <c r="G2" s="1" t="s">
        <v>21</v>
      </c>
      <c r="H2" s="1" t="s">
        <v>22</v>
      </c>
      <c r="I2" s="1">
        <v>5</v>
      </c>
      <c r="J2" s="1">
        <v>16639</v>
      </c>
      <c r="K2" s="1" t="s">
        <v>23</v>
      </c>
      <c r="L2" s="1" t="s">
        <v>24</v>
      </c>
      <c r="M2" s="1" t="s">
        <v>25</v>
      </c>
      <c r="N2" s="1">
        <v>20500</v>
      </c>
      <c r="O2" s="12">
        <v>21500</v>
      </c>
      <c r="P2" s="3" t="s">
        <v>26</v>
      </c>
      <c r="Q2" s="1" cm="1">
        <f t="array" ref="Q2">VALUE(INDEX(_xlfn.TEXTSPLIT(P2, " "), 4))</f>
        <v>2014</v>
      </c>
      <c r="R2" s="1" t="str">
        <f>_xlfn.TEXTJOIN(" ", TRUE, B2, C2, D2)</f>
        <v>Kia Sorento LX</v>
      </c>
      <c r="S2" s="1" t="str" cm="1">
        <f t="array" ref="S2">_xlfn.IFS(I2 &gt;= 40, "High", I2&gt;=20, "Medium", I2&lt;20, "Low")</f>
        <v>Low</v>
      </c>
      <c r="T2" s="1" t="str" cm="1">
        <f t="array" ref="T2">_xlfn.IFS(O2&lt;18200, "Low", O2&lt;=50000, "Medium", O2&gt;50000, "High")</f>
        <v>Medium</v>
      </c>
      <c r="W2" s="10" t="s">
        <v>2880</v>
      </c>
      <c r="X2" s="10">
        <f>MIN(O:O)</f>
        <v>1000</v>
      </c>
    </row>
    <row r="3" spans="1:24" x14ac:dyDescent="0.25">
      <c r="A3" s="2">
        <v>2015</v>
      </c>
      <c r="B3" s="1" t="s">
        <v>16</v>
      </c>
      <c r="C3" s="1" t="s">
        <v>17</v>
      </c>
      <c r="D3" s="1" t="s">
        <v>18</v>
      </c>
      <c r="E3" s="1" t="s">
        <v>19</v>
      </c>
      <c r="F3" s="1" t="s">
        <v>20</v>
      </c>
      <c r="G3" s="1" t="s">
        <v>27</v>
      </c>
      <c r="H3" s="1" t="s">
        <v>22</v>
      </c>
      <c r="I3" s="1">
        <v>5</v>
      </c>
      <c r="J3" s="1">
        <v>9393</v>
      </c>
      <c r="K3" s="1" t="s">
        <v>23</v>
      </c>
      <c r="L3" s="1" t="s">
        <v>28</v>
      </c>
      <c r="M3" s="1" t="s">
        <v>25</v>
      </c>
      <c r="N3" s="1">
        <v>20800</v>
      </c>
      <c r="O3" s="12">
        <v>21500</v>
      </c>
      <c r="P3" s="3" t="s">
        <v>26</v>
      </c>
      <c r="Q3" s="1" cm="1">
        <f t="array" ref="Q3">VALUE(INDEX(_xlfn.TEXTSPLIT(P3, " "), 4))</f>
        <v>2014</v>
      </c>
      <c r="R3" s="1" t="str">
        <f t="shared" ref="R3:R66" si="0">_xlfn.TEXTJOIN(" ", TRUE, B3, C3, D3)</f>
        <v>Kia Sorento LX</v>
      </c>
      <c r="S3" s="1" t="str" cm="1">
        <f t="array" ref="S3">_xlfn.IFS(I3 &gt;= 40, "High", I3&gt;=20, "Medium", I3&lt;20, "Low")</f>
        <v>Low</v>
      </c>
      <c r="T3" s="1" t="str" cm="1">
        <f t="array" ref="T3">_xlfn.IFS(O3&lt;18200, "Low", O3&lt;=50000, "Medium", O3&gt;50000, "High")</f>
        <v>Medium</v>
      </c>
      <c r="W3" s="10" t="s">
        <v>2882</v>
      </c>
      <c r="X3" s="10">
        <f>MEDIAN(O:O)</f>
        <v>18200</v>
      </c>
    </row>
    <row r="4" spans="1:24" x14ac:dyDescent="0.25">
      <c r="A4" s="2">
        <v>2014</v>
      </c>
      <c r="B4" s="1" t="s">
        <v>29</v>
      </c>
      <c r="C4" s="1" t="s">
        <v>30</v>
      </c>
      <c r="D4" s="1" t="s">
        <v>31</v>
      </c>
      <c r="E4" s="1" t="s">
        <v>32</v>
      </c>
      <c r="F4" s="1" t="s">
        <v>20</v>
      </c>
      <c r="G4" s="1" t="s">
        <v>33</v>
      </c>
      <c r="H4" s="1" t="s">
        <v>22</v>
      </c>
      <c r="I4" s="1">
        <v>45</v>
      </c>
      <c r="J4" s="1">
        <v>1331</v>
      </c>
      <c r="K4" s="1" t="s">
        <v>34</v>
      </c>
      <c r="L4" s="1" t="s">
        <v>24</v>
      </c>
      <c r="M4" s="1" t="s">
        <v>35</v>
      </c>
      <c r="N4" s="1">
        <v>31900</v>
      </c>
      <c r="O4" s="12">
        <v>30000</v>
      </c>
      <c r="P4" s="3" t="s">
        <v>36</v>
      </c>
      <c r="Q4" s="1" cm="1">
        <f t="array" ref="Q4">VALUE(INDEX(_xlfn.TEXTSPLIT(P4, " "), 4))</f>
        <v>2015</v>
      </c>
      <c r="R4" s="1" t="str">
        <f t="shared" si="0"/>
        <v>BMW 3 Series 328i SULEV</v>
      </c>
      <c r="S4" s="1" t="str" cm="1">
        <f t="array" ref="S4">_xlfn.IFS(I4 &gt;= 40, "High", I4&gt;=20, "Medium", I4&lt;20, "Low")</f>
        <v>High</v>
      </c>
      <c r="T4" s="1" t="str" cm="1">
        <f t="array" ref="T4">_xlfn.IFS(O4&lt;18200, "Low", O4&lt;=50000, "Medium", O4&gt;50000, "High")</f>
        <v>Medium</v>
      </c>
      <c r="W4" s="10" t="s">
        <v>2881</v>
      </c>
      <c r="X4" s="10">
        <f>MAX(O:O)</f>
        <v>154000</v>
      </c>
    </row>
    <row r="5" spans="1:24" x14ac:dyDescent="0.25">
      <c r="A5" s="2">
        <v>2015</v>
      </c>
      <c r="B5" s="1" t="s">
        <v>37</v>
      </c>
      <c r="C5" s="1" t="s">
        <v>38</v>
      </c>
      <c r="D5" s="1" t="s">
        <v>39</v>
      </c>
      <c r="E5" s="1" t="s">
        <v>32</v>
      </c>
      <c r="F5" s="1" t="s">
        <v>20</v>
      </c>
      <c r="G5" s="1" t="s">
        <v>40</v>
      </c>
      <c r="H5" s="1" t="s">
        <v>22</v>
      </c>
      <c r="I5" s="1">
        <v>41</v>
      </c>
      <c r="J5" s="1">
        <v>14282</v>
      </c>
      <c r="K5" s="1" t="s">
        <v>23</v>
      </c>
      <c r="L5" s="1" t="s">
        <v>24</v>
      </c>
      <c r="M5" s="1" t="s">
        <v>41</v>
      </c>
      <c r="N5" s="1">
        <v>27500</v>
      </c>
      <c r="O5" s="12">
        <v>27750</v>
      </c>
      <c r="P5" s="3" t="s">
        <v>42</v>
      </c>
      <c r="Q5" s="1" cm="1">
        <f t="array" ref="Q5">VALUE(INDEX(_xlfn.TEXTSPLIT(P5, " "), 4))</f>
        <v>2015</v>
      </c>
      <c r="R5" s="1" t="str">
        <f t="shared" si="0"/>
        <v>Volvo S60 T5</v>
      </c>
      <c r="S5" s="1" t="str" cm="1">
        <f t="array" ref="S5">_xlfn.IFS(I5 &gt;= 40, "High", I5&gt;=20, "Medium", I5&lt;20, "Low")</f>
        <v>High</v>
      </c>
      <c r="T5" s="1" t="str" cm="1">
        <f t="array" ref="T5">_xlfn.IFS(O5&lt;18200, "Low", O5&lt;=50000, "Medium", O5&gt;50000, "High")</f>
        <v>Medium</v>
      </c>
      <c r="W5" s="10"/>
    </row>
    <row r="6" spans="1:24" x14ac:dyDescent="0.25">
      <c r="A6" s="2">
        <v>2014</v>
      </c>
      <c r="B6" s="1" t="s">
        <v>29</v>
      </c>
      <c r="C6" s="1" t="s">
        <v>43</v>
      </c>
      <c r="D6" s="1" t="s">
        <v>44</v>
      </c>
      <c r="E6" s="1" t="s">
        <v>32</v>
      </c>
      <c r="F6" s="1" t="s">
        <v>20</v>
      </c>
      <c r="G6" s="1" t="s">
        <v>45</v>
      </c>
      <c r="H6" s="1" t="s">
        <v>22</v>
      </c>
      <c r="I6" s="1">
        <v>43</v>
      </c>
      <c r="J6" s="1">
        <v>2641</v>
      </c>
      <c r="K6" s="1" t="s">
        <v>34</v>
      </c>
      <c r="L6" s="1" t="s">
        <v>24</v>
      </c>
      <c r="M6" s="1" t="s">
        <v>35</v>
      </c>
      <c r="N6" s="1">
        <v>66000</v>
      </c>
      <c r="O6" s="12">
        <v>67000</v>
      </c>
      <c r="P6" s="3" t="s">
        <v>46</v>
      </c>
      <c r="Q6" s="1" cm="1">
        <f t="array" ref="Q6">VALUE(INDEX(_xlfn.TEXTSPLIT(P6, " "), 4))</f>
        <v>2014</v>
      </c>
      <c r="R6" s="1" t="str">
        <f t="shared" si="0"/>
        <v>BMW 6 Series Gran Coupe 650i</v>
      </c>
      <c r="S6" s="1" t="str" cm="1">
        <f t="array" ref="S6">_xlfn.IFS(I6 &gt;= 40, "High", I6&gt;=20, "Medium", I6&lt;20, "Low")</f>
        <v>High</v>
      </c>
      <c r="T6" s="1" t="str" cm="1">
        <f t="array" ref="T6">_xlfn.IFS(O6&lt;18200, "Low", O6&lt;=50000, "Medium", O6&gt;50000, "High")</f>
        <v>High</v>
      </c>
    </row>
    <row r="7" spans="1:24" x14ac:dyDescent="0.25">
      <c r="A7" s="2">
        <v>2015</v>
      </c>
      <c r="B7" s="1" t="s">
        <v>47</v>
      </c>
      <c r="C7" s="1" t="s">
        <v>48</v>
      </c>
      <c r="D7" s="1" t="s">
        <v>49</v>
      </c>
      <c r="E7" s="1" t="s">
        <v>32</v>
      </c>
      <c r="F7" s="1" t="s">
        <v>20</v>
      </c>
      <c r="G7" s="1" t="s">
        <v>50</v>
      </c>
      <c r="H7" s="1" t="s">
        <v>22</v>
      </c>
      <c r="I7" s="1">
        <v>1</v>
      </c>
      <c r="J7" s="1">
        <v>5554</v>
      </c>
      <c r="K7" s="1" t="s">
        <v>34</v>
      </c>
      <c r="L7" s="1" t="s">
        <v>24</v>
      </c>
      <c r="M7" s="1" t="s">
        <v>51</v>
      </c>
      <c r="N7" s="1">
        <v>15350</v>
      </c>
      <c r="O7" s="12">
        <v>10900</v>
      </c>
      <c r="P7" s="3" t="s">
        <v>52</v>
      </c>
      <c r="Q7" s="1" cm="1">
        <f t="array" ref="Q7">VALUE(INDEX(_xlfn.TEXTSPLIT(P7, " "), 4))</f>
        <v>2014</v>
      </c>
      <c r="R7" s="1" t="str">
        <f t="shared" si="0"/>
        <v>Nissan Altima 2.5 S</v>
      </c>
      <c r="S7" s="1" t="str" cm="1">
        <f t="array" ref="S7">_xlfn.IFS(I7 &gt;= 40, "High", I7&gt;=20, "Medium", I7&lt;20, "Low")</f>
        <v>Low</v>
      </c>
      <c r="T7" s="1" t="str" cm="1">
        <f t="array" ref="T7">_xlfn.IFS(O7&lt;18200, "Low", O7&lt;=50000, "Medium", O7&gt;50000, "High")</f>
        <v>Low</v>
      </c>
    </row>
    <row r="8" spans="1:24" x14ac:dyDescent="0.25">
      <c r="A8" s="2">
        <v>2014</v>
      </c>
      <c r="B8" s="1" t="s">
        <v>29</v>
      </c>
      <c r="C8" s="1" t="s">
        <v>53</v>
      </c>
      <c r="D8" s="1" t="s">
        <v>54</v>
      </c>
      <c r="E8" s="1" t="s">
        <v>32</v>
      </c>
      <c r="F8" s="1" t="s">
        <v>20</v>
      </c>
      <c r="G8" s="1" t="s">
        <v>55</v>
      </c>
      <c r="H8" s="1" t="s">
        <v>22</v>
      </c>
      <c r="I8" s="1">
        <v>34</v>
      </c>
      <c r="J8" s="1">
        <v>14943</v>
      </c>
      <c r="K8" s="1" t="s">
        <v>24</v>
      </c>
      <c r="L8" s="1" t="s">
        <v>24</v>
      </c>
      <c r="M8" s="1" t="s">
        <v>56</v>
      </c>
      <c r="N8" s="1">
        <v>69000</v>
      </c>
      <c r="O8" s="12">
        <v>65000</v>
      </c>
      <c r="P8" s="3" t="s">
        <v>57</v>
      </c>
      <c r="Q8" s="1" cm="1">
        <f t="array" ref="Q8">VALUE(INDEX(_xlfn.TEXTSPLIT(P8, " "), 4))</f>
        <v>2014</v>
      </c>
      <c r="R8" s="1" t="str">
        <f t="shared" si="0"/>
        <v>BMW M5 Base</v>
      </c>
      <c r="S8" s="1" t="str" cm="1">
        <f t="array" ref="S8">_xlfn.IFS(I8 &gt;= 40, "High", I8&gt;=20, "Medium", I8&lt;20, "Low")</f>
        <v>Medium</v>
      </c>
      <c r="T8" s="1" t="str" cm="1">
        <f t="array" ref="T8">_xlfn.IFS(O8&lt;18200, "Low", O8&lt;=50000, "Medium", O8&gt;50000, "High")</f>
        <v>High</v>
      </c>
      <c r="W8" s="11">
        <f>FIND(1, J:J)</f>
        <v>1</v>
      </c>
      <c r="X8" s="10"/>
    </row>
    <row r="9" spans="1:24" x14ac:dyDescent="0.25">
      <c r="A9" s="2">
        <v>2014</v>
      </c>
      <c r="B9" s="1" t="s">
        <v>58</v>
      </c>
      <c r="C9" s="1" t="s">
        <v>59</v>
      </c>
      <c r="D9" s="1" t="s">
        <v>60</v>
      </c>
      <c r="E9" s="1" t="s">
        <v>32</v>
      </c>
      <c r="F9" s="1" t="s">
        <v>20</v>
      </c>
      <c r="G9" s="1" t="s">
        <v>61</v>
      </c>
      <c r="H9" s="1" t="s">
        <v>22</v>
      </c>
      <c r="I9" s="1">
        <v>2</v>
      </c>
      <c r="J9" s="1">
        <v>28617</v>
      </c>
      <c r="K9" s="1" t="s">
        <v>24</v>
      </c>
      <c r="L9" s="1" t="s">
        <v>24</v>
      </c>
      <c r="M9" s="1" t="s">
        <v>51</v>
      </c>
      <c r="N9" s="1">
        <v>11900</v>
      </c>
      <c r="O9" s="12">
        <v>9800</v>
      </c>
      <c r="P9" s="3" t="s">
        <v>62</v>
      </c>
      <c r="Q9" s="1" cm="1">
        <f t="array" ref="Q9">VALUE(INDEX(_xlfn.TEXTSPLIT(P9, " "), 4))</f>
        <v>2014</v>
      </c>
      <c r="R9" s="1" t="str">
        <f t="shared" si="0"/>
        <v>Chevrolet Cruze 1LT</v>
      </c>
      <c r="S9" s="1" t="str" cm="1">
        <f t="array" ref="S9">_xlfn.IFS(I9 &gt;= 40, "High", I9&gt;=20, "Medium", I9&lt;20, "Low")</f>
        <v>Low</v>
      </c>
      <c r="T9" s="1" t="str" cm="1">
        <f t="array" ref="T9">_xlfn.IFS(O9&lt;18200, "Low", O9&lt;=50000, "Medium", O9&gt;50000, "High")</f>
        <v>Low</v>
      </c>
      <c r="W9" s="11"/>
      <c r="X9" s="10"/>
    </row>
    <row r="10" spans="1:24" x14ac:dyDescent="0.25">
      <c r="A10" s="2">
        <v>2014</v>
      </c>
      <c r="B10" s="1" t="s">
        <v>63</v>
      </c>
      <c r="C10" s="1" t="s">
        <v>64</v>
      </c>
      <c r="D10" s="1" t="s">
        <v>65</v>
      </c>
      <c r="E10" s="1" t="s">
        <v>32</v>
      </c>
      <c r="F10" s="1" t="s">
        <v>20</v>
      </c>
      <c r="G10" s="1" t="s">
        <v>66</v>
      </c>
      <c r="H10" s="1" t="s">
        <v>22</v>
      </c>
      <c r="I10" s="1">
        <v>42</v>
      </c>
      <c r="J10" s="1">
        <v>9557</v>
      </c>
      <c r="K10" s="1" t="s">
        <v>23</v>
      </c>
      <c r="L10" s="1" t="s">
        <v>24</v>
      </c>
      <c r="M10" s="1" t="s">
        <v>67</v>
      </c>
      <c r="N10" s="1">
        <v>32100</v>
      </c>
      <c r="O10" s="12">
        <v>32250</v>
      </c>
      <c r="P10" s="3" t="s">
        <v>68</v>
      </c>
      <c r="Q10" s="1" cm="1">
        <f t="array" ref="Q10">VALUE(INDEX(_xlfn.TEXTSPLIT(P10, " "), 4))</f>
        <v>2014</v>
      </c>
      <c r="R10" s="1" t="str">
        <f t="shared" si="0"/>
        <v>Audi A4 2.0T Premium Plus quattro</v>
      </c>
      <c r="S10" s="1" t="str" cm="1">
        <f t="array" ref="S10">_xlfn.IFS(I10 &gt;= 40, "High", I10&gt;=20, "Medium", I10&lt;20, "Low")</f>
        <v>High</v>
      </c>
      <c r="T10" s="1" t="str" cm="1">
        <f t="array" ref="T10">_xlfn.IFS(O10&lt;18200, "Low", O10&lt;=50000, "Medium", O10&gt;50000, "High")</f>
        <v>Medium</v>
      </c>
      <c r="W10" s="11"/>
      <c r="X10" s="10"/>
    </row>
    <row r="11" spans="1:24" x14ac:dyDescent="0.25">
      <c r="A11" s="2">
        <v>2014</v>
      </c>
      <c r="B11" s="1" t="s">
        <v>58</v>
      </c>
      <c r="C11" s="1" t="s">
        <v>69</v>
      </c>
      <c r="D11" s="1" t="s">
        <v>70</v>
      </c>
      <c r="E11" s="1" t="s">
        <v>71</v>
      </c>
      <c r="F11" s="1" t="s">
        <v>20</v>
      </c>
      <c r="G11" s="1" t="s">
        <v>72</v>
      </c>
      <c r="H11" s="1" t="s">
        <v>22</v>
      </c>
      <c r="I11" s="1">
        <v>3</v>
      </c>
      <c r="J11" s="1">
        <v>4809</v>
      </c>
      <c r="K11" s="1" t="s">
        <v>73</v>
      </c>
      <c r="L11" s="1" t="s">
        <v>24</v>
      </c>
      <c r="M11" s="1" t="s">
        <v>74</v>
      </c>
      <c r="N11" s="1">
        <v>26300</v>
      </c>
      <c r="O11" s="12">
        <v>17500</v>
      </c>
      <c r="P11" s="3" t="s">
        <v>75</v>
      </c>
      <c r="Q11" s="1" cm="1">
        <f t="array" ref="Q11">VALUE(INDEX(_xlfn.TEXTSPLIT(P11, " "), 4))</f>
        <v>2015</v>
      </c>
      <c r="R11" s="1" t="str">
        <f t="shared" si="0"/>
        <v>Chevrolet Camaro LT</v>
      </c>
      <c r="S11" s="1" t="str" cm="1">
        <f t="array" ref="S11">_xlfn.IFS(I11 &gt;= 40, "High", I11&gt;=20, "Medium", I11&lt;20, "Low")</f>
        <v>Low</v>
      </c>
      <c r="T11" s="1" t="str" cm="1">
        <f t="array" ref="T11">_xlfn.IFS(O11&lt;18200, "Low", O11&lt;=50000, "Medium", O11&gt;50000, "High")</f>
        <v>Low</v>
      </c>
      <c r="W11" s="11"/>
      <c r="X11" s="10"/>
    </row>
    <row r="12" spans="1:24" x14ac:dyDescent="0.25">
      <c r="A12" s="2">
        <v>2014</v>
      </c>
      <c r="B12" s="1" t="s">
        <v>63</v>
      </c>
      <c r="C12" s="1" t="s">
        <v>76</v>
      </c>
      <c r="D12" s="1" t="s">
        <v>77</v>
      </c>
      <c r="E12" s="1" t="s">
        <v>32</v>
      </c>
      <c r="F12" s="1" t="s">
        <v>20</v>
      </c>
      <c r="G12" s="1" t="s">
        <v>78</v>
      </c>
      <c r="H12" s="1" t="s">
        <v>22</v>
      </c>
      <c r="I12" s="1">
        <v>48</v>
      </c>
      <c r="J12" s="1">
        <v>14414</v>
      </c>
      <c r="K12" s="1" t="s">
        <v>24</v>
      </c>
      <c r="L12" s="1" t="s">
        <v>24</v>
      </c>
      <c r="M12" s="1" t="s">
        <v>79</v>
      </c>
      <c r="N12" s="1">
        <v>47300</v>
      </c>
      <c r="O12" s="12">
        <v>49750</v>
      </c>
      <c r="P12" s="3" t="s">
        <v>26</v>
      </c>
      <c r="Q12" s="1" cm="1">
        <f t="array" ref="Q12">VALUE(INDEX(_xlfn.TEXTSPLIT(P12, " "), 4))</f>
        <v>2014</v>
      </c>
      <c r="R12" s="1" t="str">
        <f t="shared" si="0"/>
        <v>Audi A6 3.0T Prestige quattro</v>
      </c>
      <c r="S12" s="1" t="str" cm="1">
        <f t="array" ref="S12">_xlfn.IFS(I12 &gt;= 40, "High", I12&gt;=20, "Medium", I12&lt;20, "Low")</f>
        <v>High</v>
      </c>
      <c r="T12" s="1" t="str" cm="1">
        <f t="array" ref="T12">_xlfn.IFS(O12&lt;18200, "Low", O12&lt;=50000, "Medium", O12&gt;50000, "High")</f>
        <v>Medium</v>
      </c>
      <c r="W12" s="11"/>
      <c r="X12" s="10"/>
    </row>
    <row r="13" spans="1:24" x14ac:dyDescent="0.25">
      <c r="A13" s="2">
        <v>2015</v>
      </c>
      <c r="B13" s="1" t="s">
        <v>16</v>
      </c>
      <c r="C13" s="1" t="s">
        <v>80</v>
      </c>
      <c r="D13" s="1" t="s">
        <v>18</v>
      </c>
      <c r="E13" s="1" t="s">
        <v>32</v>
      </c>
      <c r="F13" s="1" t="s">
        <v>20</v>
      </c>
      <c r="G13" s="1" t="s">
        <v>81</v>
      </c>
      <c r="H13" s="1" t="s">
        <v>22</v>
      </c>
      <c r="I13" s="1">
        <v>48</v>
      </c>
      <c r="J13" s="1">
        <v>2034</v>
      </c>
      <c r="K13" s="1" t="s">
        <v>73</v>
      </c>
      <c r="L13" s="1" t="s">
        <v>82</v>
      </c>
      <c r="M13" s="1" t="s">
        <v>83</v>
      </c>
      <c r="N13" s="1">
        <v>15150</v>
      </c>
      <c r="O13" s="12">
        <v>17700</v>
      </c>
      <c r="P13" s="3" t="s">
        <v>84</v>
      </c>
      <c r="Q13" s="1" cm="1">
        <f t="array" ref="Q13">VALUE(INDEX(_xlfn.TEXTSPLIT(P13, " "), 4))</f>
        <v>2014</v>
      </c>
      <c r="R13" s="1" t="str">
        <f t="shared" si="0"/>
        <v>Kia Optima LX</v>
      </c>
      <c r="S13" s="1" t="str" cm="1">
        <f t="array" ref="S13">_xlfn.IFS(I13 &gt;= 40, "High", I13&gt;=20, "Medium", I13&lt;20, "Low")</f>
        <v>High</v>
      </c>
      <c r="T13" s="1" t="str" cm="1">
        <f t="array" ref="T13">_xlfn.IFS(O13&lt;18200, "Low", O13&lt;=50000, "Medium", O13&gt;50000, "High")</f>
        <v>Low</v>
      </c>
    </row>
    <row r="14" spans="1:24" x14ac:dyDescent="0.25">
      <c r="A14" s="2">
        <v>2015</v>
      </c>
      <c r="B14" s="1" t="s">
        <v>85</v>
      </c>
      <c r="C14" s="1" t="s">
        <v>86</v>
      </c>
      <c r="D14" s="1" t="s">
        <v>87</v>
      </c>
      <c r="E14" s="1" t="s">
        <v>32</v>
      </c>
      <c r="F14" s="1" t="s">
        <v>20</v>
      </c>
      <c r="G14" s="1" t="s">
        <v>88</v>
      </c>
      <c r="H14" s="1" t="s">
        <v>22</v>
      </c>
      <c r="I14" s="1">
        <v>2</v>
      </c>
      <c r="J14" s="1">
        <v>5559</v>
      </c>
      <c r="K14" s="1" t="s">
        <v>23</v>
      </c>
      <c r="L14" s="1" t="s">
        <v>28</v>
      </c>
      <c r="M14" s="1" t="s">
        <v>51</v>
      </c>
      <c r="N14" s="1">
        <v>15350</v>
      </c>
      <c r="O14" s="12">
        <v>12000</v>
      </c>
      <c r="P14" s="3" t="s">
        <v>89</v>
      </c>
      <c r="Q14" s="1" cm="1">
        <f t="array" ref="Q14">VALUE(INDEX(_xlfn.TEXTSPLIT(P14, " "), 4))</f>
        <v>2015</v>
      </c>
      <c r="R14" s="1" t="str">
        <f t="shared" si="0"/>
        <v>Ford Fusion SE</v>
      </c>
      <c r="S14" s="1" t="str" cm="1">
        <f t="array" ref="S14">_xlfn.IFS(I14 &gt;= 40, "High", I14&gt;=20, "Medium", I14&lt;20, "Low")</f>
        <v>Low</v>
      </c>
      <c r="T14" s="1" t="str" cm="1">
        <f t="array" ref="T14">_xlfn.IFS(O14&lt;18200, "Low", O14&lt;=50000, "Medium", O14&gt;50000, "High")</f>
        <v>Low</v>
      </c>
    </row>
    <row r="15" spans="1:24" x14ac:dyDescent="0.25">
      <c r="A15" s="2">
        <v>2015</v>
      </c>
      <c r="B15" s="1" t="s">
        <v>16</v>
      </c>
      <c r="C15" s="1" t="s">
        <v>17</v>
      </c>
      <c r="D15" s="1" t="s">
        <v>18</v>
      </c>
      <c r="E15" s="1" t="s">
        <v>19</v>
      </c>
      <c r="F15" s="1" t="s">
        <v>20</v>
      </c>
      <c r="G15" s="1" t="s">
        <v>90</v>
      </c>
      <c r="H15" s="1" t="s">
        <v>22</v>
      </c>
      <c r="I15" s="1">
        <v>5</v>
      </c>
      <c r="J15" s="1">
        <v>14634</v>
      </c>
      <c r="K15" s="1" t="s">
        <v>91</v>
      </c>
      <c r="L15" s="1" t="s">
        <v>24</v>
      </c>
      <c r="M15" s="1" t="s">
        <v>25</v>
      </c>
      <c r="N15" s="1">
        <v>20600</v>
      </c>
      <c r="O15" s="12">
        <v>21500</v>
      </c>
      <c r="P15" s="3" t="s">
        <v>26</v>
      </c>
      <c r="Q15" s="1" cm="1">
        <f t="array" ref="Q15">VALUE(INDEX(_xlfn.TEXTSPLIT(P15, " "), 4))</f>
        <v>2014</v>
      </c>
      <c r="R15" s="1" t="str">
        <f t="shared" si="0"/>
        <v>Kia Sorento LX</v>
      </c>
      <c r="S15" s="1" t="str" cm="1">
        <f t="array" ref="S15">_xlfn.IFS(I15 &gt;= 40, "High", I15&gt;=20, "Medium", I15&lt;20, "Low")</f>
        <v>Low</v>
      </c>
      <c r="T15" s="1" t="str" cm="1">
        <f t="array" ref="T15">_xlfn.IFS(O15&lt;18200, "Low", O15&lt;=50000, "Medium", O15&gt;50000, "High")</f>
        <v>Medium</v>
      </c>
    </row>
    <row r="16" spans="1:24" x14ac:dyDescent="0.25">
      <c r="A16" s="2">
        <v>2014</v>
      </c>
      <c r="B16" s="1" t="s">
        <v>58</v>
      </c>
      <c r="C16" s="1" t="s">
        <v>59</v>
      </c>
      <c r="D16" s="1" t="s">
        <v>92</v>
      </c>
      <c r="E16" s="1" t="s">
        <v>32</v>
      </c>
      <c r="F16" s="1" t="s">
        <v>20</v>
      </c>
      <c r="G16" s="1" t="s">
        <v>93</v>
      </c>
      <c r="H16" s="1" t="s">
        <v>22</v>
      </c>
      <c r="I16" s="1"/>
      <c r="J16" s="1">
        <v>15686</v>
      </c>
      <c r="K16" s="1" t="s">
        <v>94</v>
      </c>
      <c r="L16" s="1" t="s">
        <v>24</v>
      </c>
      <c r="M16" s="1" t="s">
        <v>95</v>
      </c>
      <c r="N16" s="1">
        <v>13900</v>
      </c>
      <c r="O16" s="12">
        <v>10600</v>
      </c>
      <c r="P16" s="3" t="s">
        <v>84</v>
      </c>
      <c r="Q16" s="1" cm="1">
        <f t="array" ref="Q16">VALUE(INDEX(_xlfn.TEXTSPLIT(P16, " "), 4))</f>
        <v>2014</v>
      </c>
      <c r="R16" s="1" t="str">
        <f t="shared" si="0"/>
        <v>Chevrolet Cruze 2LT</v>
      </c>
      <c r="S16" s="1" t="str" cm="1">
        <f t="array" ref="S16">_xlfn.IFS(I16 &gt;= 40, "High", I16&gt;=20, "Medium", I16&lt;20, "Low")</f>
        <v>Low</v>
      </c>
      <c r="T16" s="1" t="str" cm="1">
        <f t="array" ref="T16">_xlfn.IFS(O16&lt;18200, "Low", O16&lt;=50000, "Medium", O16&gt;50000, "High")</f>
        <v>Low</v>
      </c>
    </row>
    <row r="17" spans="1:20" x14ac:dyDescent="0.25">
      <c r="A17" s="2">
        <v>2015</v>
      </c>
      <c r="B17" s="1" t="s">
        <v>47</v>
      </c>
      <c r="C17" s="1" t="s">
        <v>48</v>
      </c>
      <c r="D17" s="1" t="s">
        <v>49</v>
      </c>
      <c r="E17" s="1" t="s">
        <v>32</v>
      </c>
      <c r="F17" s="1" t="s">
        <v>20</v>
      </c>
      <c r="G17" s="1" t="s">
        <v>96</v>
      </c>
      <c r="H17" s="1" t="s">
        <v>22</v>
      </c>
      <c r="I17" s="1">
        <v>2</v>
      </c>
      <c r="J17" s="1">
        <v>11398</v>
      </c>
      <c r="K17" s="1" t="s">
        <v>24</v>
      </c>
      <c r="L17" s="1" t="s">
        <v>24</v>
      </c>
      <c r="M17" s="1" t="s">
        <v>51</v>
      </c>
      <c r="N17" s="1">
        <v>14750</v>
      </c>
      <c r="O17" s="12">
        <v>14100</v>
      </c>
      <c r="P17" s="3" t="s">
        <v>97</v>
      </c>
      <c r="Q17" s="1" cm="1">
        <f t="array" ref="Q17">VALUE(INDEX(_xlfn.TEXTSPLIT(P17, " "), 4))</f>
        <v>2014</v>
      </c>
      <c r="R17" s="1" t="str">
        <f t="shared" si="0"/>
        <v>Nissan Altima 2.5 S</v>
      </c>
      <c r="S17" s="1" t="str" cm="1">
        <f t="array" ref="S17">_xlfn.IFS(I17 &gt;= 40, "High", I17&gt;=20, "Medium", I17&lt;20, "Low")</f>
        <v>Low</v>
      </c>
      <c r="T17" s="1" t="str" cm="1">
        <f t="array" ref="T17">_xlfn.IFS(O17&lt;18200, "Low", O17&lt;=50000, "Medium", O17&gt;50000, "High")</f>
        <v>Low</v>
      </c>
    </row>
    <row r="18" spans="1:20" x14ac:dyDescent="0.25">
      <c r="A18" s="2">
        <v>2015</v>
      </c>
      <c r="B18" s="1" t="s">
        <v>98</v>
      </c>
      <c r="C18" s="1" t="s">
        <v>99</v>
      </c>
      <c r="D18" s="1" t="s">
        <v>87</v>
      </c>
      <c r="E18" s="1" t="s">
        <v>32</v>
      </c>
      <c r="F18" s="1" t="s">
        <v>20</v>
      </c>
      <c r="G18" s="1" t="s">
        <v>100</v>
      </c>
      <c r="H18" s="1" t="s">
        <v>22</v>
      </c>
      <c r="I18" s="1"/>
      <c r="J18" s="1">
        <v>8311</v>
      </c>
      <c r="K18" s="1" t="s">
        <v>73</v>
      </c>
      <c r="L18" s="1" t="s">
        <v>101</v>
      </c>
      <c r="M18" s="1" t="s">
        <v>102</v>
      </c>
      <c r="N18" s="1">
        <v>15200</v>
      </c>
      <c r="O18" s="12">
        <v>4200</v>
      </c>
      <c r="P18" s="3" t="s">
        <v>62</v>
      </c>
      <c r="Q18" s="1" cm="1">
        <f t="array" ref="Q18">VALUE(INDEX(_xlfn.TEXTSPLIT(P18, " "), 4))</f>
        <v>2014</v>
      </c>
      <c r="R18" s="1" t="str">
        <f t="shared" si="0"/>
        <v>Hyundai Sonata SE</v>
      </c>
      <c r="S18" s="1" t="str" cm="1">
        <f t="array" ref="S18">_xlfn.IFS(I18 &gt;= 40, "High", I18&gt;=20, "Medium", I18&lt;20, "Low")</f>
        <v>Low</v>
      </c>
      <c r="T18" s="1" t="str" cm="1">
        <f t="array" ref="T18">_xlfn.IFS(O18&lt;18200, "Low", O18&lt;=50000, "Medium", O18&gt;50000, "High")</f>
        <v>Low</v>
      </c>
    </row>
    <row r="19" spans="1:20" x14ac:dyDescent="0.25">
      <c r="A19" s="2">
        <v>2014</v>
      </c>
      <c r="B19" s="1" t="s">
        <v>63</v>
      </c>
      <c r="C19" s="1" t="s">
        <v>103</v>
      </c>
      <c r="D19" s="1" t="s">
        <v>65</v>
      </c>
      <c r="E19" s="1" t="s">
        <v>19</v>
      </c>
      <c r="F19" s="1" t="s">
        <v>20</v>
      </c>
      <c r="G19" s="1" t="s">
        <v>104</v>
      </c>
      <c r="H19" s="1" t="s">
        <v>22</v>
      </c>
      <c r="I19" s="1">
        <v>49</v>
      </c>
      <c r="J19" s="1">
        <v>7983</v>
      </c>
      <c r="K19" s="1" t="s">
        <v>23</v>
      </c>
      <c r="L19" s="1" t="s">
        <v>24</v>
      </c>
      <c r="M19" s="1" t="s">
        <v>105</v>
      </c>
      <c r="N19" s="1">
        <v>37100</v>
      </c>
      <c r="O19" s="12">
        <v>40000</v>
      </c>
      <c r="P19" s="3" t="s">
        <v>46</v>
      </c>
      <c r="Q19" s="1" cm="1">
        <f t="array" ref="Q19">VALUE(INDEX(_xlfn.TEXTSPLIT(P19, " "), 4))</f>
        <v>2014</v>
      </c>
      <c r="R19" s="1" t="str">
        <f t="shared" si="0"/>
        <v>Audi Q5 2.0T Premium Plus quattro</v>
      </c>
      <c r="S19" s="1" t="str" cm="1">
        <f t="array" ref="S19">_xlfn.IFS(I19 &gt;= 40, "High", I19&gt;=20, "Medium", I19&lt;20, "Low")</f>
        <v>High</v>
      </c>
      <c r="T19" s="1" t="str" cm="1">
        <f t="array" ref="T19">_xlfn.IFS(O19&lt;18200, "Low", O19&lt;=50000, "Medium", O19&gt;50000, "High")</f>
        <v>Medium</v>
      </c>
    </row>
    <row r="20" spans="1:20" x14ac:dyDescent="0.25">
      <c r="A20" s="2">
        <v>2014</v>
      </c>
      <c r="B20" s="1" t="s">
        <v>58</v>
      </c>
      <c r="C20" s="1" t="s">
        <v>69</v>
      </c>
      <c r="D20" s="1" t="s">
        <v>106</v>
      </c>
      <c r="E20" s="1" t="s">
        <v>107</v>
      </c>
      <c r="F20" s="1" t="s">
        <v>20</v>
      </c>
      <c r="G20" s="1" t="s">
        <v>108</v>
      </c>
      <c r="H20" s="1" t="s">
        <v>22</v>
      </c>
      <c r="I20" s="1">
        <v>17</v>
      </c>
      <c r="J20" s="1">
        <v>13441</v>
      </c>
      <c r="K20" s="1" t="s">
        <v>24</v>
      </c>
      <c r="L20" s="1" t="s">
        <v>24</v>
      </c>
      <c r="M20" s="1" t="s">
        <v>109</v>
      </c>
      <c r="N20" s="1">
        <v>17750</v>
      </c>
      <c r="O20" s="12">
        <v>17000</v>
      </c>
      <c r="P20" s="3" t="s">
        <v>110</v>
      </c>
      <c r="Q20" s="1" cm="1">
        <f t="array" ref="Q20">VALUE(INDEX(_xlfn.TEXTSPLIT(P20, " "), 4))</f>
        <v>2014</v>
      </c>
      <c r="R20" s="1" t="str">
        <f t="shared" si="0"/>
        <v>Chevrolet Camaro LS</v>
      </c>
      <c r="S20" s="1" t="str" cm="1">
        <f t="array" ref="S20">_xlfn.IFS(I20 &gt;= 40, "High", I20&gt;=20, "Medium", I20&lt;20, "Low")</f>
        <v>Low</v>
      </c>
      <c r="T20" s="1" t="str" cm="1">
        <f t="array" ref="T20">_xlfn.IFS(O20&lt;18200, "Low", O20&lt;=50000, "Medium", O20&gt;50000, "High")</f>
        <v>Low</v>
      </c>
    </row>
    <row r="21" spans="1:20" x14ac:dyDescent="0.25">
      <c r="A21" s="2">
        <v>2014</v>
      </c>
      <c r="B21" s="1" t="s">
        <v>29</v>
      </c>
      <c r="C21" s="1" t="s">
        <v>111</v>
      </c>
      <c r="D21" s="1" t="s">
        <v>44</v>
      </c>
      <c r="E21" s="1" t="s">
        <v>71</v>
      </c>
      <c r="F21" s="1" t="s">
        <v>20</v>
      </c>
      <c r="G21" s="1" t="s">
        <v>112</v>
      </c>
      <c r="H21" s="1" t="s">
        <v>22</v>
      </c>
      <c r="I21" s="1">
        <v>34</v>
      </c>
      <c r="J21" s="1">
        <v>8819</v>
      </c>
      <c r="K21" s="1" t="s">
        <v>24</v>
      </c>
      <c r="L21" s="1" t="s">
        <v>24</v>
      </c>
      <c r="M21" s="1" t="s">
        <v>56</v>
      </c>
      <c r="N21" s="1">
        <v>68000</v>
      </c>
      <c r="O21" s="12">
        <v>67200</v>
      </c>
      <c r="P21" s="3" t="s">
        <v>57</v>
      </c>
      <c r="Q21" s="1" cm="1">
        <f t="array" ref="Q21">VALUE(INDEX(_xlfn.TEXTSPLIT(P21, " "), 4))</f>
        <v>2014</v>
      </c>
      <c r="R21" s="1" t="str">
        <f t="shared" si="0"/>
        <v>BMW 6 Series 650i</v>
      </c>
      <c r="S21" s="1" t="str" cm="1">
        <f t="array" ref="S21">_xlfn.IFS(I21 &gt;= 40, "High", I21&gt;=20, "Medium", I21&lt;20, "Low")</f>
        <v>Medium</v>
      </c>
      <c r="T21" s="1" t="str" cm="1">
        <f t="array" ref="T21">_xlfn.IFS(O21&lt;18200, "Low", O21&lt;=50000, "Medium", O21&gt;50000, "High")</f>
        <v>High</v>
      </c>
    </row>
    <row r="22" spans="1:20" x14ac:dyDescent="0.25">
      <c r="A22" s="2">
        <v>2015</v>
      </c>
      <c r="B22" s="1" t="s">
        <v>58</v>
      </c>
      <c r="C22" s="1" t="s">
        <v>113</v>
      </c>
      <c r="D22" s="1" t="s">
        <v>114</v>
      </c>
      <c r="E22" s="1" t="s">
        <v>32</v>
      </c>
      <c r="F22" s="1" t="s">
        <v>20</v>
      </c>
      <c r="G22" s="1" t="s">
        <v>115</v>
      </c>
      <c r="H22" s="1" t="s">
        <v>22</v>
      </c>
      <c r="I22" s="1">
        <v>19</v>
      </c>
      <c r="J22" s="1">
        <v>14538</v>
      </c>
      <c r="K22" s="1" t="s">
        <v>91</v>
      </c>
      <c r="L22" s="1" t="s">
        <v>24</v>
      </c>
      <c r="M22" s="1" t="s">
        <v>51</v>
      </c>
      <c r="N22" s="1">
        <v>24300</v>
      </c>
      <c r="O22" s="12">
        <v>7200</v>
      </c>
      <c r="P22" s="3" t="s">
        <v>116</v>
      </c>
      <c r="Q22" s="1" cm="1">
        <f t="array" ref="Q22">VALUE(INDEX(_xlfn.TEXTSPLIT(P22, " "), 4))</f>
        <v>2015</v>
      </c>
      <c r="R22" s="1" t="str">
        <f t="shared" si="0"/>
        <v>Chevrolet Impala LTZ</v>
      </c>
      <c r="S22" s="1" t="str" cm="1">
        <f t="array" ref="S22">_xlfn.IFS(I22 &gt;= 40, "High", I22&gt;=20, "Medium", I22&lt;20, "Low")</f>
        <v>Low</v>
      </c>
      <c r="T22" s="1" t="str" cm="1">
        <f t="array" ref="T22">_xlfn.IFS(O22&lt;18200, "Low", O22&lt;=50000, "Medium", O22&gt;50000, "High")</f>
        <v>Low</v>
      </c>
    </row>
    <row r="23" spans="1:20" x14ac:dyDescent="0.25">
      <c r="A23" s="2">
        <v>2014</v>
      </c>
      <c r="B23" s="1" t="s">
        <v>29</v>
      </c>
      <c r="C23" s="1" t="s">
        <v>117</v>
      </c>
      <c r="D23" s="1" t="s">
        <v>118</v>
      </c>
      <c r="E23" s="1" t="s">
        <v>32</v>
      </c>
      <c r="F23" s="1" t="s">
        <v>20</v>
      </c>
      <c r="G23" s="1" t="s">
        <v>119</v>
      </c>
      <c r="H23" s="1" t="s">
        <v>22</v>
      </c>
      <c r="I23" s="1">
        <v>29</v>
      </c>
      <c r="J23" s="1">
        <v>25969</v>
      </c>
      <c r="K23" s="1" t="s">
        <v>24</v>
      </c>
      <c r="L23" s="1" t="s">
        <v>24</v>
      </c>
      <c r="M23" s="1" t="s">
        <v>35</v>
      </c>
      <c r="N23" s="1">
        <v>34200</v>
      </c>
      <c r="O23" s="12">
        <v>30000</v>
      </c>
      <c r="P23" s="3" t="s">
        <v>120</v>
      </c>
      <c r="Q23" s="1" cm="1">
        <f t="array" ref="Q23">VALUE(INDEX(_xlfn.TEXTSPLIT(P23, " "), 4))</f>
        <v>2015</v>
      </c>
      <c r="R23" s="1" t="str">
        <f t="shared" si="0"/>
        <v>BMW 5 Series 528i</v>
      </c>
      <c r="S23" s="1" t="str" cm="1">
        <f t="array" ref="S23">_xlfn.IFS(I23 &gt;= 40, "High", I23&gt;=20, "Medium", I23&lt;20, "Low")</f>
        <v>Medium</v>
      </c>
      <c r="T23" s="1" t="str" cm="1">
        <f t="array" ref="T23">_xlfn.IFS(O23&lt;18200, "Low", O23&lt;=50000, "Medium", O23&gt;50000, "High")</f>
        <v>Medium</v>
      </c>
    </row>
    <row r="24" spans="1:20" x14ac:dyDescent="0.25">
      <c r="A24" s="2">
        <v>2014</v>
      </c>
      <c r="B24" s="1" t="s">
        <v>58</v>
      </c>
      <c r="C24" s="1" t="s">
        <v>69</v>
      </c>
      <c r="D24" s="1" t="s">
        <v>70</v>
      </c>
      <c r="E24" s="1" t="s">
        <v>71</v>
      </c>
      <c r="F24" s="1" t="s">
        <v>20</v>
      </c>
      <c r="G24" s="1" t="s">
        <v>121</v>
      </c>
      <c r="H24" s="1" t="s">
        <v>22</v>
      </c>
      <c r="I24" s="1"/>
      <c r="J24" s="1">
        <v>33450</v>
      </c>
      <c r="K24" s="1" t="s">
        <v>24</v>
      </c>
      <c r="L24" s="1" t="s">
        <v>24</v>
      </c>
      <c r="M24" s="1" t="s">
        <v>95</v>
      </c>
      <c r="N24" s="1">
        <v>20100</v>
      </c>
      <c r="O24" s="12">
        <v>14700</v>
      </c>
      <c r="P24" s="3" t="s">
        <v>84</v>
      </c>
      <c r="Q24" s="1" cm="1">
        <f t="array" ref="Q24">VALUE(INDEX(_xlfn.TEXTSPLIT(P24, " "), 4))</f>
        <v>2014</v>
      </c>
      <c r="R24" s="1" t="str">
        <f t="shared" si="0"/>
        <v>Chevrolet Camaro LT</v>
      </c>
      <c r="S24" s="1" t="str" cm="1">
        <f t="array" ref="S24">_xlfn.IFS(I24 &gt;= 40, "High", I24&gt;=20, "Medium", I24&lt;20, "Low")</f>
        <v>Low</v>
      </c>
      <c r="T24" s="1" t="str" cm="1">
        <f t="array" ref="T24">_xlfn.IFS(O24&lt;18200, "Low", O24&lt;=50000, "Medium", O24&gt;50000, "High")</f>
        <v>Low</v>
      </c>
    </row>
    <row r="25" spans="1:20" x14ac:dyDescent="0.25">
      <c r="A25" s="2">
        <v>2015</v>
      </c>
      <c r="B25" s="1" t="s">
        <v>63</v>
      </c>
      <c r="C25" s="1" t="s">
        <v>122</v>
      </c>
      <c r="D25" s="1" t="s">
        <v>123</v>
      </c>
      <c r="E25" s="1" t="s">
        <v>32</v>
      </c>
      <c r="F25" s="1" t="s">
        <v>20</v>
      </c>
      <c r="G25" s="1" t="s">
        <v>124</v>
      </c>
      <c r="H25" s="1" t="s">
        <v>22</v>
      </c>
      <c r="I25" s="1">
        <v>49</v>
      </c>
      <c r="J25" s="1">
        <v>5826</v>
      </c>
      <c r="K25" s="1" t="s">
        <v>34</v>
      </c>
      <c r="L25" s="1" t="s">
        <v>24</v>
      </c>
      <c r="M25" s="1" t="s">
        <v>105</v>
      </c>
      <c r="N25" s="1">
        <v>24000</v>
      </c>
      <c r="O25" s="12">
        <v>23750</v>
      </c>
      <c r="P25" s="3" t="s">
        <v>46</v>
      </c>
      <c r="Q25" s="1" cm="1">
        <f t="array" ref="Q25">VALUE(INDEX(_xlfn.TEXTSPLIT(P25, " "), 4))</f>
        <v>2014</v>
      </c>
      <c r="R25" s="1" t="str">
        <f t="shared" si="0"/>
        <v>Audi A3 1.8 TFSI Premium</v>
      </c>
      <c r="S25" s="1" t="str" cm="1">
        <f t="array" ref="S25">_xlfn.IFS(I25 &gt;= 40, "High", I25&gt;=20, "Medium", I25&lt;20, "Low")</f>
        <v>High</v>
      </c>
      <c r="T25" s="1" t="str" cm="1">
        <f t="array" ref="T25">_xlfn.IFS(O25&lt;18200, "Low", O25&lt;=50000, "Medium", O25&gt;50000, "High")</f>
        <v>Medium</v>
      </c>
    </row>
    <row r="26" spans="1:20" x14ac:dyDescent="0.25">
      <c r="A26" s="2">
        <v>2014</v>
      </c>
      <c r="B26" s="1" t="s">
        <v>29</v>
      </c>
      <c r="C26" s="1" t="s">
        <v>111</v>
      </c>
      <c r="D26" s="1" t="s">
        <v>44</v>
      </c>
      <c r="E26" s="1" t="s">
        <v>71</v>
      </c>
      <c r="F26" s="1" t="s">
        <v>20</v>
      </c>
      <c r="G26" s="1" t="s">
        <v>125</v>
      </c>
      <c r="H26" s="1" t="s">
        <v>22</v>
      </c>
      <c r="I26" s="1">
        <v>38</v>
      </c>
      <c r="J26" s="1">
        <v>10736</v>
      </c>
      <c r="K26" s="1" t="s">
        <v>24</v>
      </c>
      <c r="L26" s="1" t="s">
        <v>24</v>
      </c>
      <c r="M26" s="1" t="s">
        <v>56</v>
      </c>
      <c r="N26" s="1">
        <v>67000</v>
      </c>
      <c r="O26" s="12">
        <v>65000</v>
      </c>
      <c r="P26" s="3" t="s">
        <v>126</v>
      </c>
      <c r="Q26" s="1" cm="1">
        <f t="array" ref="Q26">VALUE(INDEX(_xlfn.TEXTSPLIT(P26, " "), 4))</f>
        <v>2015</v>
      </c>
      <c r="R26" s="1" t="str">
        <f t="shared" si="0"/>
        <v>BMW 6 Series 650i</v>
      </c>
      <c r="S26" s="1" t="str" cm="1">
        <f t="array" ref="S26">_xlfn.IFS(I26 &gt;= 40, "High", I26&gt;=20, "Medium", I26&lt;20, "Low")</f>
        <v>Medium</v>
      </c>
      <c r="T26" s="1" t="str" cm="1">
        <f t="array" ref="T26">_xlfn.IFS(O26&lt;18200, "Low", O26&lt;=50000, "Medium", O26&gt;50000, "High")</f>
        <v>High</v>
      </c>
    </row>
    <row r="27" spans="1:20" x14ac:dyDescent="0.25">
      <c r="A27" s="2">
        <v>2015</v>
      </c>
      <c r="B27" s="1" t="s">
        <v>98</v>
      </c>
      <c r="C27" s="1" t="s">
        <v>99</v>
      </c>
      <c r="D27" s="1" t="s">
        <v>87</v>
      </c>
      <c r="E27" s="1" t="s">
        <v>32</v>
      </c>
      <c r="F27" s="1" t="s">
        <v>20</v>
      </c>
      <c r="G27" s="1" t="s">
        <v>127</v>
      </c>
      <c r="H27" s="1" t="s">
        <v>22</v>
      </c>
      <c r="I27" s="1"/>
      <c r="J27" s="1">
        <v>9281</v>
      </c>
      <c r="K27" s="1" t="s">
        <v>91</v>
      </c>
      <c r="L27" s="1" t="s">
        <v>34</v>
      </c>
      <c r="M27" s="1" t="s">
        <v>51</v>
      </c>
      <c r="N27" s="1">
        <v>15150</v>
      </c>
      <c r="O27" s="12">
        <v>8500</v>
      </c>
      <c r="P27" s="3" t="s">
        <v>62</v>
      </c>
      <c r="Q27" s="1" cm="1">
        <f t="array" ref="Q27">VALUE(INDEX(_xlfn.TEXTSPLIT(P27, " "), 4))</f>
        <v>2014</v>
      </c>
      <c r="R27" s="1" t="str">
        <f t="shared" si="0"/>
        <v>Hyundai Sonata SE</v>
      </c>
      <c r="S27" s="1" t="str" cm="1">
        <f t="array" ref="S27">_xlfn.IFS(I27 &gt;= 40, "High", I27&gt;=20, "Medium", I27&lt;20, "Low")</f>
        <v>Low</v>
      </c>
      <c r="T27" s="1" t="str" cm="1">
        <f t="array" ref="T27">_xlfn.IFS(O27&lt;18200, "Low", O27&lt;=50000, "Medium", O27&gt;50000, "High")</f>
        <v>Low</v>
      </c>
    </row>
    <row r="28" spans="1:20" x14ac:dyDescent="0.25">
      <c r="A28" s="2">
        <v>2015</v>
      </c>
      <c r="B28" s="1" t="s">
        <v>37</v>
      </c>
      <c r="C28" s="1" t="s">
        <v>128</v>
      </c>
      <c r="D28" s="1" t="s">
        <v>129</v>
      </c>
      <c r="E28" s="1" t="s">
        <v>130</v>
      </c>
      <c r="F28" s="1" t="s">
        <v>20</v>
      </c>
      <c r="G28" s="1" t="s">
        <v>131</v>
      </c>
      <c r="H28" s="1" t="s">
        <v>22</v>
      </c>
      <c r="I28" s="1">
        <v>42</v>
      </c>
      <c r="J28" s="1">
        <v>16506</v>
      </c>
      <c r="K28" s="1" t="s">
        <v>132</v>
      </c>
      <c r="L28" s="1" t="s">
        <v>132</v>
      </c>
      <c r="M28" s="1" t="s">
        <v>41</v>
      </c>
      <c r="N28" s="1">
        <v>32100</v>
      </c>
      <c r="O28" s="12">
        <v>32500</v>
      </c>
      <c r="P28" s="3" t="s">
        <v>133</v>
      </c>
      <c r="Q28" s="1" cm="1">
        <f t="array" ref="Q28">VALUE(INDEX(_xlfn.TEXTSPLIT(P28, " "), 4))</f>
        <v>2015</v>
      </c>
      <c r="R28" s="1" t="str">
        <f t="shared" si="0"/>
        <v>Volvo XC70 T6</v>
      </c>
      <c r="S28" s="1" t="str" cm="1">
        <f t="array" ref="S28">_xlfn.IFS(I28 &gt;= 40, "High", I28&gt;=20, "Medium", I28&lt;20, "Low")</f>
        <v>High</v>
      </c>
      <c r="T28" s="1" t="str" cm="1">
        <f t="array" ref="T28">_xlfn.IFS(O28&lt;18200, "Low", O28&lt;=50000, "Medium", O28&gt;50000, "High")</f>
        <v>Medium</v>
      </c>
    </row>
    <row r="29" spans="1:20" x14ac:dyDescent="0.25">
      <c r="A29" s="2">
        <v>2015</v>
      </c>
      <c r="B29" s="1" t="s">
        <v>37</v>
      </c>
      <c r="C29" s="1" t="s">
        <v>128</v>
      </c>
      <c r="D29" s="1" t="s">
        <v>129</v>
      </c>
      <c r="E29" s="1" t="s">
        <v>130</v>
      </c>
      <c r="F29" s="1" t="s">
        <v>20</v>
      </c>
      <c r="G29" s="1" t="s">
        <v>134</v>
      </c>
      <c r="H29" s="1" t="s">
        <v>22</v>
      </c>
      <c r="I29" s="1">
        <v>48</v>
      </c>
      <c r="J29" s="1">
        <v>12725</v>
      </c>
      <c r="K29" s="1" t="s">
        <v>28</v>
      </c>
      <c r="L29" s="1" t="s">
        <v>28</v>
      </c>
      <c r="M29" s="1" t="s">
        <v>41</v>
      </c>
      <c r="N29" s="1">
        <v>32300</v>
      </c>
      <c r="O29" s="12">
        <v>32500</v>
      </c>
      <c r="P29" s="3" t="s">
        <v>135</v>
      </c>
      <c r="Q29" s="1" cm="1">
        <f t="array" ref="Q29">VALUE(INDEX(_xlfn.TEXTSPLIT(P29, " "), 4))</f>
        <v>2015</v>
      </c>
      <c r="R29" s="1" t="str">
        <f t="shared" si="0"/>
        <v>Volvo XC70 T6</v>
      </c>
      <c r="S29" s="1" t="str" cm="1">
        <f t="array" ref="S29">_xlfn.IFS(I29 &gt;= 40, "High", I29&gt;=20, "Medium", I29&lt;20, "Low")</f>
        <v>High</v>
      </c>
      <c r="T29" s="1" t="str" cm="1">
        <f t="array" ref="T29">_xlfn.IFS(O29&lt;18200, "Low", O29&lt;=50000, "Medium", O29&gt;50000, "High")</f>
        <v>Medium</v>
      </c>
    </row>
    <row r="30" spans="1:20" x14ac:dyDescent="0.25">
      <c r="A30" s="2">
        <v>2014</v>
      </c>
      <c r="B30" s="1" t="s">
        <v>29</v>
      </c>
      <c r="C30" s="1" t="s">
        <v>136</v>
      </c>
      <c r="D30" s="1" t="s">
        <v>137</v>
      </c>
      <c r="E30" s="1" t="s">
        <v>19</v>
      </c>
      <c r="F30" s="1" t="s">
        <v>20</v>
      </c>
      <c r="G30" s="1" t="s">
        <v>138</v>
      </c>
      <c r="H30" s="1" t="s">
        <v>22</v>
      </c>
      <c r="I30" s="1"/>
      <c r="J30" s="1">
        <v>11278</v>
      </c>
      <c r="K30" s="1" t="s">
        <v>34</v>
      </c>
      <c r="L30" s="1" t="s">
        <v>24</v>
      </c>
      <c r="M30" s="1" t="s">
        <v>95</v>
      </c>
      <c r="N30" s="1">
        <v>50400</v>
      </c>
      <c r="O30" s="12">
        <v>34000</v>
      </c>
      <c r="P30" s="3" t="s">
        <v>62</v>
      </c>
      <c r="Q30" s="1" cm="1">
        <f t="array" ref="Q30">VALUE(INDEX(_xlfn.TEXTSPLIT(P30, " "), 4))</f>
        <v>2014</v>
      </c>
      <c r="R30" s="1" t="str">
        <f t="shared" si="0"/>
        <v>BMW X5 sDrive35i</v>
      </c>
      <c r="S30" s="1" t="str" cm="1">
        <f t="array" ref="S30">_xlfn.IFS(I30 &gt;= 40, "High", I30&gt;=20, "Medium", I30&lt;20, "Low")</f>
        <v>Low</v>
      </c>
      <c r="T30" s="1" t="str" cm="1">
        <f t="array" ref="T30">_xlfn.IFS(O30&lt;18200, "Low", O30&lt;=50000, "Medium", O30&gt;50000, "High")</f>
        <v>Medium</v>
      </c>
    </row>
    <row r="31" spans="1:20" x14ac:dyDescent="0.25">
      <c r="A31" s="2">
        <v>2014</v>
      </c>
      <c r="B31" s="1" t="s">
        <v>58</v>
      </c>
      <c r="C31" s="1" t="s">
        <v>69</v>
      </c>
      <c r="D31" s="1" t="s">
        <v>70</v>
      </c>
      <c r="E31" s="1" t="s">
        <v>107</v>
      </c>
      <c r="F31" s="1" t="s">
        <v>20</v>
      </c>
      <c r="G31" s="1" t="s">
        <v>139</v>
      </c>
      <c r="H31" s="1" t="s">
        <v>22</v>
      </c>
      <c r="I31" s="1">
        <v>42</v>
      </c>
      <c r="J31" s="1">
        <v>11874</v>
      </c>
      <c r="K31" s="1" t="s">
        <v>34</v>
      </c>
      <c r="L31" s="1" t="s">
        <v>24</v>
      </c>
      <c r="M31" s="1" t="s">
        <v>140</v>
      </c>
      <c r="N31" s="1">
        <v>22200</v>
      </c>
      <c r="O31" s="12">
        <v>19500</v>
      </c>
      <c r="P31" s="3" t="s">
        <v>68</v>
      </c>
      <c r="Q31" s="1" cm="1">
        <f t="array" ref="Q31">VALUE(INDEX(_xlfn.TEXTSPLIT(P31, " "), 4))</f>
        <v>2014</v>
      </c>
      <c r="R31" s="1" t="str">
        <f t="shared" si="0"/>
        <v>Chevrolet Camaro LT</v>
      </c>
      <c r="S31" s="1" t="str" cm="1">
        <f t="array" ref="S31">_xlfn.IFS(I31 &gt;= 40, "High", I31&gt;=20, "Medium", I31&lt;20, "Low")</f>
        <v>High</v>
      </c>
      <c r="T31" s="1" t="str" cm="1">
        <f t="array" ref="T31">_xlfn.IFS(O31&lt;18200, "Low", O31&lt;=50000, "Medium", O31&gt;50000, "High")</f>
        <v>Medium</v>
      </c>
    </row>
    <row r="32" spans="1:20" x14ac:dyDescent="0.25">
      <c r="A32" s="2">
        <v>2014</v>
      </c>
      <c r="B32" s="1" t="s">
        <v>58</v>
      </c>
      <c r="C32" s="1" t="s">
        <v>59</v>
      </c>
      <c r="D32" s="1" t="s">
        <v>60</v>
      </c>
      <c r="E32" s="1" t="s">
        <v>32</v>
      </c>
      <c r="F32" s="1" t="s">
        <v>20</v>
      </c>
      <c r="G32" s="1" t="s">
        <v>141</v>
      </c>
      <c r="H32" s="1" t="s">
        <v>22</v>
      </c>
      <c r="I32" s="1">
        <v>42</v>
      </c>
      <c r="J32" s="1">
        <v>37888</v>
      </c>
      <c r="K32" s="1" t="s">
        <v>34</v>
      </c>
      <c r="L32" s="1" t="s">
        <v>24</v>
      </c>
      <c r="M32" s="1" t="s">
        <v>142</v>
      </c>
      <c r="N32" s="1">
        <v>11600</v>
      </c>
      <c r="O32" s="12">
        <v>11500</v>
      </c>
      <c r="P32" s="3" t="s">
        <v>143</v>
      </c>
      <c r="Q32" s="1" cm="1">
        <f t="array" ref="Q32">VALUE(INDEX(_xlfn.TEXTSPLIT(P32, " "), 4))</f>
        <v>2014</v>
      </c>
      <c r="R32" s="1" t="str">
        <f t="shared" si="0"/>
        <v>Chevrolet Cruze 1LT</v>
      </c>
      <c r="S32" s="1" t="str" cm="1">
        <f t="array" ref="S32">_xlfn.IFS(I32 &gt;= 40, "High", I32&gt;=20, "Medium", I32&lt;20, "Low")</f>
        <v>High</v>
      </c>
      <c r="T32" s="1" t="str" cm="1">
        <f t="array" ref="T32">_xlfn.IFS(O32&lt;18200, "Low", O32&lt;=50000, "Medium", O32&gt;50000, "High")</f>
        <v>Low</v>
      </c>
    </row>
    <row r="33" spans="1:20" x14ac:dyDescent="0.25">
      <c r="A33" s="2">
        <v>2014</v>
      </c>
      <c r="B33" s="1" t="s">
        <v>63</v>
      </c>
      <c r="C33" s="1" t="s">
        <v>144</v>
      </c>
      <c r="D33" s="1" t="s">
        <v>145</v>
      </c>
      <c r="E33" s="1" t="s">
        <v>19</v>
      </c>
      <c r="F33" s="1" t="s">
        <v>20</v>
      </c>
      <c r="G33" s="1" t="s">
        <v>146</v>
      </c>
      <c r="H33" s="1" t="s">
        <v>22</v>
      </c>
      <c r="I33" s="1">
        <v>42</v>
      </c>
      <c r="J33" s="1">
        <v>9606</v>
      </c>
      <c r="K33" s="1" t="s">
        <v>23</v>
      </c>
      <c r="L33" s="1" t="s">
        <v>24</v>
      </c>
      <c r="M33" s="1" t="s">
        <v>147</v>
      </c>
      <c r="N33" s="1">
        <v>48600</v>
      </c>
      <c r="O33" s="12">
        <v>47500</v>
      </c>
      <c r="P33" s="3" t="s">
        <v>148</v>
      </c>
      <c r="Q33" s="1" cm="1">
        <f t="array" ref="Q33">VALUE(INDEX(_xlfn.TEXTSPLIT(P33, " "), 4))</f>
        <v>2015</v>
      </c>
      <c r="R33" s="1" t="str">
        <f t="shared" si="0"/>
        <v>Audi SQ5 3.0T Premium Plus quattro</v>
      </c>
      <c r="S33" s="1" t="str" cm="1">
        <f t="array" ref="S33">_xlfn.IFS(I33 &gt;= 40, "High", I33&gt;=20, "Medium", I33&lt;20, "Low")</f>
        <v>High</v>
      </c>
      <c r="T33" s="1" t="str" cm="1">
        <f t="array" ref="T33">_xlfn.IFS(O33&lt;18200, "Low", O33&lt;=50000, "Medium", O33&gt;50000, "High")</f>
        <v>Medium</v>
      </c>
    </row>
    <row r="34" spans="1:20" x14ac:dyDescent="0.25">
      <c r="A34" s="2">
        <v>2015</v>
      </c>
      <c r="B34" s="1" t="s">
        <v>16</v>
      </c>
      <c r="C34" s="1" t="s">
        <v>17</v>
      </c>
      <c r="D34" s="1" t="s">
        <v>18</v>
      </c>
      <c r="E34" s="1" t="s">
        <v>19</v>
      </c>
      <c r="F34" s="1" t="s">
        <v>20</v>
      </c>
      <c r="G34" s="1" t="s">
        <v>149</v>
      </c>
      <c r="H34" s="1" t="s">
        <v>22</v>
      </c>
      <c r="I34" s="1">
        <v>5</v>
      </c>
      <c r="J34" s="1">
        <v>13757</v>
      </c>
      <c r="K34" s="1" t="s">
        <v>73</v>
      </c>
      <c r="L34" s="1" t="s">
        <v>24</v>
      </c>
      <c r="M34" s="1" t="s">
        <v>25</v>
      </c>
      <c r="N34" s="1">
        <v>20600</v>
      </c>
      <c r="O34" s="12">
        <v>20750</v>
      </c>
      <c r="P34" s="3" t="s">
        <v>26</v>
      </c>
      <c r="Q34" s="1" cm="1">
        <f t="array" ref="Q34">VALUE(INDEX(_xlfn.TEXTSPLIT(P34, " "), 4))</f>
        <v>2014</v>
      </c>
      <c r="R34" s="1" t="str">
        <f t="shared" si="0"/>
        <v>Kia Sorento LX</v>
      </c>
      <c r="S34" s="1" t="str" cm="1">
        <f t="array" ref="S34">_xlfn.IFS(I34 &gt;= 40, "High", I34&gt;=20, "Medium", I34&lt;20, "Low")</f>
        <v>Low</v>
      </c>
      <c r="T34" s="1" t="str" cm="1">
        <f t="array" ref="T34">_xlfn.IFS(O34&lt;18200, "Low", O34&lt;=50000, "Medium", O34&gt;50000, "High")</f>
        <v>Medium</v>
      </c>
    </row>
    <row r="35" spans="1:20" x14ac:dyDescent="0.25">
      <c r="A35" s="2">
        <v>2014</v>
      </c>
      <c r="B35" s="1" t="s">
        <v>63</v>
      </c>
      <c r="C35" s="1" t="s">
        <v>150</v>
      </c>
      <c r="D35" s="1" t="s">
        <v>151</v>
      </c>
      <c r="E35" s="1" t="s">
        <v>107</v>
      </c>
      <c r="F35" s="1" t="s">
        <v>20</v>
      </c>
      <c r="G35" s="1" t="s">
        <v>152</v>
      </c>
      <c r="H35" s="1" t="s">
        <v>22</v>
      </c>
      <c r="I35" s="1">
        <v>38</v>
      </c>
      <c r="J35" s="1">
        <v>5875</v>
      </c>
      <c r="K35" s="1" t="s">
        <v>24</v>
      </c>
      <c r="L35" s="1" t="s">
        <v>24</v>
      </c>
      <c r="M35" s="1" t="s">
        <v>153</v>
      </c>
      <c r="N35" s="1">
        <v>46500</v>
      </c>
      <c r="O35" s="12">
        <v>44500</v>
      </c>
      <c r="P35" s="3" t="s">
        <v>68</v>
      </c>
      <c r="Q35" s="1" cm="1">
        <f t="array" ref="Q35">VALUE(INDEX(_xlfn.TEXTSPLIT(P35, " "), 4))</f>
        <v>2014</v>
      </c>
      <c r="R35" s="1" t="str">
        <f t="shared" si="0"/>
        <v>Audi S5 Premium Plus quattro</v>
      </c>
      <c r="S35" s="1" t="str" cm="1">
        <f t="array" ref="S35">_xlfn.IFS(I35 &gt;= 40, "High", I35&gt;=20, "Medium", I35&lt;20, "Low")</f>
        <v>Medium</v>
      </c>
      <c r="T35" s="1" t="str" cm="1">
        <f t="array" ref="T35">_xlfn.IFS(O35&lt;18200, "Low", O35&lt;=50000, "Medium", O35&gt;50000, "High")</f>
        <v>Medium</v>
      </c>
    </row>
    <row r="36" spans="1:20" x14ac:dyDescent="0.25">
      <c r="A36" s="2">
        <v>2015</v>
      </c>
      <c r="B36" s="1" t="s">
        <v>16</v>
      </c>
      <c r="C36" s="1" t="s">
        <v>17</v>
      </c>
      <c r="D36" s="1" t="s">
        <v>18</v>
      </c>
      <c r="E36" s="1" t="s">
        <v>19</v>
      </c>
      <c r="F36" s="1" t="s">
        <v>20</v>
      </c>
      <c r="G36" s="1" t="s">
        <v>154</v>
      </c>
      <c r="H36" s="1" t="s">
        <v>22</v>
      </c>
      <c r="I36" s="1">
        <v>44</v>
      </c>
      <c r="J36" s="1">
        <v>12862</v>
      </c>
      <c r="K36" s="1" t="s">
        <v>34</v>
      </c>
      <c r="L36" s="1" t="s">
        <v>24</v>
      </c>
      <c r="M36" s="1" t="s">
        <v>25</v>
      </c>
      <c r="N36" s="1">
        <v>20700</v>
      </c>
      <c r="O36" s="12">
        <v>21000</v>
      </c>
      <c r="P36" s="3" t="s">
        <v>26</v>
      </c>
      <c r="Q36" s="1" cm="1">
        <f t="array" ref="Q36">VALUE(INDEX(_xlfn.TEXTSPLIT(P36, " "), 4))</f>
        <v>2014</v>
      </c>
      <c r="R36" s="1" t="str">
        <f t="shared" si="0"/>
        <v>Kia Sorento LX</v>
      </c>
      <c r="S36" s="1" t="str" cm="1">
        <f t="array" ref="S36">_xlfn.IFS(I36 &gt;= 40, "High", I36&gt;=20, "Medium", I36&lt;20, "Low")</f>
        <v>High</v>
      </c>
      <c r="T36" s="1" t="str" cm="1">
        <f t="array" ref="T36">_xlfn.IFS(O36&lt;18200, "Low", O36&lt;=50000, "Medium", O36&gt;50000, "High")</f>
        <v>Medium</v>
      </c>
    </row>
    <row r="37" spans="1:20" x14ac:dyDescent="0.25">
      <c r="A37" s="2">
        <v>2014</v>
      </c>
      <c r="B37" s="1" t="s">
        <v>155</v>
      </c>
      <c r="C37" s="1" t="s">
        <v>156</v>
      </c>
      <c r="D37" s="1" t="s">
        <v>157</v>
      </c>
      <c r="E37" s="1" t="s">
        <v>32</v>
      </c>
      <c r="F37" s="1"/>
      <c r="G37" s="1" t="s">
        <v>158</v>
      </c>
      <c r="H37" s="1" t="s">
        <v>22</v>
      </c>
      <c r="I37" s="1">
        <v>2</v>
      </c>
      <c r="J37" s="1">
        <v>19531</v>
      </c>
      <c r="K37" s="1" t="s">
        <v>34</v>
      </c>
      <c r="L37" s="1" t="s">
        <v>34</v>
      </c>
      <c r="M37" s="1" t="s">
        <v>51</v>
      </c>
      <c r="N37" s="1">
        <v>15000</v>
      </c>
      <c r="O37" s="12">
        <v>9200</v>
      </c>
      <c r="P37" s="3" t="s">
        <v>159</v>
      </c>
      <c r="Q37" s="1" cm="1">
        <f t="array" ref="Q37">VALUE(INDEX(_xlfn.TEXTSPLIT(P37, " "), 4))</f>
        <v>2015</v>
      </c>
      <c r="R37" s="1" t="str">
        <f t="shared" si="0"/>
        <v>Buick Verano Convenience Group</v>
      </c>
      <c r="S37" s="1" t="str" cm="1">
        <f t="array" ref="S37">_xlfn.IFS(I37 &gt;= 40, "High", I37&gt;=20, "Medium", I37&lt;20, "Low")</f>
        <v>Low</v>
      </c>
      <c r="T37" s="1" t="str" cm="1">
        <f t="array" ref="T37">_xlfn.IFS(O37&lt;18200, "Low", O37&lt;=50000, "Medium", O37&gt;50000, "High")</f>
        <v>Low</v>
      </c>
    </row>
    <row r="38" spans="1:20" x14ac:dyDescent="0.25">
      <c r="A38" s="2">
        <v>2015</v>
      </c>
      <c r="B38" s="1" t="s">
        <v>58</v>
      </c>
      <c r="C38" s="1" t="s">
        <v>160</v>
      </c>
      <c r="D38" s="1" t="s">
        <v>114</v>
      </c>
      <c r="E38" s="1" t="s">
        <v>19</v>
      </c>
      <c r="F38" s="1" t="s">
        <v>20</v>
      </c>
      <c r="G38" s="1" t="s">
        <v>161</v>
      </c>
      <c r="H38" s="1" t="s">
        <v>22</v>
      </c>
      <c r="I38" s="1">
        <v>45</v>
      </c>
      <c r="J38" s="1">
        <v>11426</v>
      </c>
      <c r="K38" s="1" t="s">
        <v>24</v>
      </c>
      <c r="L38" s="1" t="s">
        <v>24</v>
      </c>
      <c r="M38" s="1" t="s">
        <v>140</v>
      </c>
      <c r="N38" s="1">
        <v>57300</v>
      </c>
      <c r="O38" s="12">
        <v>59900</v>
      </c>
      <c r="P38" s="3" t="s">
        <v>68</v>
      </c>
      <c r="Q38" s="1" cm="1">
        <f t="array" ref="Q38">VALUE(INDEX(_xlfn.TEXTSPLIT(P38, " "), 4))</f>
        <v>2014</v>
      </c>
      <c r="R38" s="1" t="str">
        <f t="shared" si="0"/>
        <v>Chevrolet Suburban LTZ</v>
      </c>
      <c r="S38" s="1" t="str" cm="1">
        <f t="array" ref="S38">_xlfn.IFS(I38 &gt;= 40, "High", I38&gt;=20, "Medium", I38&lt;20, "Low")</f>
        <v>High</v>
      </c>
      <c r="T38" s="1" t="str" cm="1">
        <f t="array" ref="T38">_xlfn.IFS(O38&lt;18200, "Low", O38&lt;=50000, "Medium", O38&gt;50000, "High")</f>
        <v>High</v>
      </c>
    </row>
    <row r="39" spans="1:20" x14ac:dyDescent="0.25">
      <c r="A39" s="2">
        <v>2014</v>
      </c>
      <c r="B39" s="1" t="s">
        <v>29</v>
      </c>
      <c r="C39" s="1" t="s">
        <v>30</v>
      </c>
      <c r="D39" s="1" t="s">
        <v>31</v>
      </c>
      <c r="E39" s="1" t="s">
        <v>32</v>
      </c>
      <c r="F39" s="1" t="s">
        <v>20</v>
      </c>
      <c r="G39" s="1" t="s">
        <v>162</v>
      </c>
      <c r="H39" s="1" t="s">
        <v>22</v>
      </c>
      <c r="I39" s="1">
        <v>5</v>
      </c>
      <c r="J39" s="1">
        <v>111</v>
      </c>
      <c r="K39" s="1" t="s">
        <v>24</v>
      </c>
      <c r="L39" s="1" t="s">
        <v>101</v>
      </c>
      <c r="M39" s="1" t="s">
        <v>35</v>
      </c>
      <c r="N39" s="1">
        <v>32200</v>
      </c>
      <c r="O39" s="12">
        <v>30500</v>
      </c>
      <c r="P39" s="3" t="s">
        <v>36</v>
      </c>
      <c r="Q39" s="1" cm="1">
        <f t="array" ref="Q39">VALUE(INDEX(_xlfn.TEXTSPLIT(P39, " "), 4))</f>
        <v>2015</v>
      </c>
      <c r="R39" s="1" t="str">
        <f t="shared" si="0"/>
        <v>BMW 3 Series 328i SULEV</v>
      </c>
      <c r="S39" s="1" t="str" cm="1">
        <f t="array" ref="S39">_xlfn.IFS(I39 &gt;= 40, "High", I39&gt;=20, "Medium", I39&lt;20, "Low")</f>
        <v>Low</v>
      </c>
      <c r="T39" s="1" t="str" cm="1">
        <f t="array" ref="T39">_xlfn.IFS(O39&lt;18200, "Low", O39&lt;=50000, "Medium", O39&gt;50000, "High")</f>
        <v>Medium</v>
      </c>
    </row>
    <row r="40" spans="1:20" x14ac:dyDescent="0.25">
      <c r="A40" s="2">
        <v>2014</v>
      </c>
      <c r="B40" s="1" t="s">
        <v>29</v>
      </c>
      <c r="C40" s="1" t="s">
        <v>53</v>
      </c>
      <c r="D40" s="1" t="s">
        <v>54</v>
      </c>
      <c r="E40" s="1" t="s">
        <v>32</v>
      </c>
      <c r="F40" s="1" t="s">
        <v>20</v>
      </c>
      <c r="G40" s="1" t="s">
        <v>163</v>
      </c>
      <c r="H40" s="1" t="s">
        <v>22</v>
      </c>
      <c r="I40" s="1">
        <v>38</v>
      </c>
      <c r="J40" s="1">
        <v>16360</v>
      </c>
      <c r="K40" s="1" t="s">
        <v>24</v>
      </c>
      <c r="L40" s="1" t="s">
        <v>24</v>
      </c>
      <c r="M40" s="1" t="s">
        <v>56</v>
      </c>
      <c r="N40" s="1">
        <v>65000</v>
      </c>
      <c r="O40" s="12">
        <v>64250</v>
      </c>
      <c r="P40" s="3" t="s">
        <v>164</v>
      </c>
      <c r="Q40" s="1" cm="1">
        <f t="array" ref="Q40">VALUE(INDEX(_xlfn.TEXTSPLIT(P40, " "), 4))</f>
        <v>2015</v>
      </c>
      <c r="R40" s="1" t="str">
        <f t="shared" si="0"/>
        <v>BMW M5 Base</v>
      </c>
      <c r="S40" s="1" t="str" cm="1">
        <f t="array" ref="S40">_xlfn.IFS(I40 &gt;= 40, "High", I40&gt;=20, "Medium", I40&lt;20, "Low")</f>
        <v>Medium</v>
      </c>
      <c r="T40" s="1" t="str" cm="1">
        <f t="array" ref="T40">_xlfn.IFS(O40&lt;18200, "Low", O40&lt;=50000, "Medium", O40&gt;50000, "High")</f>
        <v>High</v>
      </c>
    </row>
    <row r="41" spans="1:20" x14ac:dyDescent="0.25">
      <c r="A41" s="2">
        <v>2014</v>
      </c>
      <c r="B41" s="1" t="s">
        <v>29</v>
      </c>
      <c r="C41" s="1" t="s">
        <v>30</v>
      </c>
      <c r="D41" s="1" t="s">
        <v>31</v>
      </c>
      <c r="E41" s="1" t="s">
        <v>32</v>
      </c>
      <c r="F41" s="1" t="s">
        <v>20</v>
      </c>
      <c r="G41" s="1" t="s">
        <v>165</v>
      </c>
      <c r="H41" s="1" t="s">
        <v>22</v>
      </c>
      <c r="I41" s="1">
        <v>45</v>
      </c>
      <c r="J41" s="1">
        <v>9027</v>
      </c>
      <c r="K41" s="1" t="s">
        <v>23</v>
      </c>
      <c r="L41" s="1" t="s">
        <v>24</v>
      </c>
      <c r="M41" s="1" t="s">
        <v>35</v>
      </c>
      <c r="N41" s="1">
        <v>30200</v>
      </c>
      <c r="O41" s="12">
        <v>27500</v>
      </c>
      <c r="P41" s="3" t="s">
        <v>36</v>
      </c>
      <c r="Q41" s="1" cm="1">
        <f t="array" ref="Q41">VALUE(INDEX(_xlfn.TEXTSPLIT(P41, " "), 4))</f>
        <v>2015</v>
      </c>
      <c r="R41" s="1" t="str">
        <f t="shared" si="0"/>
        <v>BMW 3 Series 328i SULEV</v>
      </c>
      <c r="S41" s="1" t="str" cm="1">
        <f t="array" ref="S41">_xlfn.IFS(I41 &gt;= 40, "High", I41&gt;=20, "Medium", I41&lt;20, "Low")</f>
        <v>High</v>
      </c>
      <c r="T41" s="1" t="str" cm="1">
        <f t="array" ref="T41">_xlfn.IFS(O41&lt;18200, "Low", O41&lt;=50000, "Medium", O41&gt;50000, "High")</f>
        <v>Medium</v>
      </c>
    </row>
    <row r="42" spans="1:20" x14ac:dyDescent="0.25">
      <c r="A42" s="2">
        <v>2014</v>
      </c>
      <c r="B42" s="1" t="s">
        <v>166</v>
      </c>
      <c r="C42" s="1" t="s">
        <v>167</v>
      </c>
      <c r="D42" s="1" t="s">
        <v>54</v>
      </c>
      <c r="E42" s="1" t="s">
        <v>107</v>
      </c>
      <c r="F42" s="1" t="s">
        <v>20</v>
      </c>
      <c r="G42" s="1" t="s">
        <v>168</v>
      </c>
      <c r="H42" s="1" t="s">
        <v>22</v>
      </c>
      <c r="I42" s="1">
        <v>47</v>
      </c>
      <c r="J42" s="1">
        <v>4436</v>
      </c>
      <c r="K42" s="1" t="s">
        <v>34</v>
      </c>
      <c r="L42" s="1" t="s">
        <v>24</v>
      </c>
      <c r="M42" s="1" t="s">
        <v>169</v>
      </c>
      <c r="N42" s="1">
        <v>49400</v>
      </c>
      <c r="O42" s="12">
        <v>44000</v>
      </c>
      <c r="P42" s="3" t="s">
        <v>170</v>
      </c>
      <c r="Q42" s="1" cm="1">
        <f t="array" ref="Q42">VALUE(INDEX(_xlfn.TEXTSPLIT(P42, " "), 4))</f>
        <v>2015</v>
      </c>
      <c r="R42" s="1" t="str">
        <f t="shared" si="0"/>
        <v>Cadillac ELR Base</v>
      </c>
      <c r="S42" s="1" t="str" cm="1">
        <f t="array" ref="S42">_xlfn.IFS(I42 &gt;= 40, "High", I42&gt;=20, "Medium", I42&lt;20, "Low")</f>
        <v>High</v>
      </c>
      <c r="T42" s="1" t="str" cm="1">
        <f t="array" ref="T42">_xlfn.IFS(O42&lt;18200, "Low", O42&lt;=50000, "Medium", O42&gt;50000, "High")</f>
        <v>Medium</v>
      </c>
    </row>
    <row r="43" spans="1:20" x14ac:dyDescent="0.25">
      <c r="A43" s="2">
        <v>2015</v>
      </c>
      <c r="B43" s="1" t="s">
        <v>98</v>
      </c>
      <c r="C43" s="1" t="s">
        <v>99</v>
      </c>
      <c r="D43" s="1" t="s">
        <v>87</v>
      </c>
      <c r="E43" s="1" t="s">
        <v>32</v>
      </c>
      <c r="F43" s="1" t="s">
        <v>20</v>
      </c>
      <c r="G43" s="1" t="s">
        <v>171</v>
      </c>
      <c r="H43" s="1" t="s">
        <v>22</v>
      </c>
      <c r="I43" s="1"/>
      <c r="J43" s="1">
        <v>9208</v>
      </c>
      <c r="K43" s="1" t="s">
        <v>91</v>
      </c>
      <c r="L43" s="1" t="s">
        <v>34</v>
      </c>
      <c r="M43" s="1" t="s">
        <v>51</v>
      </c>
      <c r="N43" s="1">
        <v>15700</v>
      </c>
      <c r="O43" s="12">
        <v>10000</v>
      </c>
      <c r="P43" s="3" t="s">
        <v>68</v>
      </c>
      <c r="Q43" s="1" cm="1">
        <f t="array" ref="Q43">VALUE(INDEX(_xlfn.TEXTSPLIT(P43, " "), 4))</f>
        <v>2014</v>
      </c>
      <c r="R43" s="1" t="str">
        <f t="shared" si="0"/>
        <v>Hyundai Sonata SE</v>
      </c>
      <c r="S43" s="1" t="str" cm="1">
        <f t="array" ref="S43">_xlfn.IFS(I43 &gt;= 40, "High", I43&gt;=20, "Medium", I43&lt;20, "Low")</f>
        <v>Low</v>
      </c>
      <c r="T43" s="1" t="str" cm="1">
        <f t="array" ref="T43">_xlfn.IFS(O43&lt;18200, "Low", O43&lt;=50000, "Medium", O43&gt;50000, "High")</f>
        <v>Low</v>
      </c>
    </row>
    <row r="44" spans="1:20" x14ac:dyDescent="0.25">
      <c r="A44" s="2">
        <v>2014</v>
      </c>
      <c r="B44" s="1" t="s">
        <v>29</v>
      </c>
      <c r="C44" s="1" t="s">
        <v>111</v>
      </c>
      <c r="D44" s="1" t="s">
        <v>44</v>
      </c>
      <c r="E44" s="1" t="s">
        <v>71</v>
      </c>
      <c r="F44" s="1" t="s">
        <v>20</v>
      </c>
      <c r="G44" s="1" t="s">
        <v>172</v>
      </c>
      <c r="H44" s="1" t="s">
        <v>22</v>
      </c>
      <c r="I44" s="1">
        <v>32</v>
      </c>
      <c r="J44" s="1">
        <v>13205</v>
      </c>
      <c r="K44" s="1" t="s">
        <v>23</v>
      </c>
      <c r="L44" s="1" t="s">
        <v>24</v>
      </c>
      <c r="M44" s="1" t="s">
        <v>56</v>
      </c>
      <c r="N44" s="1">
        <v>66000</v>
      </c>
      <c r="O44" s="12">
        <v>65000</v>
      </c>
      <c r="P44" s="3" t="s">
        <v>173</v>
      </c>
      <c r="Q44" s="1" cm="1">
        <f t="array" ref="Q44">VALUE(INDEX(_xlfn.TEXTSPLIT(P44, " "), 4))</f>
        <v>2015</v>
      </c>
      <c r="R44" s="1" t="str">
        <f t="shared" si="0"/>
        <v>BMW 6 Series 650i</v>
      </c>
      <c r="S44" s="1" t="str" cm="1">
        <f t="array" ref="S44">_xlfn.IFS(I44 &gt;= 40, "High", I44&gt;=20, "Medium", I44&lt;20, "Low")</f>
        <v>Medium</v>
      </c>
      <c r="T44" s="1" t="str" cm="1">
        <f t="array" ref="T44">_xlfn.IFS(O44&lt;18200, "Low", O44&lt;=50000, "Medium", O44&gt;50000, "High")</f>
        <v>High</v>
      </c>
    </row>
    <row r="45" spans="1:20" x14ac:dyDescent="0.25">
      <c r="A45" s="2">
        <v>2015</v>
      </c>
      <c r="B45" s="1" t="s">
        <v>37</v>
      </c>
      <c r="C45" s="1" t="s">
        <v>174</v>
      </c>
      <c r="D45" s="1" t="s">
        <v>39</v>
      </c>
      <c r="E45" s="1" t="s">
        <v>130</v>
      </c>
      <c r="F45" s="1" t="s">
        <v>20</v>
      </c>
      <c r="G45" s="1" t="s">
        <v>175</v>
      </c>
      <c r="H45" s="1" t="s">
        <v>22</v>
      </c>
      <c r="I45" s="1">
        <v>41</v>
      </c>
      <c r="J45" s="1">
        <v>11846</v>
      </c>
      <c r="K45" s="1" t="s">
        <v>23</v>
      </c>
      <c r="L45" s="1" t="s">
        <v>28</v>
      </c>
      <c r="M45" s="1" t="s">
        <v>41</v>
      </c>
      <c r="N45" s="1">
        <v>31300</v>
      </c>
      <c r="O45" s="12">
        <v>30000</v>
      </c>
      <c r="P45" s="3" t="s">
        <v>46</v>
      </c>
      <c r="Q45" s="1" cm="1">
        <f t="array" ref="Q45">VALUE(INDEX(_xlfn.TEXTSPLIT(P45, " "), 4))</f>
        <v>2014</v>
      </c>
      <c r="R45" s="1" t="str">
        <f t="shared" si="0"/>
        <v>Volvo V60 T5</v>
      </c>
      <c r="S45" s="1" t="str" cm="1">
        <f t="array" ref="S45">_xlfn.IFS(I45 &gt;= 40, "High", I45&gt;=20, "Medium", I45&lt;20, "Low")</f>
        <v>High</v>
      </c>
      <c r="T45" s="1" t="str" cm="1">
        <f t="array" ref="T45">_xlfn.IFS(O45&lt;18200, "Low", O45&lt;=50000, "Medium", O45&gt;50000, "High")</f>
        <v>Medium</v>
      </c>
    </row>
    <row r="46" spans="1:20" x14ac:dyDescent="0.25">
      <c r="A46" s="2">
        <v>2014</v>
      </c>
      <c r="B46" s="1" t="s">
        <v>58</v>
      </c>
      <c r="C46" s="1" t="s">
        <v>59</v>
      </c>
      <c r="D46" s="1" t="s">
        <v>60</v>
      </c>
      <c r="E46" s="1" t="s">
        <v>32</v>
      </c>
      <c r="F46" s="1"/>
      <c r="G46" s="1" t="s">
        <v>176</v>
      </c>
      <c r="H46" s="1" t="s">
        <v>22</v>
      </c>
      <c r="I46" s="1"/>
      <c r="J46" s="1">
        <v>38261</v>
      </c>
      <c r="K46" s="1" t="s">
        <v>23</v>
      </c>
      <c r="L46" s="1" t="s">
        <v>101</v>
      </c>
      <c r="M46" s="1" t="s">
        <v>102</v>
      </c>
      <c r="N46" s="1">
        <v>11450</v>
      </c>
      <c r="O46" s="12">
        <v>2000</v>
      </c>
      <c r="P46" s="3" t="s">
        <v>62</v>
      </c>
      <c r="Q46" s="1" cm="1">
        <f t="array" ref="Q46">VALUE(INDEX(_xlfn.TEXTSPLIT(P46, " "), 4))</f>
        <v>2014</v>
      </c>
      <c r="R46" s="1" t="str">
        <f t="shared" si="0"/>
        <v>Chevrolet Cruze 1LT</v>
      </c>
      <c r="S46" s="1" t="str" cm="1">
        <f t="array" ref="S46">_xlfn.IFS(I46 &gt;= 40, "High", I46&gt;=20, "Medium", I46&lt;20, "Low")</f>
        <v>Low</v>
      </c>
      <c r="T46" s="1" t="str" cm="1">
        <f t="array" ref="T46">_xlfn.IFS(O46&lt;18200, "Low", O46&lt;=50000, "Medium", O46&gt;50000, "High")</f>
        <v>Low</v>
      </c>
    </row>
    <row r="47" spans="1:20" x14ac:dyDescent="0.25">
      <c r="A47" s="2">
        <v>2014</v>
      </c>
      <c r="B47" s="1" t="s">
        <v>29</v>
      </c>
      <c r="C47" s="1" t="s">
        <v>177</v>
      </c>
      <c r="D47" s="1" t="s">
        <v>178</v>
      </c>
      <c r="E47" s="1" t="s">
        <v>19</v>
      </c>
      <c r="F47" s="1" t="s">
        <v>20</v>
      </c>
      <c r="G47" s="1" t="s">
        <v>179</v>
      </c>
      <c r="H47" s="1" t="s">
        <v>22</v>
      </c>
      <c r="I47" s="1">
        <v>4</v>
      </c>
      <c r="J47" s="1">
        <v>379</v>
      </c>
      <c r="K47" s="1" t="s">
        <v>23</v>
      </c>
      <c r="L47" s="1" t="s">
        <v>24</v>
      </c>
      <c r="M47" s="1" t="s">
        <v>35</v>
      </c>
      <c r="N47" s="1">
        <v>54800</v>
      </c>
      <c r="O47" s="12">
        <v>51700</v>
      </c>
      <c r="P47" s="3" t="s">
        <v>46</v>
      </c>
      <c r="Q47" s="1" cm="1">
        <f t="array" ref="Q47">VALUE(INDEX(_xlfn.TEXTSPLIT(P47, " "), 4))</f>
        <v>2014</v>
      </c>
      <c r="R47" s="1" t="str">
        <f t="shared" si="0"/>
        <v>BMW X6 xDrive35i</v>
      </c>
      <c r="S47" s="1" t="str" cm="1">
        <f t="array" ref="S47">_xlfn.IFS(I47 &gt;= 40, "High", I47&gt;=20, "Medium", I47&lt;20, "Low")</f>
        <v>Low</v>
      </c>
      <c r="T47" s="1" t="str" cm="1">
        <f t="array" ref="T47">_xlfn.IFS(O47&lt;18200, "Low", O47&lt;=50000, "Medium", O47&gt;50000, "High")</f>
        <v>High</v>
      </c>
    </row>
    <row r="48" spans="1:20" x14ac:dyDescent="0.25">
      <c r="A48" s="2">
        <v>2015</v>
      </c>
      <c r="B48" s="1" t="s">
        <v>37</v>
      </c>
      <c r="C48" s="1" t="s">
        <v>174</v>
      </c>
      <c r="D48" s="1" t="s">
        <v>39</v>
      </c>
      <c r="E48" s="1" t="s">
        <v>130</v>
      </c>
      <c r="F48" s="1" t="s">
        <v>20</v>
      </c>
      <c r="G48" s="1" t="s">
        <v>180</v>
      </c>
      <c r="H48" s="1" t="s">
        <v>22</v>
      </c>
      <c r="I48" s="1">
        <v>42</v>
      </c>
      <c r="J48" s="1">
        <v>12242</v>
      </c>
      <c r="K48" s="1" t="s">
        <v>24</v>
      </c>
      <c r="L48" s="1" t="s">
        <v>34</v>
      </c>
      <c r="M48" s="1" t="s">
        <v>41</v>
      </c>
      <c r="N48" s="1">
        <v>31200</v>
      </c>
      <c r="O48" s="12">
        <v>30000</v>
      </c>
      <c r="P48" s="3" t="s">
        <v>46</v>
      </c>
      <c r="Q48" s="1" cm="1">
        <f t="array" ref="Q48">VALUE(INDEX(_xlfn.TEXTSPLIT(P48, " "), 4))</f>
        <v>2014</v>
      </c>
      <c r="R48" s="1" t="str">
        <f t="shared" si="0"/>
        <v>Volvo V60 T5</v>
      </c>
      <c r="S48" s="1" t="str" cm="1">
        <f t="array" ref="S48">_xlfn.IFS(I48 &gt;= 40, "High", I48&gt;=20, "Medium", I48&lt;20, "Low")</f>
        <v>High</v>
      </c>
      <c r="T48" s="1" t="str" cm="1">
        <f t="array" ref="T48">_xlfn.IFS(O48&lt;18200, "Low", O48&lt;=50000, "Medium", O48&gt;50000, "High")</f>
        <v>Medium</v>
      </c>
    </row>
    <row r="49" spans="1:20" x14ac:dyDescent="0.25">
      <c r="A49" s="2">
        <v>2014</v>
      </c>
      <c r="B49" s="1" t="s">
        <v>58</v>
      </c>
      <c r="C49" s="1" t="s">
        <v>59</v>
      </c>
      <c r="D49" s="1" t="s">
        <v>92</v>
      </c>
      <c r="E49" s="1" t="s">
        <v>32</v>
      </c>
      <c r="F49" s="1" t="s">
        <v>20</v>
      </c>
      <c r="G49" s="1" t="s">
        <v>181</v>
      </c>
      <c r="H49" s="1" t="s">
        <v>22</v>
      </c>
      <c r="I49" s="1">
        <v>34</v>
      </c>
      <c r="J49" s="1">
        <v>40661</v>
      </c>
      <c r="K49" s="1" t="s">
        <v>91</v>
      </c>
      <c r="L49" s="1" t="s">
        <v>24</v>
      </c>
      <c r="M49" s="1" t="s">
        <v>182</v>
      </c>
      <c r="N49" s="1">
        <v>13050</v>
      </c>
      <c r="O49" s="12">
        <v>13000</v>
      </c>
      <c r="P49" s="3" t="s">
        <v>183</v>
      </c>
      <c r="Q49" s="1" cm="1">
        <f t="array" ref="Q49">VALUE(INDEX(_xlfn.TEXTSPLIT(P49, " "), 4))</f>
        <v>2015</v>
      </c>
      <c r="R49" s="1" t="str">
        <f t="shared" si="0"/>
        <v>Chevrolet Cruze 2LT</v>
      </c>
      <c r="S49" s="1" t="str" cm="1">
        <f t="array" ref="S49">_xlfn.IFS(I49 &gt;= 40, "High", I49&gt;=20, "Medium", I49&lt;20, "Low")</f>
        <v>Medium</v>
      </c>
      <c r="T49" s="1" t="str" cm="1">
        <f t="array" ref="T49">_xlfn.IFS(O49&lt;18200, "Low", O49&lt;=50000, "Medium", O49&gt;50000, "High")</f>
        <v>Low</v>
      </c>
    </row>
    <row r="50" spans="1:20" x14ac:dyDescent="0.25">
      <c r="A50" s="2">
        <v>2014</v>
      </c>
      <c r="B50" s="1" t="s">
        <v>184</v>
      </c>
      <c r="C50" s="1" t="s">
        <v>185</v>
      </c>
      <c r="D50" s="1" t="s">
        <v>186</v>
      </c>
      <c r="E50" s="1" t="s">
        <v>32</v>
      </c>
      <c r="F50" s="1" t="s">
        <v>20</v>
      </c>
      <c r="G50" s="1" t="s">
        <v>187</v>
      </c>
      <c r="H50" s="1" t="s">
        <v>22</v>
      </c>
      <c r="I50" s="1">
        <v>25</v>
      </c>
      <c r="J50" s="1">
        <v>9051</v>
      </c>
      <c r="K50" s="1" t="s">
        <v>34</v>
      </c>
      <c r="L50" s="1" t="s">
        <v>24</v>
      </c>
      <c r="M50" s="1" t="s">
        <v>188</v>
      </c>
      <c r="N50" s="1">
        <v>22700</v>
      </c>
      <c r="O50" s="12">
        <v>21250</v>
      </c>
      <c r="P50" s="3" t="s">
        <v>68</v>
      </c>
      <c r="Q50" s="1" cm="1">
        <f t="array" ref="Q50">VALUE(INDEX(_xlfn.TEXTSPLIT(P50, " "), 4))</f>
        <v>2014</v>
      </c>
      <c r="R50" s="1" t="str">
        <f t="shared" si="0"/>
        <v>Acura ILX Technology Package</v>
      </c>
      <c r="S50" s="1" t="str" cm="1">
        <f t="array" ref="S50">_xlfn.IFS(I50 &gt;= 40, "High", I50&gt;=20, "Medium", I50&lt;20, "Low")</f>
        <v>Medium</v>
      </c>
      <c r="T50" s="1" t="str" cm="1">
        <f t="array" ref="T50">_xlfn.IFS(O50&lt;18200, "Low", O50&lt;=50000, "Medium", O50&gt;50000, "High")</f>
        <v>Medium</v>
      </c>
    </row>
    <row r="51" spans="1:20" x14ac:dyDescent="0.25">
      <c r="A51" s="2">
        <v>2015</v>
      </c>
      <c r="B51" s="1" t="s">
        <v>16</v>
      </c>
      <c r="C51" s="1" t="s">
        <v>17</v>
      </c>
      <c r="D51" s="1" t="s">
        <v>18</v>
      </c>
      <c r="E51" s="1" t="s">
        <v>19</v>
      </c>
      <c r="F51" s="1" t="s">
        <v>20</v>
      </c>
      <c r="G51" s="1" t="s">
        <v>189</v>
      </c>
      <c r="H51" s="1" t="s">
        <v>22</v>
      </c>
      <c r="I51" s="1">
        <v>5</v>
      </c>
      <c r="J51" s="1">
        <v>13878</v>
      </c>
      <c r="K51" s="1" t="s">
        <v>91</v>
      </c>
      <c r="L51" s="1" t="s">
        <v>24</v>
      </c>
      <c r="M51" s="1" t="s">
        <v>25</v>
      </c>
      <c r="N51" s="1">
        <v>20600</v>
      </c>
      <c r="O51" s="12">
        <v>20750</v>
      </c>
      <c r="P51" s="3" t="s">
        <v>26</v>
      </c>
      <c r="Q51" s="1" cm="1">
        <f t="array" ref="Q51">VALUE(INDEX(_xlfn.TEXTSPLIT(P51, " "), 4))</f>
        <v>2014</v>
      </c>
      <c r="R51" s="1" t="str">
        <f t="shared" si="0"/>
        <v>Kia Sorento LX</v>
      </c>
      <c r="S51" s="1" t="str" cm="1">
        <f t="array" ref="S51">_xlfn.IFS(I51 &gt;= 40, "High", I51&gt;=20, "Medium", I51&lt;20, "Low")</f>
        <v>Low</v>
      </c>
      <c r="T51" s="1" t="str" cm="1">
        <f t="array" ref="T51">_xlfn.IFS(O51&lt;18200, "Low", O51&lt;=50000, "Medium", O51&gt;50000, "High")</f>
        <v>Medium</v>
      </c>
    </row>
    <row r="52" spans="1:20" x14ac:dyDescent="0.25">
      <c r="A52" s="2">
        <v>2015</v>
      </c>
      <c r="B52" s="1" t="s">
        <v>37</v>
      </c>
      <c r="C52" s="1" t="s">
        <v>174</v>
      </c>
      <c r="D52" s="1" t="s">
        <v>39</v>
      </c>
      <c r="E52" s="1" t="s">
        <v>130</v>
      </c>
      <c r="F52" s="1" t="s">
        <v>20</v>
      </c>
      <c r="G52" s="1" t="s">
        <v>190</v>
      </c>
      <c r="H52" s="1" t="s">
        <v>22</v>
      </c>
      <c r="I52" s="1">
        <v>37</v>
      </c>
      <c r="J52" s="1">
        <v>10906</v>
      </c>
      <c r="K52" s="1" t="s">
        <v>91</v>
      </c>
      <c r="L52" s="1" t="s">
        <v>24</v>
      </c>
      <c r="M52" s="1" t="s">
        <v>41</v>
      </c>
      <c r="N52" s="1">
        <v>31500</v>
      </c>
      <c r="O52" s="12">
        <v>30000</v>
      </c>
      <c r="P52" s="3" t="s">
        <v>46</v>
      </c>
      <c r="Q52" s="1" cm="1">
        <f t="array" ref="Q52">VALUE(INDEX(_xlfn.TEXTSPLIT(P52, " "), 4))</f>
        <v>2014</v>
      </c>
      <c r="R52" s="1" t="str">
        <f t="shared" si="0"/>
        <v>Volvo V60 T5</v>
      </c>
      <c r="S52" s="1" t="str" cm="1">
        <f t="array" ref="S52">_xlfn.IFS(I52 &gt;= 40, "High", I52&gt;=20, "Medium", I52&lt;20, "Low")</f>
        <v>Medium</v>
      </c>
      <c r="T52" s="1" t="str" cm="1">
        <f t="array" ref="T52">_xlfn.IFS(O52&lt;18200, "Low", O52&lt;=50000, "Medium", O52&gt;50000, "High")</f>
        <v>Medium</v>
      </c>
    </row>
    <row r="53" spans="1:20" x14ac:dyDescent="0.25">
      <c r="A53" s="2">
        <v>2015</v>
      </c>
      <c r="B53" s="1" t="s">
        <v>47</v>
      </c>
      <c r="C53" s="1" t="s">
        <v>48</v>
      </c>
      <c r="D53" s="1" t="s">
        <v>49</v>
      </c>
      <c r="E53" s="1" t="s">
        <v>32</v>
      </c>
      <c r="F53" s="1" t="s">
        <v>20</v>
      </c>
      <c r="G53" s="1" t="s">
        <v>191</v>
      </c>
      <c r="H53" s="1" t="s">
        <v>22</v>
      </c>
      <c r="I53" s="1"/>
      <c r="J53" s="1">
        <v>10678</v>
      </c>
      <c r="K53" s="1" t="s">
        <v>34</v>
      </c>
      <c r="L53" s="1" t="s">
        <v>24</v>
      </c>
      <c r="M53" s="1" t="s">
        <v>51</v>
      </c>
      <c r="N53" s="1">
        <v>15150</v>
      </c>
      <c r="O53" s="12">
        <v>11600</v>
      </c>
      <c r="P53" s="3" t="s">
        <v>68</v>
      </c>
      <c r="Q53" s="1" cm="1">
        <f t="array" ref="Q53">VALUE(INDEX(_xlfn.TEXTSPLIT(P53, " "), 4))</f>
        <v>2014</v>
      </c>
      <c r="R53" s="1" t="str">
        <f t="shared" si="0"/>
        <v>Nissan Altima 2.5 S</v>
      </c>
      <c r="S53" s="1" t="str" cm="1">
        <f t="array" ref="S53">_xlfn.IFS(I53 &gt;= 40, "High", I53&gt;=20, "Medium", I53&lt;20, "Low")</f>
        <v>Low</v>
      </c>
      <c r="T53" s="1" t="str" cm="1">
        <f t="array" ref="T53">_xlfn.IFS(O53&lt;18200, "Low", O53&lt;=50000, "Medium", O53&gt;50000, "High")</f>
        <v>Low</v>
      </c>
    </row>
    <row r="54" spans="1:20" x14ac:dyDescent="0.25">
      <c r="A54" s="2">
        <v>2014</v>
      </c>
      <c r="B54" s="1" t="s">
        <v>29</v>
      </c>
      <c r="C54" s="1" t="s">
        <v>43</v>
      </c>
      <c r="D54" s="1" t="s">
        <v>44</v>
      </c>
      <c r="E54" s="1" t="s">
        <v>32</v>
      </c>
      <c r="F54" s="1" t="s">
        <v>20</v>
      </c>
      <c r="G54" s="1" t="s">
        <v>192</v>
      </c>
      <c r="H54" s="1" t="s">
        <v>22</v>
      </c>
      <c r="I54" s="1">
        <v>42</v>
      </c>
      <c r="J54" s="1">
        <v>7305</v>
      </c>
      <c r="K54" s="1" t="s">
        <v>23</v>
      </c>
      <c r="L54" s="1" t="s">
        <v>24</v>
      </c>
      <c r="M54" s="1" t="s">
        <v>56</v>
      </c>
      <c r="N54" s="1">
        <v>65000</v>
      </c>
      <c r="O54" s="12">
        <v>66100</v>
      </c>
      <c r="P54" s="3" t="s">
        <v>57</v>
      </c>
      <c r="Q54" s="1" cm="1">
        <f t="array" ref="Q54">VALUE(INDEX(_xlfn.TEXTSPLIT(P54, " "), 4))</f>
        <v>2014</v>
      </c>
      <c r="R54" s="1" t="str">
        <f t="shared" si="0"/>
        <v>BMW 6 Series Gran Coupe 650i</v>
      </c>
      <c r="S54" s="1" t="str" cm="1">
        <f t="array" ref="S54">_xlfn.IFS(I54 &gt;= 40, "High", I54&gt;=20, "Medium", I54&lt;20, "Low")</f>
        <v>High</v>
      </c>
      <c r="T54" s="1" t="str" cm="1">
        <f t="array" ref="T54">_xlfn.IFS(O54&lt;18200, "Low", O54&lt;=50000, "Medium", O54&gt;50000, "High")</f>
        <v>High</v>
      </c>
    </row>
    <row r="55" spans="1:20" x14ac:dyDescent="0.25">
      <c r="A55" s="2">
        <v>2015</v>
      </c>
      <c r="B55" s="1" t="s">
        <v>47</v>
      </c>
      <c r="C55" s="1" t="s">
        <v>48</v>
      </c>
      <c r="D55" s="1" t="s">
        <v>49</v>
      </c>
      <c r="E55" s="1" t="s">
        <v>32</v>
      </c>
      <c r="F55" s="1" t="s">
        <v>20</v>
      </c>
      <c r="G55" s="1" t="s">
        <v>193</v>
      </c>
      <c r="H55" s="1" t="s">
        <v>22</v>
      </c>
      <c r="I55" s="1">
        <v>1</v>
      </c>
      <c r="J55" s="1">
        <v>4314</v>
      </c>
      <c r="K55" s="1" t="s">
        <v>24</v>
      </c>
      <c r="L55" s="1" t="s">
        <v>24</v>
      </c>
      <c r="M55" s="1" t="s">
        <v>51</v>
      </c>
      <c r="N55" s="1">
        <v>15500</v>
      </c>
      <c r="O55" s="12">
        <v>11500</v>
      </c>
      <c r="P55" s="3" t="s">
        <v>52</v>
      </c>
      <c r="Q55" s="1" cm="1">
        <f t="array" ref="Q55">VALUE(INDEX(_xlfn.TEXTSPLIT(P55, " "), 4))</f>
        <v>2014</v>
      </c>
      <c r="R55" s="1" t="str">
        <f t="shared" si="0"/>
        <v>Nissan Altima 2.5 S</v>
      </c>
      <c r="S55" s="1" t="str" cm="1">
        <f t="array" ref="S55">_xlfn.IFS(I55 &gt;= 40, "High", I55&gt;=20, "Medium", I55&lt;20, "Low")</f>
        <v>Low</v>
      </c>
      <c r="T55" s="1" t="str" cm="1">
        <f t="array" ref="T55">_xlfn.IFS(O55&lt;18200, "Low", O55&lt;=50000, "Medium", O55&gt;50000, "High")</f>
        <v>Low</v>
      </c>
    </row>
    <row r="56" spans="1:20" x14ac:dyDescent="0.25">
      <c r="A56" s="2">
        <v>2015</v>
      </c>
      <c r="B56" s="1" t="s">
        <v>16</v>
      </c>
      <c r="C56" s="1" t="s">
        <v>194</v>
      </c>
      <c r="D56" s="1" t="s">
        <v>195</v>
      </c>
      <c r="E56" s="1" t="s">
        <v>32</v>
      </c>
      <c r="F56" s="1" t="s">
        <v>20</v>
      </c>
      <c r="G56" s="1" t="s">
        <v>196</v>
      </c>
      <c r="H56" s="1" t="s">
        <v>22</v>
      </c>
      <c r="I56" s="1">
        <v>42</v>
      </c>
      <c r="J56" s="1">
        <v>5304</v>
      </c>
      <c r="K56" s="1" t="s">
        <v>94</v>
      </c>
      <c r="L56" s="1" t="s">
        <v>24</v>
      </c>
      <c r="M56" s="1" t="s">
        <v>25</v>
      </c>
      <c r="N56" s="1">
        <v>39500</v>
      </c>
      <c r="O56" s="12">
        <v>40000</v>
      </c>
      <c r="P56" s="3" t="s">
        <v>197</v>
      </c>
      <c r="Q56" s="1" cm="1">
        <f t="array" ref="Q56">VALUE(INDEX(_xlfn.TEXTSPLIT(P56, " "), 4))</f>
        <v>2015</v>
      </c>
      <c r="R56" s="1" t="str">
        <f t="shared" si="0"/>
        <v>Kia K900 Luxury</v>
      </c>
      <c r="S56" s="1" t="str" cm="1">
        <f t="array" ref="S56">_xlfn.IFS(I56 &gt;= 40, "High", I56&gt;=20, "Medium", I56&lt;20, "Low")</f>
        <v>High</v>
      </c>
      <c r="T56" s="1" t="str" cm="1">
        <f t="array" ref="T56">_xlfn.IFS(O56&lt;18200, "Low", O56&lt;=50000, "Medium", O56&gt;50000, "High")</f>
        <v>Medium</v>
      </c>
    </row>
    <row r="57" spans="1:20" x14ac:dyDescent="0.25">
      <c r="A57" s="2">
        <v>2015</v>
      </c>
      <c r="B57" s="1" t="s">
        <v>16</v>
      </c>
      <c r="C57" s="1" t="s">
        <v>17</v>
      </c>
      <c r="D57" s="1" t="s">
        <v>18</v>
      </c>
      <c r="E57" s="1" t="s">
        <v>19</v>
      </c>
      <c r="F57" s="1" t="s">
        <v>20</v>
      </c>
      <c r="G57" s="1" t="s">
        <v>198</v>
      </c>
      <c r="H57" s="1" t="s">
        <v>22</v>
      </c>
      <c r="I57" s="1">
        <v>48</v>
      </c>
      <c r="J57" s="1">
        <v>10357</v>
      </c>
      <c r="K57" s="1" t="s">
        <v>91</v>
      </c>
      <c r="L57" s="1" t="s">
        <v>34</v>
      </c>
      <c r="M57" s="1" t="s">
        <v>25</v>
      </c>
      <c r="N57" s="1">
        <v>20700</v>
      </c>
      <c r="O57" s="12">
        <v>20500</v>
      </c>
      <c r="P57" s="3" t="s">
        <v>26</v>
      </c>
      <c r="Q57" s="1" cm="1">
        <f t="array" ref="Q57">VALUE(INDEX(_xlfn.TEXTSPLIT(P57, " "), 4))</f>
        <v>2014</v>
      </c>
      <c r="R57" s="1" t="str">
        <f t="shared" si="0"/>
        <v>Kia Sorento LX</v>
      </c>
      <c r="S57" s="1" t="str" cm="1">
        <f t="array" ref="S57">_xlfn.IFS(I57 &gt;= 40, "High", I57&gt;=20, "Medium", I57&lt;20, "Low")</f>
        <v>High</v>
      </c>
      <c r="T57" s="1" t="str" cm="1">
        <f t="array" ref="T57">_xlfn.IFS(O57&lt;18200, "Low", O57&lt;=50000, "Medium", O57&gt;50000, "High")</f>
        <v>Medium</v>
      </c>
    </row>
    <row r="58" spans="1:20" x14ac:dyDescent="0.25">
      <c r="A58" s="2">
        <v>2015</v>
      </c>
      <c r="B58" s="1" t="s">
        <v>58</v>
      </c>
      <c r="C58" s="1" t="s">
        <v>199</v>
      </c>
      <c r="D58" s="1" t="s">
        <v>70</v>
      </c>
      <c r="E58" s="1" t="s">
        <v>32</v>
      </c>
      <c r="F58" s="1" t="s">
        <v>20</v>
      </c>
      <c r="G58" s="1" t="s">
        <v>200</v>
      </c>
      <c r="H58" s="1" t="s">
        <v>22</v>
      </c>
      <c r="I58" s="1">
        <v>1</v>
      </c>
      <c r="J58" s="1">
        <v>6105</v>
      </c>
      <c r="K58" s="1" t="s">
        <v>91</v>
      </c>
      <c r="L58" s="1" t="s">
        <v>24</v>
      </c>
      <c r="M58" s="1" t="s">
        <v>51</v>
      </c>
      <c r="N58" s="1">
        <v>16600</v>
      </c>
      <c r="O58" s="12">
        <v>9800</v>
      </c>
      <c r="P58" s="3" t="s">
        <v>201</v>
      </c>
      <c r="Q58" s="1" cm="1">
        <f t="array" ref="Q58">VALUE(INDEX(_xlfn.TEXTSPLIT(P58, " "), 4))</f>
        <v>2015</v>
      </c>
      <c r="R58" s="1" t="str">
        <f t="shared" si="0"/>
        <v>Chevrolet Malibu LT</v>
      </c>
      <c r="S58" s="1" t="str" cm="1">
        <f t="array" ref="S58">_xlfn.IFS(I58 &gt;= 40, "High", I58&gt;=20, "Medium", I58&lt;20, "Low")</f>
        <v>Low</v>
      </c>
      <c r="T58" s="1" t="str" cm="1">
        <f t="array" ref="T58">_xlfn.IFS(O58&lt;18200, "Low", O58&lt;=50000, "Medium", O58&gt;50000, "High")</f>
        <v>Low</v>
      </c>
    </row>
    <row r="59" spans="1:20" x14ac:dyDescent="0.25">
      <c r="A59" s="2">
        <v>2015</v>
      </c>
      <c r="B59" s="1" t="s">
        <v>202</v>
      </c>
      <c r="C59" s="1" t="s">
        <v>203</v>
      </c>
      <c r="D59" s="1" t="s">
        <v>54</v>
      </c>
      <c r="E59" s="1" t="s">
        <v>19</v>
      </c>
      <c r="F59" s="1" t="s">
        <v>20</v>
      </c>
      <c r="G59" s="1" t="s">
        <v>204</v>
      </c>
      <c r="H59" s="1" t="s">
        <v>22</v>
      </c>
      <c r="I59" s="1">
        <v>43</v>
      </c>
      <c r="J59" s="1">
        <v>7770</v>
      </c>
      <c r="K59" s="1" t="s">
        <v>23</v>
      </c>
      <c r="L59" s="1" t="s">
        <v>24</v>
      </c>
      <c r="M59" s="1" t="s">
        <v>205</v>
      </c>
      <c r="N59" s="1">
        <v>41200</v>
      </c>
      <c r="O59" s="12">
        <v>38400</v>
      </c>
      <c r="P59" s="3" t="s">
        <v>206</v>
      </c>
      <c r="Q59" s="1" cm="1">
        <f t="array" ref="Q59">VALUE(INDEX(_xlfn.TEXTSPLIT(P59, " "), 4))</f>
        <v>2014</v>
      </c>
      <c r="R59" s="1" t="str">
        <f t="shared" si="0"/>
        <v>Lexus RX 350 Base</v>
      </c>
      <c r="S59" s="1" t="str" cm="1">
        <f t="array" ref="S59">_xlfn.IFS(I59 &gt;= 40, "High", I59&gt;=20, "Medium", I59&lt;20, "Low")</f>
        <v>High</v>
      </c>
      <c r="T59" s="1" t="str" cm="1">
        <f t="array" ref="T59">_xlfn.IFS(O59&lt;18200, "Low", O59&lt;=50000, "Medium", O59&gt;50000, "High")</f>
        <v>Medium</v>
      </c>
    </row>
    <row r="60" spans="1:20" x14ac:dyDescent="0.25">
      <c r="A60" s="2">
        <v>2015</v>
      </c>
      <c r="B60" s="1" t="s">
        <v>16</v>
      </c>
      <c r="C60" s="1" t="s">
        <v>17</v>
      </c>
      <c r="D60" s="1" t="s">
        <v>18</v>
      </c>
      <c r="E60" s="1" t="s">
        <v>19</v>
      </c>
      <c r="F60" s="1" t="s">
        <v>20</v>
      </c>
      <c r="G60" s="1" t="s">
        <v>207</v>
      </c>
      <c r="H60" s="1" t="s">
        <v>22</v>
      </c>
      <c r="I60" s="1">
        <v>5</v>
      </c>
      <c r="J60" s="1">
        <v>5214</v>
      </c>
      <c r="K60" s="1" t="s">
        <v>23</v>
      </c>
      <c r="L60" s="1" t="s">
        <v>24</v>
      </c>
      <c r="M60" s="1" t="s">
        <v>83</v>
      </c>
      <c r="N60" s="1">
        <v>19400</v>
      </c>
      <c r="O60" s="12">
        <v>19300</v>
      </c>
      <c r="P60" s="3" t="s">
        <v>84</v>
      </c>
      <c r="Q60" s="1" cm="1">
        <f t="array" ref="Q60">VALUE(INDEX(_xlfn.TEXTSPLIT(P60, " "), 4))</f>
        <v>2014</v>
      </c>
      <c r="R60" s="1" t="str">
        <f t="shared" si="0"/>
        <v>Kia Sorento LX</v>
      </c>
      <c r="S60" s="1" t="str" cm="1">
        <f t="array" ref="S60">_xlfn.IFS(I60 &gt;= 40, "High", I60&gt;=20, "Medium", I60&lt;20, "Low")</f>
        <v>Low</v>
      </c>
      <c r="T60" s="1" t="str" cm="1">
        <f t="array" ref="T60">_xlfn.IFS(O60&lt;18200, "Low", O60&lt;=50000, "Medium", O60&gt;50000, "High")</f>
        <v>Medium</v>
      </c>
    </row>
    <row r="61" spans="1:20" x14ac:dyDescent="0.25">
      <c r="A61" s="2">
        <v>2014</v>
      </c>
      <c r="B61" s="1" t="s">
        <v>29</v>
      </c>
      <c r="C61" s="1" t="s">
        <v>53</v>
      </c>
      <c r="D61" s="1" t="s">
        <v>54</v>
      </c>
      <c r="E61" s="1" t="s">
        <v>32</v>
      </c>
      <c r="F61" s="1" t="s">
        <v>20</v>
      </c>
      <c r="G61" s="1" t="s">
        <v>208</v>
      </c>
      <c r="H61" s="1" t="s">
        <v>22</v>
      </c>
      <c r="I61" s="1">
        <v>47</v>
      </c>
      <c r="J61" s="1">
        <v>7766</v>
      </c>
      <c r="K61" s="1" t="s">
        <v>34</v>
      </c>
      <c r="L61" s="1" t="s">
        <v>24</v>
      </c>
      <c r="M61" s="1" t="s">
        <v>153</v>
      </c>
      <c r="N61" s="1">
        <v>71000</v>
      </c>
      <c r="O61" s="12">
        <v>77250</v>
      </c>
      <c r="P61" s="3" t="s">
        <v>68</v>
      </c>
      <c r="Q61" s="1" cm="1">
        <f t="array" ref="Q61">VALUE(INDEX(_xlfn.TEXTSPLIT(P61, " "), 4))</f>
        <v>2014</v>
      </c>
      <c r="R61" s="1" t="str">
        <f t="shared" si="0"/>
        <v>BMW M5 Base</v>
      </c>
      <c r="S61" s="1" t="str" cm="1">
        <f t="array" ref="S61">_xlfn.IFS(I61 &gt;= 40, "High", I61&gt;=20, "Medium", I61&lt;20, "Low")</f>
        <v>High</v>
      </c>
      <c r="T61" s="1" t="str" cm="1">
        <f t="array" ref="T61">_xlfn.IFS(O61&lt;18200, "Low", O61&lt;=50000, "Medium", O61&gt;50000, "High")</f>
        <v>High</v>
      </c>
    </row>
    <row r="62" spans="1:20" x14ac:dyDescent="0.25">
      <c r="A62" s="2">
        <v>2015</v>
      </c>
      <c r="B62" s="1" t="s">
        <v>16</v>
      </c>
      <c r="C62" s="1" t="s">
        <v>194</v>
      </c>
      <c r="D62" s="1" t="s">
        <v>195</v>
      </c>
      <c r="E62" s="1" t="s">
        <v>32</v>
      </c>
      <c r="F62" s="1" t="s">
        <v>20</v>
      </c>
      <c r="G62" s="1" t="s">
        <v>209</v>
      </c>
      <c r="H62" s="1" t="s">
        <v>22</v>
      </c>
      <c r="I62" s="1">
        <v>44</v>
      </c>
      <c r="J62" s="1">
        <v>9684</v>
      </c>
      <c r="K62" s="1" t="s">
        <v>23</v>
      </c>
      <c r="L62" s="1" t="s">
        <v>34</v>
      </c>
      <c r="M62" s="1" t="s">
        <v>25</v>
      </c>
      <c r="N62" s="1">
        <v>41000</v>
      </c>
      <c r="O62" s="12">
        <v>41000</v>
      </c>
      <c r="P62" s="3" t="s">
        <v>210</v>
      </c>
      <c r="Q62" s="1" cm="1">
        <f t="array" ref="Q62">VALUE(INDEX(_xlfn.TEXTSPLIT(P62, " "), 4))</f>
        <v>2015</v>
      </c>
      <c r="R62" s="1" t="str">
        <f t="shared" si="0"/>
        <v>Kia K900 Luxury</v>
      </c>
      <c r="S62" s="1" t="str" cm="1">
        <f t="array" ref="S62">_xlfn.IFS(I62 &gt;= 40, "High", I62&gt;=20, "Medium", I62&lt;20, "Low")</f>
        <v>High</v>
      </c>
      <c r="T62" s="1" t="str" cm="1">
        <f t="array" ref="T62">_xlfn.IFS(O62&lt;18200, "Low", O62&lt;=50000, "Medium", O62&gt;50000, "High")</f>
        <v>Medium</v>
      </c>
    </row>
    <row r="63" spans="1:20" x14ac:dyDescent="0.25">
      <c r="A63" s="2">
        <v>2015</v>
      </c>
      <c r="B63" s="1" t="s">
        <v>63</v>
      </c>
      <c r="C63" s="1" t="s">
        <v>122</v>
      </c>
      <c r="D63" s="1" t="s">
        <v>123</v>
      </c>
      <c r="E63" s="1" t="s">
        <v>32</v>
      </c>
      <c r="F63" s="1" t="s">
        <v>20</v>
      </c>
      <c r="G63" s="1" t="s">
        <v>211</v>
      </c>
      <c r="H63" s="1" t="s">
        <v>22</v>
      </c>
      <c r="I63" s="1">
        <v>2</v>
      </c>
      <c r="J63" s="1">
        <v>31</v>
      </c>
      <c r="K63" s="1" t="s">
        <v>23</v>
      </c>
      <c r="L63" s="1" t="s">
        <v>24</v>
      </c>
      <c r="M63" s="1" t="s">
        <v>51</v>
      </c>
      <c r="N63" s="1">
        <v>24200</v>
      </c>
      <c r="O63" s="12">
        <v>17300</v>
      </c>
      <c r="P63" s="3" t="s">
        <v>97</v>
      </c>
      <c r="Q63" s="1" cm="1">
        <f t="array" ref="Q63">VALUE(INDEX(_xlfn.TEXTSPLIT(P63, " "), 4))</f>
        <v>2014</v>
      </c>
      <c r="R63" s="1" t="str">
        <f t="shared" si="0"/>
        <v>Audi A3 1.8 TFSI Premium</v>
      </c>
      <c r="S63" s="1" t="str" cm="1">
        <f t="array" ref="S63">_xlfn.IFS(I63 &gt;= 40, "High", I63&gt;=20, "Medium", I63&lt;20, "Low")</f>
        <v>Low</v>
      </c>
      <c r="T63" s="1" t="str" cm="1">
        <f t="array" ref="T63">_xlfn.IFS(O63&lt;18200, "Low", O63&lt;=50000, "Medium", O63&gt;50000, "High")</f>
        <v>Low</v>
      </c>
    </row>
    <row r="64" spans="1:20" x14ac:dyDescent="0.25">
      <c r="A64" s="2">
        <v>2015</v>
      </c>
      <c r="B64" s="1" t="s">
        <v>47</v>
      </c>
      <c r="C64" s="1" t="s">
        <v>212</v>
      </c>
      <c r="D64" s="1" t="s">
        <v>213</v>
      </c>
      <c r="E64" s="1" t="s">
        <v>32</v>
      </c>
      <c r="F64" s="1" t="s">
        <v>214</v>
      </c>
      <c r="G64" s="1" t="s">
        <v>215</v>
      </c>
      <c r="H64" s="1" t="s">
        <v>22</v>
      </c>
      <c r="I64" s="1">
        <v>39</v>
      </c>
      <c r="J64" s="1">
        <v>1608</v>
      </c>
      <c r="K64" s="1" t="s">
        <v>216</v>
      </c>
      <c r="L64" s="1" t="s">
        <v>24</v>
      </c>
      <c r="M64" s="1" t="s">
        <v>217</v>
      </c>
      <c r="N64" s="1">
        <v>10900</v>
      </c>
      <c r="O64" s="12">
        <v>11000</v>
      </c>
      <c r="P64" s="3" t="s">
        <v>57</v>
      </c>
      <c r="Q64" s="1" cm="1">
        <f t="array" ref="Q64">VALUE(INDEX(_xlfn.TEXTSPLIT(P64, " "), 4))</f>
        <v>2014</v>
      </c>
      <c r="R64" s="1" t="str">
        <f t="shared" si="0"/>
        <v>Nissan Versa 1.6 SL</v>
      </c>
      <c r="S64" s="1" t="str" cm="1">
        <f t="array" ref="S64">_xlfn.IFS(I64 &gt;= 40, "High", I64&gt;=20, "Medium", I64&lt;20, "Low")</f>
        <v>Medium</v>
      </c>
      <c r="T64" s="1" t="str" cm="1">
        <f t="array" ref="T64">_xlfn.IFS(O64&lt;18200, "Low", O64&lt;=50000, "Medium", O64&gt;50000, "High")</f>
        <v>Low</v>
      </c>
    </row>
    <row r="65" spans="1:20" x14ac:dyDescent="0.25">
      <c r="A65" s="2">
        <v>2014</v>
      </c>
      <c r="B65" s="1" t="s">
        <v>58</v>
      </c>
      <c r="C65" s="1" t="s">
        <v>69</v>
      </c>
      <c r="D65" s="1" t="s">
        <v>70</v>
      </c>
      <c r="E65" s="1" t="s">
        <v>107</v>
      </c>
      <c r="F65" s="1" t="s">
        <v>20</v>
      </c>
      <c r="G65" s="1" t="s">
        <v>218</v>
      </c>
      <c r="H65" s="1" t="s">
        <v>22</v>
      </c>
      <c r="I65" s="1">
        <v>31</v>
      </c>
      <c r="J65" s="1">
        <v>9914</v>
      </c>
      <c r="K65" s="1" t="s">
        <v>24</v>
      </c>
      <c r="L65" s="1" t="s">
        <v>24</v>
      </c>
      <c r="M65" s="1" t="s">
        <v>140</v>
      </c>
      <c r="N65" s="1">
        <v>22500</v>
      </c>
      <c r="O65" s="12">
        <v>20600</v>
      </c>
      <c r="P65" s="3" t="s">
        <v>68</v>
      </c>
      <c r="Q65" s="1" cm="1">
        <f t="array" ref="Q65">VALUE(INDEX(_xlfn.TEXTSPLIT(P65, " "), 4))</f>
        <v>2014</v>
      </c>
      <c r="R65" s="1" t="str">
        <f t="shared" si="0"/>
        <v>Chevrolet Camaro LT</v>
      </c>
      <c r="S65" s="1" t="str" cm="1">
        <f t="array" ref="S65">_xlfn.IFS(I65 &gt;= 40, "High", I65&gt;=20, "Medium", I65&lt;20, "Low")</f>
        <v>Medium</v>
      </c>
      <c r="T65" s="1" t="str" cm="1">
        <f t="array" ref="T65">_xlfn.IFS(O65&lt;18200, "Low", O65&lt;=50000, "Medium", O65&gt;50000, "High")</f>
        <v>Medium</v>
      </c>
    </row>
    <row r="66" spans="1:20" x14ac:dyDescent="0.25">
      <c r="A66" s="2">
        <v>2015</v>
      </c>
      <c r="B66" s="1" t="s">
        <v>98</v>
      </c>
      <c r="C66" s="1" t="s">
        <v>219</v>
      </c>
      <c r="D66" s="1" t="s">
        <v>87</v>
      </c>
      <c r="E66" s="1" t="s">
        <v>32</v>
      </c>
      <c r="F66" s="1" t="s">
        <v>20</v>
      </c>
      <c r="G66" s="1" t="s">
        <v>220</v>
      </c>
      <c r="H66" s="1" t="s">
        <v>22</v>
      </c>
      <c r="I66" s="1">
        <v>1</v>
      </c>
      <c r="J66" s="1">
        <v>7879</v>
      </c>
      <c r="K66" s="1" t="s">
        <v>91</v>
      </c>
      <c r="L66" s="1" t="s">
        <v>34</v>
      </c>
      <c r="M66" s="1" t="s">
        <v>51</v>
      </c>
      <c r="N66" s="1">
        <v>13800</v>
      </c>
      <c r="O66" s="12">
        <v>10500</v>
      </c>
      <c r="P66" s="3" t="s">
        <v>84</v>
      </c>
      <c r="Q66" s="1" cm="1">
        <f t="array" ref="Q66">VALUE(INDEX(_xlfn.TEXTSPLIT(P66, " "), 4))</f>
        <v>2014</v>
      </c>
      <c r="R66" s="1" t="str">
        <f t="shared" si="0"/>
        <v>Hyundai Elantra SE</v>
      </c>
      <c r="S66" s="1" t="str" cm="1">
        <f t="array" ref="S66">_xlfn.IFS(I66 &gt;= 40, "High", I66&gt;=20, "Medium", I66&lt;20, "Low")</f>
        <v>Low</v>
      </c>
      <c r="T66" s="1" t="str" cm="1">
        <f t="array" ref="T66">_xlfn.IFS(O66&lt;18200, "Low", O66&lt;=50000, "Medium", O66&gt;50000, "High")</f>
        <v>Low</v>
      </c>
    </row>
    <row r="67" spans="1:20" x14ac:dyDescent="0.25">
      <c r="A67" s="2">
        <v>2015</v>
      </c>
      <c r="B67" s="1" t="s">
        <v>16</v>
      </c>
      <c r="C67" s="1" t="s">
        <v>17</v>
      </c>
      <c r="D67" s="1" t="s">
        <v>18</v>
      </c>
      <c r="E67" s="1" t="s">
        <v>19</v>
      </c>
      <c r="F67" s="1" t="s">
        <v>20</v>
      </c>
      <c r="G67" s="1" t="s">
        <v>221</v>
      </c>
      <c r="H67" s="1" t="s">
        <v>22</v>
      </c>
      <c r="I67" s="1">
        <v>5</v>
      </c>
      <c r="J67" s="1">
        <v>14176</v>
      </c>
      <c r="K67" s="1" t="s">
        <v>23</v>
      </c>
      <c r="L67" s="1" t="s">
        <v>24</v>
      </c>
      <c r="M67" s="1" t="s">
        <v>25</v>
      </c>
      <c r="N67" s="1">
        <v>20600</v>
      </c>
      <c r="O67" s="12">
        <v>21250</v>
      </c>
      <c r="P67" s="3" t="s">
        <v>26</v>
      </c>
      <c r="Q67" s="1" cm="1">
        <f t="array" ref="Q67">VALUE(INDEX(_xlfn.TEXTSPLIT(P67, " "), 4))</f>
        <v>2014</v>
      </c>
      <c r="R67" s="1" t="str">
        <f t="shared" ref="R67:R130" si="1">_xlfn.TEXTJOIN(" ", TRUE, B67, C67, D67)</f>
        <v>Kia Sorento LX</v>
      </c>
      <c r="S67" s="1" t="str" cm="1">
        <f t="array" ref="S67">_xlfn.IFS(I67 &gt;= 40, "High", I67&gt;=20, "Medium", I67&lt;20, "Low")</f>
        <v>Low</v>
      </c>
      <c r="T67" s="1" t="str" cm="1">
        <f t="array" ref="T67">_xlfn.IFS(O67&lt;18200, "Low", O67&lt;=50000, "Medium", O67&gt;50000, "High")</f>
        <v>Medium</v>
      </c>
    </row>
    <row r="68" spans="1:20" x14ac:dyDescent="0.25">
      <c r="A68" s="2">
        <v>2014</v>
      </c>
      <c r="B68" s="1" t="s">
        <v>58</v>
      </c>
      <c r="C68" s="1" t="s">
        <v>69</v>
      </c>
      <c r="D68" s="1" t="s">
        <v>70</v>
      </c>
      <c r="E68" s="1" t="s">
        <v>107</v>
      </c>
      <c r="F68" s="1" t="s">
        <v>20</v>
      </c>
      <c r="G68" s="1" t="s">
        <v>222</v>
      </c>
      <c r="H68" s="1" t="s">
        <v>22</v>
      </c>
      <c r="I68" s="1">
        <v>41</v>
      </c>
      <c r="J68" s="1">
        <v>17594</v>
      </c>
      <c r="K68" s="1" t="s">
        <v>34</v>
      </c>
      <c r="L68" s="1" t="s">
        <v>24</v>
      </c>
      <c r="M68" s="1" t="s">
        <v>140</v>
      </c>
      <c r="N68" s="1">
        <v>21500</v>
      </c>
      <c r="O68" s="12">
        <v>19600</v>
      </c>
      <c r="P68" s="3" t="s">
        <v>68</v>
      </c>
      <c r="Q68" s="1" cm="1">
        <f t="array" ref="Q68">VALUE(INDEX(_xlfn.TEXTSPLIT(P68, " "), 4))</f>
        <v>2014</v>
      </c>
      <c r="R68" s="1" t="str">
        <f t="shared" si="1"/>
        <v>Chevrolet Camaro LT</v>
      </c>
      <c r="S68" s="1" t="str" cm="1">
        <f t="array" ref="S68">_xlfn.IFS(I68 &gt;= 40, "High", I68&gt;=20, "Medium", I68&lt;20, "Low")</f>
        <v>High</v>
      </c>
      <c r="T68" s="1" t="str" cm="1">
        <f t="array" ref="T68">_xlfn.IFS(O68&lt;18200, "Low", O68&lt;=50000, "Medium", O68&gt;50000, "High")</f>
        <v>Medium</v>
      </c>
    </row>
    <row r="69" spans="1:20" x14ac:dyDescent="0.25">
      <c r="A69" s="2">
        <v>2015</v>
      </c>
      <c r="B69" s="1" t="s">
        <v>63</v>
      </c>
      <c r="C69" s="1" t="s">
        <v>122</v>
      </c>
      <c r="D69" s="1" t="s">
        <v>123</v>
      </c>
      <c r="E69" s="1" t="s">
        <v>32</v>
      </c>
      <c r="F69" s="1" t="s">
        <v>20</v>
      </c>
      <c r="G69" s="1" t="s">
        <v>223</v>
      </c>
      <c r="H69" s="1" t="s">
        <v>22</v>
      </c>
      <c r="I69" s="1">
        <v>5</v>
      </c>
      <c r="J69" s="1">
        <v>1906</v>
      </c>
      <c r="K69" s="1" t="s">
        <v>34</v>
      </c>
      <c r="L69" s="1" t="s">
        <v>24</v>
      </c>
      <c r="M69" s="1" t="s">
        <v>105</v>
      </c>
      <c r="N69" s="1">
        <v>24100</v>
      </c>
      <c r="O69" s="12">
        <v>25750</v>
      </c>
      <c r="P69" s="3" t="s">
        <v>46</v>
      </c>
      <c r="Q69" s="1" cm="1">
        <f t="array" ref="Q69">VALUE(INDEX(_xlfn.TEXTSPLIT(P69, " "), 4))</f>
        <v>2014</v>
      </c>
      <c r="R69" s="1" t="str">
        <f t="shared" si="1"/>
        <v>Audi A3 1.8 TFSI Premium</v>
      </c>
      <c r="S69" s="1" t="str" cm="1">
        <f t="array" ref="S69">_xlfn.IFS(I69 &gt;= 40, "High", I69&gt;=20, "Medium", I69&lt;20, "Low")</f>
        <v>Low</v>
      </c>
      <c r="T69" s="1" t="str" cm="1">
        <f t="array" ref="T69">_xlfn.IFS(O69&lt;18200, "Low", O69&lt;=50000, "Medium", O69&gt;50000, "High")</f>
        <v>Medium</v>
      </c>
    </row>
    <row r="70" spans="1:20" x14ac:dyDescent="0.25">
      <c r="A70" s="2">
        <v>2014</v>
      </c>
      <c r="B70" s="1" t="s">
        <v>29</v>
      </c>
      <c r="C70" s="1" t="s">
        <v>111</v>
      </c>
      <c r="D70" s="1" t="s">
        <v>44</v>
      </c>
      <c r="E70" s="1" t="s">
        <v>71</v>
      </c>
      <c r="F70" s="1" t="s">
        <v>20</v>
      </c>
      <c r="G70" s="1" t="s">
        <v>224</v>
      </c>
      <c r="H70" s="1" t="s">
        <v>22</v>
      </c>
      <c r="I70" s="1">
        <v>4</v>
      </c>
      <c r="J70" s="1">
        <v>8037</v>
      </c>
      <c r="K70" s="1" t="s">
        <v>24</v>
      </c>
      <c r="L70" s="1" t="s">
        <v>24</v>
      </c>
      <c r="M70" s="1" t="s">
        <v>56</v>
      </c>
      <c r="N70" s="1">
        <v>67000</v>
      </c>
      <c r="O70" s="12">
        <v>65000</v>
      </c>
      <c r="P70" s="3" t="s">
        <v>126</v>
      </c>
      <c r="Q70" s="1" cm="1">
        <f t="array" ref="Q70">VALUE(INDEX(_xlfn.TEXTSPLIT(P70, " "), 4))</f>
        <v>2015</v>
      </c>
      <c r="R70" s="1" t="str">
        <f t="shared" si="1"/>
        <v>BMW 6 Series 650i</v>
      </c>
      <c r="S70" s="1" t="str" cm="1">
        <f t="array" ref="S70">_xlfn.IFS(I70 &gt;= 40, "High", I70&gt;=20, "Medium", I70&lt;20, "Low")</f>
        <v>Low</v>
      </c>
      <c r="T70" s="1" t="str" cm="1">
        <f t="array" ref="T70">_xlfn.IFS(O70&lt;18200, "Low", O70&lt;=50000, "Medium", O70&gt;50000, "High")</f>
        <v>High</v>
      </c>
    </row>
    <row r="71" spans="1:20" x14ac:dyDescent="0.25">
      <c r="A71" s="2">
        <v>2015</v>
      </c>
      <c r="B71" s="1" t="s">
        <v>47</v>
      </c>
      <c r="C71" s="1" t="s">
        <v>225</v>
      </c>
      <c r="D71" s="1" t="s">
        <v>226</v>
      </c>
      <c r="E71" s="1" t="s">
        <v>227</v>
      </c>
      <c r="F71" s="1" t="s">
        <v>20</v>
      </c>
      <c r="G71" s="1" t="s">
        <v>228</v>
      </c>
      <c r="H71" s="1" t="s">
        <v>22</v>
      </c>
      <c r="I71" s="1">
        <v>2</v>
      </c>
      <c r="J71" s="1">
        <v>5773</v>
      </c>
      <c r="K71" s="1" t="s">
        <v>73</v>
      </c>
      <c r="L71" s="1" t="s">
        <v>24</v>
      </c>
      <c r="M71" s="1" t="s">
        <v>51</v>
      </c>
      <c r="N71" s="1">
        <v>12050</v>
      </c>
      <c r="O71" s="12">
        <v>9000</v>
      </c>
      <c r="P71" s="3" t="s">
        <v>89</v>
      </c>
      <c r="Q71" s="1" cm="1">
        <f t="array" ref="Q71">VALUE(INDEX(_xlfn.TEXTSPLIT(P71, " "), 4))</f>
        <v>2015</v>
      </c>
      <c r="R71" s="1" t="str">
        <f t="shared" si="1"/>
        <v>Nissan Versa Note 1.6 SV</v>
      </c>
      <c r="S71" s="1" t="str" cm="1">
        <f t="array" ref="S71">_xlfn.IFS(I71 &gt;= 40, "High", I71&gt;=20, "Medium", I71&lt;20, "Low")</f>
        <v>Low</v>
      </c>
      <c r="T71" s="1" t="str" cm="1">
        <f t="array" ref="T71">_xlfn.IFS(O71&lt;18200, "Low", O71&lt;=50000, "Medium", O71&gt;50000, "High")</f>
        <v>Low</v>
      </c>
    </row>
    <row r="72" spans="1:20" x14ac:dyDescent="0.25">
      <c r="A72" s="2">
        <v>2014</v>
      </c>
      <c r="B72" s="1" t="s">
        <v>63</v>
      </c>
      <c r="C72" s="1" t="s">
        <v>229</v>
      </c>
      <c r="D72" s="1" t="s">
        <v>230</v>
      </c>
      <c r="E72" s="1" t="s">
        <v>32</v>
      </c>
      <c r="F72" s="1" t="s">
        <v>20</v>
      </c>
      <c r="G72" s="1" t="s">
        <v>231</v>
      </c>
      <c r="H72" s="1" t="s">
        <v>22</v>
      </c>
      <c r="I72" s="1">
        <v>43</v>
      </c>
      <c r="J72" s="1">
        <v>32918</v>
      </c>
      <c r="K72" s="1" t="s">
        <v>24</v>
      </c>
      <c r="L72" s="1" t="s">
        <v>24</v>
      </c>
      <c r="M72" s="1" t="s">
        <v>232</v>
      </c>
      <c r="N72" s="1">
        <v>62000</v>
      </c>
      <c r="O72" s="12">
        <v>50000</v>
      </c>
      <c r="P72" s="3" t="s">
        <v>143</v>
      </c>
      <c r="Q72" s="1" cm="1">
        <f t="array" ref="Q72">VALUE(INDEX(_xlfn.TEXTSPLIT(P72, " "), 4))</f>
        <v>2014</v>
      </c>
      <c r="R72" s="1" t="str">
        <f t="shared" si="1"/>
        <v>Audi A8 L 3.0T quattro</v>
      </c>
      <c r="S72" s="1" t="str" cm="1">
        <f t="array" ref="S72">_xlfn.IFS(I72 &gt;= 40, "High", I72&gt;=20, "Medium", I72&lt;20, "Low")</f>
        <v>High</v>
      </c>
      <c r="T72" s="1" t="str" cm="1">
        <f t="array" ref="T72">_xlfn.IFS(O72&lt;18200, "Low", O72&lt;=50000, "Medium", O72&gt;50000, "High")</f>
        <v>Medium</v>
      </c>
    </row>
    <row r="73" spans="1:20" x14ac:dyDescent="0.25">
      <c r="A73" s="2">
        <v>2014</v>
      </c>
      <c r="B73" s="1" t="s">
        <v>29</v>
      </c>
      <c r="C73" s="1" t="s">
        <v>233</v>
      </c>
      <c r="D73" s="1" t="s">
        <v>234</v>
      </c>
      <c r="E73" s="1" t="s">
        <v>19</v>
      </c>
      <c r="F73" s="1" t="s">
        <v>20</v>
      </c>
      <c r="G73" s="1" t="s">
        <v>235</v>
      </c>
      <c r="H73" s="1" t="s">
        <v>22</v>
      </c>
      <c r="I73" s="1">
        <v>48</v>
      </c>
      <c r="J73" s="1">
        <v>19689</v>
      </c>
      <c r="K73" s="1" t="s">
        <v>23</v>
      </c>
      <c r="L73" s="1" t="s">
        <v>24</v>
      </c>
      <c r="M73" s="1" t="s">
        <v>35</v>
      </c>
      <c r="N73" s="1">
        <v>23700</v>
      </c>
      <c r="O73" s="12">
        <v>26500</v>
      </c>
      <c r="P73" s="3" t="s">
        <v>46</v>
      </c>
      <c r="Q73" s="1" cm="1">
        <f t="array" ref="Q73">VALUE(INDEX(_xlfn.TEXTSPLIT(P73, " "), 4))</f>
        <v>2014</v>
      </c>
      <c r="R73" s="1" t="str">
        <f t="shared" si="1"/>
        <v>BMW X1 sDrive28i</v>
      </c>
      <c r="S73" s="1" t="str" cm="1">
        <f t="array" ref="S73">_xlfn.IFS(I73 &gt;= 40, "High", I73&gt;=20, "Medium", I73&lt;20, "Low")</f>
        <v>High</v>
      </c>
      <c r="T73" s="1" t="str" cm="1">
        <f t="array" ref="T73">_xlfn.IFS(O73&lt;18200, "Low", O73&lt;=50000, "Medium", O73&gt;50000, "High")</f>
        <v>Medium</v>
      </c>
    </row>
    <row r="74" spans="1:20" x14ac:dyDescent="0.25">
      <c r="A74" s="2">
        <v>2014</v>
      </c>
      <c r="B74" s="1" t="s">
        <v>29</v>
      </c>
      <c r="C74" s="1"/>
      <c r="D74" s="1" t="s">
        <v>236</v>
      </c>
      <c r="E74" s="1" t="s">
        <v>32</v>
      </c>
      <c r="F74" s="1" t="s">
        <v>20</v>
      </c>
      <c r="G74" s="1" t="s">
        <v>237</v>
      </c>
      <c r="H74" s="1" t="s">
        <v>22</v>
      </c>
      <c r="I74" s="1">
        <v>43</v>
      </c>
      <c r="J74" s="1">
        <v>12172</v>
      </c>
      <c r="K74" s="1" t="s">
        <v>24</v>
      </c>
      <c r="L74" s="1" t="s">
        <v>24</v>
      </c>
      <c r="M74" s="1" t="s">
        <v>35</v>
      </c>
      <c r="N74" s="1">
        <v>67000</v>
      </c>
      <c r="O74" s="12">
        <v>66000</v>
      </c>
      <c r="P74" s="3" t="s">
        <v>46</v>
      </c>
      <c r="Q74" s="1" cm="1">
        <f t="array" ref="Q74">VALUE(INDEX(_xlfn.TEXTSPLIT(P74, " "), 4))</f>
        <v>2014</v>
      </c>
      <c r="R74" s="1" t="str">
        <f t="shared" si="1"/>
        <v>BMW 750Li</v>
      </c>
      <c r="S74" s="1" t="str" cm="1">
        <f t="array" ref="S74">_xlfn.IFS(I74 &gt;= 40, "High", I74&gt;=20, "Medium", I74&lt;20, "Low")</f>
        <v>High</v>
      </c>
      <c r="T74" s="1" t="str" cm="1">
        <f t="array" ref="T74">_xlfn.IFS(O74&lt;18200, "Low", O74&lt;=50000, "Medium", O74&gt;50000, "High")</f>
        <v>High</v>
      </c>
    </row>
    <row r="75" spans="1:20" x14ac:dyDescent="0.25">
      <c r="A75" s="2">
        <v>2014</v>
      </c>
      <c r="B75" s="1" t="s">
        <v>58</v>
      </c>
      <c r="C75" s="1" t="s">
        <v>69</v>
      </c>
      <c r="D75" s="1" t="s">
        <v>70</v>
      </c>
      <c r="E75" s="1" t="s">
        <v>107</v>
      </c>
      <c r="F75" s="1" t="s">
        <v>20</v>
      </c>
      <c r="G75" s="1" t="s">
        <v>238</v>
      </c>
      <c r="H75" s="1" t="s">
        <v>22</v>
      </c>
      <c r="I75" s="1">
        <v>1</v>
      </c>
      <c r="J75" s="1">
        <v>20595</v>
      </c>
      <c r="K75" s="1" t="s">
        <v>73</v>
      </c>
      <c r="L75" s="1" t="s">
        <v>34</v>
      </c>
      <c r="M75" s="1" t="s">
        <v>51</v>
      </c>
      <c r="N75" s="1">
        <v>20800</v>
      </c>
      <c r="O75" s="12">
        <v>13600</v>
      </c>
      <c r="P75" s="3" t="s">
        <v>62</v>
      </c>
      <c r="Q75" s="1" cm="1">
        <f t="array" ref="Q75">VALUE(INDEX(_xlfn.TEXTSPLIT(P75, " "), 4))</f>
        <v>2014</v>
      </c>
      <c r="R75" s="1" t="str">
        <f t="shared" si="1"/>
        <v>Chevrolet Camaro LT</v>
      </c>
      <c r="S75" s="1" t="str" cm="1">
        <f t="array" ref="S75">_xlfn.IFS(I75 &gt;= 40, "High", I75&gt;=20, "Medium", I75&lt;20, "Low")</f>
        <v>Low</v>
      </c>
      <c r="T75" s="1" t="str" cm="1">
        <f t="array" ref="T75">_xlfn.IFS(O75&lt;18200, "Low", O75&lt;=50000, "Medium", O75&gt;50000, "High")</f>
        <v>Low</v>
      </c>
    </row>
    <row r="76" spans="1:20" x14ac:dyDescent="0.25">
      <c r="A76" s="2">
        <v>2015</v>
      </c>
      <c r="B76" s="1" t="s">
        <v>37</v>
      </c>
      <c r="C76" s="1" t="s">
        <v>174</v>
      </c>
      <c r="D76" s="1" t="s">
        <v>39</v>
      </c>
      <c r="E76" s="1" t="s">
        <v>130</v>
      </c>
      <c r="F76" s="1" t="s">
        <v>20</v>
      </c>
      <c r="G76" s="1" t="s">
        <v>239</v>
      </c>
      <c r="H76" s="1" t="s">
        <v>22</v>
      </c>
      <c r="I76" s="1">
        <v>4</v>
      </c>
      <c r="J76" s="1">
        <v>13623</v>
      </c>
      <c r="K76" s="1" t="s">
        <v>91</v>
      </c>
      <c r="L76" s="1" t="s">
        <v>24</v>
      </c>
      <c r="M76" s="1" t="s">
        <v>41</v>
      </c>
      <c r="N76" s="1">
        <v>28400</v>
      </c>
      <c r="O76" s="12">
        <v>28000</v>
      </c>
      <c r="P76" s="3" t="s">
        <v>133</v>
      </c>
      <c r="Q76" s="1" cm="1">
        <f t="array" ref="Q76">VALUE(INDEX(_xlfn.TEXTSPLIT(P76, " "), 4))</f>
        <v>2015</v>
      </c>
      <c r="R76" s="1" t="str">
        <f t="shared" si="1"/>
        <v>Volvo V60 T5</v>
      </c>
      <c r="S76" s="1" t="str" cm="1">
        <f t="array" ref="S76">_xlfn.IFS(I76 &gt;= 40, "High", I76&gt;=20, "Medium", I76&lt;20, "Low")</f>
        <v>Low</v>
      </c>
      <c r="T76" s="1" t="str" cm="1">
        <f t="array" ref="T76">_xlfn.IFS(O76&lt;18200, "Low", O76&lt;=50000, "Medium", O76&gt;50000, "High")</f>
        <v>Medium</v>
      </c>
    </row>
    <row r="77" spans="1:20" x14ac:dyDescent="0.25">
      <c r="A77" s="2">
        <v>2014</v>
      </c>
      <c r="B77" s="1" t="s">
        <v>29</v>
      </c>
      <c r="C77" s="1" t="s">
        <v>111</v>
      </c>
      <c r="D77" s="1" t="s">
        <v>44</v>
      </c>
      <c r="E77" s="1" t="s">
        <v>107</v>
      </c>
      <c r="F77" s="1" t="s">
        <v>20</v>
      </c>
      <c r="G77" s="1" t="s">
        <v>240</v>
      </c>
      <c r="H77" s="1" t="s">
        <v>22</v>
      </c>
      <c r="I77" s="1">
        <v>4</v>
      </c>
      <c r="J77" s="1">
        <v>9837</v>
      </c>
      <c r="K77" s="1" t="s">
        <v>24</v>
      </c>
      <c r="L77" s="1" t="s">
        <v>101</v>
      </c>
      <c r="M77" s="1" t="s">
        <v>35</v>
      </c>
      <c r="N77" s="1">
        <v>62000</v>
      </c>
      <c r="O77" s="12">
        <v>61500</v>
      </c>
      <c r="P77" s="3" t="s">
        <v>46</v>
      </c>
      <c r="Q77" s="1" cm="1">
        <f t="array" ref="Q77">VALUE(INDEX(_xlfn.TEXTSPLIT(P77, " "), 4))</f>
        <v>2014</v>
      </c>
      <c r="R77" s="1" t="str">
        <f t="shared" si="1"/>
        <v>BMW 6 Series 650i</v>
      </c>
      <c r="S77" s="1" t="str" cm="1">
        <f t="array" ref="S77">_xlfn.IFS(I77 &gt;= 40, "High", I77&gt;=20, "Medium", I77&lt;20, "Low")</f>
        <v>Low</v>
      </c>
      <c r="T77" s="1" t="str" cm="1">
        <f t="array" ref="T77">_xlfn.IFS(O77&lt;18200, "Low", O77&lt;=50000, "Medium", O77&gt;50000, "High")</f>
        <v>High</v>
      </c>
    </row>
    <row r="78" spans="1:20" x14ac:dyDescent="0.25">
      <c r="A78" s="2">
        <v>2014</v>
      </c>
      <c r="B78" s="1" t="s">
        <v>58</v>
      </c>
      <c r="C78" s="1" t="s">
        <v>69</v>
      </c>
      <c r="D78" s="1" t="s">
        <v>70</v>
      </c>
      <c r="E78" s="1" t="s">
        <v>107</v>
      </c>
      <c r="F78" s="1" t="s">
        <v>20</v>
      </c>
      <c r="G78" s="1" t="s">
        <v>241</v>
      </c>
      <c r="H78" s="1" t="s">
        <v>22</v>
      </c>
      <c r="I78" s="1">
        <v>3</v>
      </c>
      <c r="J78" s="1">
        <v>13606</v>
      </c>
      <c r="K78" s="1" t="s">
        <v>24</v>
      </c>
      <c r="L78" s="1" t="s">
        <v>24</v>
      </c>
      <c r="M78" s="1" t="s">
        <v>51</v>
      </c>
      <c r="N78" s="1">
        <v>21400</v>
      </c>
      <c r="O78" s="12">
        <v>13000</v>
      </c>
      <c r="P78" s="3" t="s">
        <v>242</v>
      </c>
      <c r="Q78" s="1" cm="1">
        <f t="array" ref="Q78">VALUE(INDEX(_xlfn.TEXTSPLIT(P78, " "), 4))</f>
        <v>2015</v>
      </c>
      <c r="R78" s="1" t="str">
        <f t="shared" si="1"/>
        <v>Chevrolet Camaro LT</v>
      </c>
      <c r="S78" s="1" t="str" cm="1">
        <f t="array" ref="S78">_xlfn.IFS(I78 &gt;= 40, "High", I78&gt;=20, "Medium", I78&lt;20, "Low")</f>
        <v>Low</v>
      </c>
      <c r="T78" s="1" t="str" cm="1">
        <f t="array" ref="T78">_xlfn.IFS(O78&lt;18200, "Low", O78&lt;=50000, "Medium", O78&gt;50000, "High")</f>
        <v>Low</v>
      </c>
    </row>
    <row r="79" spans="1:20" x14ac:dyDescent="0.25">
      <c r="A79" s="2">
        <v>2014</v>
      </c>
      <c r="B79" s="1" t="s">
        <v>29</v>
      </c>
      <c r="C79" s="1" t="s">
        <v>43</v>
      </c>
      <c r="D79" s="1" t="s">
        <v>44</v>
      </c>
      <c r="E79" s="1" t="s">
        <v>32</v>
      </c>
      <c r="F79" s="1" t="s">
        <v>20</v>
      </c>
      <c r="G79" s="1" t="s">
        <v>243</v>
      </c>
      <c r="H79" s="1" t="s">
        <v>22</v>
      </c>
      <c r="I79" s="1">
        <v>29</v>
      </c>
      <c r="J79" s="1">
        <v>37752</v>
      </c>
      <c r="K79" s="1" t="s">
        <v>23</v>
      </c>
      <c r="L79" s="1" t="s">
        <v>24</v>
      </c>
      <c r="M79" s="1" t="s">
        <v>35</v>
      </c>
      <c r="N79" s="1">
        <v>62000</v>
      </c>
      <c r="O79" s="12">
        <v>58000</v>
      </c>
      <c r="P79" s="3" t="s">
        <v>26</v>
      </c>
      <c r="Q79" s="1" cm="1">
        <f t="array" ref="Q79">VALUE(INDEX(_xlfn.TEXTSPLIT(P79, " "), 4))</f>
        <v>2014</v>
      </c>
      <c r="R79" s="1" t="str">
        <f t="shared" si="1"/>
        <v>BMW 6 Series Gran Coupe 650i</v>
      </c>
      <c r="S79" s="1" t="str" cm="1">
        <f t="array" ref="S79">_xlfn.IFS(I79 &gt;= 40, "High", I79&gt;=20, "Medium", I79&lt;20, "Low")</f>
        <v>Medium</v>
      </c>
      <c r="T79" s="1" t="str" cm="1">
        <f t="array" ref="T79">_xlfn.IFS(O79&lt;18200, "Low", O79&lt;=50000, "Medium", O79&gt;50000, "High")</f>
        <v>High</v>
      </c>
    </row>
    <row r="80" spans="1:20" x14ac:dyDescent="0.25">
      <c r="A80" s="2">
        <v>2015</v>
      </c>
      <c r="B80" s="1" t="s">
        <v>16</v>
      </c>
      <c r="C80" s="1" t="s">
        <v>17</v>
      </c>
      <c r="D80" s="1" t="s">
        <v>18</v>
      </c>
      <c r="E80" s="1" t="s">
        <v>19</v>
      </c>
      <c r="F80" s="1" t="s">
        <v>20</v>
      </c>
      <c r="G80" s="1" t="s">
        <v>244</v>
      </c>
      <c r="H80" s="1" t="s">
        <v>22</v>
      </c>
      <c r="I80" s="1">
        <v>44</v>
      </c>
      <c r="J80" s="1">
        <v>9161</v>
      </c>
      <c r="K80" s="1" t="s">
        <v>91</v>
      </c>
      <c r="L80" s="1" t="s">
        <v>24</v>
      </c>
      <c r="M80" s="1" t="s">
        <v>25</v>
      </c>
      <c r="N80" s="1">
        <v>20800</v>
      </c>
      <c r="O80" s="12">
        <v>22250</v>
      </c>
      <c r="P80" s="3" t="s">
        <v>26</v>
      </c>
      <c r="Q80" s="1" cm="1">
        <f t="array" ref="Q80">VALUE(INDEX(_xlfn.TEXTSPLIT(P80, " "), 4))</f>
        <v>2014</v>
      </c>
      <c r="R80" s="1" t="str">
        <f t="shared" si="1"/>
        <v>Kia Sorento LX</v>
      </c>
      <c r="S80" s="1" t="str" cm="1">
        <f t="array" ref="S80">_xlfn.IFS(I80 &gt;= 40, "High", I80&gt;=20, "Medium", I80&lt;20, "Low")</f>
        <v>High</v>
      </c>
      <c r="T80" s="1" t="str" cm="1">
        <f t="array" ref="T80">_xlfn.IFS(O80&lt;18200, "Low", O80&lt;=50000, "Medium", O80&gt;50000, "High")</f>
        <v>Medium</v>
      </c>
    </row>
    <row r="81" spans="1:20" x14ac:dyDescent="0.25">
      <c r="A81" s="2">
        <v>2015</v>
      </c>
      <c r="B81" s="1" t="s">
        <v>16</v>
      </c>
      <c r="C81" s="1" t="s">
        <v>17</v>
      </c>
      <c r="D81" s="1" t="s">
        <v>18</v>
      </c>
      <c r="E81" s="1" t="s">
        <v>19</v>
      </c>
      <c r="F81" s="1" t="s">
        <v>20</v>
      </c>
      <c r="G81" s="1" t="s">
        <v>245</v>
      </c>
      <c r="H81" s="1" t="s">
        <v>22</v>
      </c>
      <c r="I81" s="1">
        <v>5</v>
      </c>
      <c r="J81" s="1">
        <v>11001</v>
      </c>
      <c r="K81" s="1" t="s">
        <v>23</v>
      </c>
      <c r="L81" s="1" t="s">
        <v>24</v>
      </c>
      <c r="M81" s="1" t="s">
        <v>25</v>
      </c>
      <c r="N81" s="1">
        <v>20700</v>
      </c>
      <c r="O81" s="12">
        <v>22500</v>
      </c>
      <c r="P81" s="3" t="s">
        <v>26</v>
      </c>
      <c r="Q81" s="1" cm="1">
        <f t="array" ref="Q81">VALUE(INDEX(_xlfn.TEXTSPLIT(P81, " "), 4))</f>
        <v>2014</v>
      </c>
      <c r="R81" s="1" t="str">
        <f t="shared" si="1"/>
        <v>Kia Sorento LX</v>
      </c>
      <c r="S81" s="1" t="str" cm="1">
        <f t="array" ref="S81">_xlfn.IFS(I81 &gt;= 40, "High", I81&gt;=20, "Medium", I81&lt;20, "Low")</f>
        <v>Low</v>
      </c>
      <c r="T81" s="1" t="str" cm="1">
        <f t="array" ref="T81">_xlfn.IFS(O81&lt;18200, "Low", O81&lt;=50000, "Medium", O81&gt;50000, "High")</f>
        <v>Medium</v>
      </c>
    </row>
    <row r="82" spans="1:20" x14ac:dyDescent="0.25">
      <c r="A82" s="2">
        <v>2014</v>
      </c>
      <c r="B82" s="1" t="s">
        <v>155</v>
      </c>
      <c r="C82" s="1" t="s">
        <v>246</v>
      </c>
      <c r="D82" s="1" t="s">
        <v>247</v>
      </c>
      <c r="E82" s="1" t="s">
        <v>19</v>
      </c>
      <c r="F82" s="1" t="s">
        <v>20</v>
      </c>
      <c r="G82" s="1" t="s">
        <v>248</v>
      </c>
      <c r="H82" s="1" t="s">
        <v>22</v>
      </c>
      <c r="I82" s="1">
        <v>1</v>
      </c>
      <c r="J82" s="1">
        <v>14599</v>
      </c>
      <c r="K82" s="1" t="s">
        <v>34</v>
      </c>
      <c r="L82" s="1" t="s">
        <v>24</v>
      </c>
      <c r="M82" s="1" t="s">
        <v>51</v>
      </c>
      <c r="N82" s="1">
        <v>31000</v>
      </c>
      <c r="O82" s="12">
        <v>24100</v>
      </c>
      <c r="P82" s="3" t="s">
        <v>52</v>
      </c>
      <c r="Q82" s="1" cm="1">
        <f t="array" ref="Q82">VALUE(INDEX(_xlfn.TEXTSPLIT(P82, " "), 4))</f>
        <v>2014</v>
      </c>
      <c r="R82" s="1" t="str">
        <f t="shared" si="1"/>
        <v>Buick Enclave Leather Group</v>
      </c>
      <c r="S82" s="1" t="str" cm="1">
        <f t="array" ref="S82">_xlfn.IFS(I82 &gt;= 40, "High", I82&gt;=20, "Medium", I82&lt;20, "Low")</f>
        <v>Low</v>
      </c>
      <c r="T82" s="1" t="str" cm="1">
        <f t="array" ref="T82">_xlfn.IFS(O82&lt;18200, "Low", O82&lt;=50000, "Medium", O82&gt;50000, "High")</f>
        <v>Medium</v>
      </c>
    </row>
    <row r="83" spans="1:20" x14ac:dyDescent="0.25">
      <c r="A83" s="2">
        <v>2014</v>
      </c>
      <c r="B83" s="1" t="s">
        <v>29</v>
      </c>
      <c r="C83" s="1" t="s">
        <v>53</v>
      </c>
      <c r="D83" s="1" t="s">
        <v>54</v>
      </c>
      <c r="E83" s="1" t="s">
        <v>32</v>
      </c>
      <c r="F83" s="1" t="s">
        <v>20</v>
      </c>
      <c r="G83" s="1" t="s">
        <v>249</v>
      </c>
      <c r="H83" s="1" t="s">
        <v>22</v>
      </c>
      <c r="I83" s="1">
        <v>38</v>
      </c>
      <c r="J83" s="1">
        <v>13386</v>
      </c>
      <c r="K83" s="1" t="s">
        <v>23</v>
      </c>
      <c r="L83" s="1" t="s">
        <v>24</v>
      </c>
      <c r="M83" s="1" t="s">
        <v>56</v>
      </c>
      <c r="N83" s="1">
        <v>67000</v>
      </c>
      <c r="O83" s="12">
        <v>65000</v>
      </c>
      <c r="P83" s="3" t="s">
        <v>46</v>
      </c>
      <c r="Q83" s="1" cm="1">
        <f t="array" ref="Q83">VALUE(INDEX(_xlfn.TEXTSPLIT(P83, " "), 4))</f>
        <v>2014</v>
      </c>
      <c r="R83" s="1" t="str">
        <f t="shared" si="1"/>
        <v>BMW M5 Base</v>
      </c>
      <c r="S83" s="1" t="str" cm="1">
        <f t="array" ref="S83">_xlfn.IFS(I83 &gt;= 40, "High", I83&gt;=20, "Medium", I83&lt;20, "Low")</f>
        <v>Medium</v>
      </c>
      <c r="T83" s="1" t="str" cm="1">
        <f t="array" ref="T83">_xlfn.IFS(O83&lt;18200, "Low", O83&lt;=50000, "Medium", O83&gt;50000, "High")</f>
        <v>High</v>
      </c>
    </row>
    <row r="84" spans="1:20" x14ac:dyDescent="0.25">
      <c r="A84" s="2">
        <v>2014</v>
      </c>
      <c r="B84" s="1" t="s">
        <v>29</v>
      </c>
      <c r="C84" s="1" t="s">
        <v>53</v>
      </c>
      <c r="D84" s="1" t="s">
        <v>54</v>
      </c>
      <c r="E84" s="1" t="s">
        <v>32</v>
      </c>
      <c r="F84" s="1" t="s">
        <v>20</v>
      </c>
      <c r="G84" s="1" t="s">
        <v>250</v>
      </c>
      <c r="H84" s="1" t="s">
        <v>22</v>
      </c>
      <c r="I84" s="1">
        <v>41</v>
      </c>
      <c r="J84" s="1">
        <v>15161</v>
      </c>
      <c r="K84" s="1" t="s">
        <v>23</v>
      </c>
      <c r="L84" s="1" t="s">
        <v>24</v>
      </c>
      <c r="M84" s="1" t="s">
        <v>56</v>
      </c>
      <c r="N84" s="1">
        <v>66000</v>
      </c>
      <c r="O84" s="12">
        <v>65801</v>
      </c>
      <c r="P84" s="3" t="s">
        <v>251</v>
      </c>
      <c r="Q84" s="1" cm="1">
        <f t="array" ref="Q84">VALUE(INDEX(_xlfn.TEXTSPLIT(P84, " "), 4))</f>
        <v>2014</v>
      </c>
      <c r="R84" s="1" t="str">
        <f t="shared" si="1"/>
        <v>BMW M5 Base</v>
      </c>
      <c r="S84" s="1" t="str" cm="1">
        <f t="array" ref="S84">_xlfn.IFS(I84 &gt;= 40, "High", I84&gt;=20, "Medium", I84&lt;20, "Low")</f>
        <v>High</v>
      </c>
      <c r="T84" s="1" t="str" cm="1">
        <f t="array" ref="T84">_xlfn.IFS(O84&lt;18200, "Low", O84&lt;=50000, "Medium", O84&gt;50000, "High")</f>
        <v>High</v>
      </c>
    </row>
    <row r="85" spans="1:20" x14ac:dyDescent="0.25">
      <c r="A85" s="2">
        <v>2014</v>
      </c>
      <c r="B85" s="1" t="s">
        <v>63</v>
      </c>
      <c r="C85" s="1" t="s">
        <v>252</v>
      </c>
      <c r="D85" s="1" t="s">
        <v>253</v>
      </c>
      <c r="E85" s="1" t="s">
        <v>107</v>
      </c>
      <c r="F85" s="1" t="s">
        <v>20</v>
      </c>
      <c r="G85" s="1" t="s">
        <v>254</v>
      </c>
      <c r="H85" s="1" t="s">
        <v>22</v>
      </c>
      <c r="I85" s="1">
        <v>28</v>
      </c>
      <c r="J85" s="1">
        <v>3996</v>
      </c>
      <c r="K85" s="1" t="s">
        <v>91</v>
      </c>
      <c r="L85" s="1" t="s">
        <v>24</v>
      </c>
      <c r="M85" s="1" t="s">
        <v>153</v>
      </c>
      <c r="N85" s="1">
        <v>41400</v>
      </c>
      <c r="O85" s="12">
        <v>34250</v>
      </c>
      <c r="P85" s="3" t="s">
        <v>68</v>
      </c>
      <c r="Q85" s="1" cm="1">
        <f t="array" ref="Q85">VALUE(INDEX(_xlfn.TEXTSPLIT(P85, " "), 4))</f>
        <v>2014</v>
      </c>
      <c r="R85" s="1" t="str">
        <f t="shared" si="1"/>
        <v>Audi TTS quattro</v>
      </c>
      <c r="S85" s="1" t="str" cm="1">
        <f t="array" ref="S85">_xlfn.IFS(I85 &gt;= 40, "High", I85&gt;=20, "Medium", I85&lt;20, "Low")</f>
        <v>Medium</v>
      </c>
      <c r="T85" s="1" t="str" cm="1">
        <f t="array" ref="T85">_xlfn.IFS(O85&lt;18200, "Low", O85&lt;=50000, "Medium", O85&gt;50000, "High")</f>
        <v>Medium</v>
      </c>
    </row>
    <row r="86" spans="1:20" x14ac:dyDescent="0.25">
      <c r="A86" s="2">
        <v>2015</v>
      </c>
      <c r="B86" s="1" t="s">
        <v>98</v>
      </c>
      <c r="C86" s="1" t="s">
        <v>219</v>
      </c>
      <c r="D86" s="1" t="s">
        <v>87</v>
      </c>
      <c r="E86" s="1" t="s">
        <v>32</v>
      </c>
      <c r="F86" s="1" t="s">
        <v>20</v>
      </c>
      <c r="G86" s="1" t="s">
        <v>255</v>
      </c>
      <c r="H86" s="1" t="s">
        <v>22</v>
      </c>
      <c r="I86" s="1">
        <v>2</v>
      </c>
      <c r="J86" s="1">
        <v>10551</v>
      </c>
      <c r="K86" s="1" t="s">
        <v>73</v>
      </c>
      <c r="L86" s="1" t="s">
        <v>34</v>
      </c>
      <c r="M86" s="1" t="s">
        <v>51</v>
      </c>
      <c r="N86" s="1">
        <v>13850</v>
      </c>
      <c r="O86" s="12">
        <v>10600</v>
      </c>
      <c r="P86" s="3" t="s">
        <v>256</v>
      </c>
      <c r="Q86" s="1" cm="1">
        <f t="array" ref="Q86">VALUE(INDEX(_xlfn.TEXTSPLIT(P86, " "), 4))</f>
        <v>2015</v>
      </c>
      <c r="R86" s="1" t="str">
        <f t="shared" si="1"/>
        <v>Hyundai Elantra SE</v>
      </c>
      <c r="S86" s="1" t="str" cm="1">
        <f t="array" ref="S86">_xlfn.IFS(I86 &gt;= 40, "High", I86&gt;=20, "Medium", I86&lt;20, "Low")</f>
        <v>Low</v>
      </c>
      <c r="T86" s="1" t="str" cm="1">
        <f t="array" ref="T86">_xlfn.IFS(O86&lt;18200, "Low", O86&lt;=50000, "Medium", O86&gt;50000, "High")</f>
        <v>Low</v>
      </c>
    </row>
    <row r="87" spans="1:20" x14ac:dyDescent="0.25">
      <c r="A87" s="2">
        <v>2014</v>
      </c>
      <c r="B87" s="1" t="s">
        <v>29</v>
      </c>
      <c r="C87" s="1" t="s">
        <v>257</v>
      </c>
      <c r="D87" s="1" t="s">
        <v>258</v>
      </c>
      <c r="E87" s="1" t="s">
        <v>107</v>
      </c>
      <c r="F87" s="1" t="s">
        <v>20</v>
      </c>
      <c r="G87" s="1" t="s">
        <v>259</v>
      </c>
      <c r="H87" s="1" t="s">
        <v>22</v>
      </c>
      <c r="I87" s="1">
        <v>37</v>
      </c>
      <c r="J87" s="1">
        <v>18152</v>
      </c>
      <c r="K87" s="1" t="s">
        <v>23</v>
      </c>
      <c r="L87" s="1" t="s">
        <v>24</v>
      </c>
      <c r="M87" s="1" t="s">
        <v>260</v>
      </c>
      <c r="N87" s="1">
        <v>31000</v>
      </c>
      <c r="O87" s="12">
        <v>39750</v>
      </c>
      <c r="P87" s="3" t="s">
        <v>26</v>
      </c>
      <c r="Q87" s="1" cm="1">
        <f t="array" ref="Q87">VALUE(INDEX(_xlfn.TEXTSPLIT(P87, " "), 4))</f>
        <v>2014</v>
      </c>
      <c r="R87" s="1" t="str">
        <f t="shared" si="1"/>
        <v>BMW 4 Series 428i SULEV</v>
      </c>
      <c r="S87" s="1" t="str" cm="1">
        <f t="array" ref="S87">_xlfn.IFS(I87 &gt;= 40, "High", I87&gt;=20, "Medium", I87&lt;20, "Low")</f>
        <v>Medium</v>
      </c>
      <c r="T87" s="1" t="str" cm="1">
        <f t="array" ref="T87">_xlfn.IFS(O87&lt;18200, "Low", O87&lt;=50000, "Medium", O87&gt;50000, "High")</f>
        <v>Medium</v>
      </c>
    </row>
    <row r="88" spans="1:20" x14ac:dyDescent="0.25">
      <c r="A88" s="2">
        <v>2015</v>
      </c>
      <c r="B88" s="1" t="s">
        <v>16</v>
      </c>
      <c r="C88" s="1" t="s">
        <v>17</v>
      </c>
      <c r="D88" s="1" t="s">
        <v>18</v>
      </c>
      <c r="E88" s="1" t="s">
        <v>19</v>
      </c>
      <c r="F88" s="1" t="s">
        <v>20</v>
      </c>
      <c r="G88" s="1" t="s">
        <v>261</v>
      </c>
      <c r="H88" s="1" t="s">
        <v>22</v>
      </c>
      <c r="I88" s="1">
        <v>46</v>
      </c>
      <c r="J88" s="1">
        <v>13452</v>
      </c>
      <c r="K88" s="1" t="s">
        <v>91</v>
      </c>
      <c r="L88" s="1" t="s">
        <v>24</v>
      </c>
      <c r="M88" s="1" t="s">
        <v>25</v>
      </c>
      <c r="N88" s="1">
        <v>20600</v>
      </c>
      <c r="O88" s="12">
        <v>21500</v>
      </c>
      <c r="P88" s="3" t="s">
        <v>26</v>
      </c>
      <c r="Q88" s="1" cm="1">
        <f t="array" ref="Q88">VALUE(INDEX(_xlfn.TEXTSPLIT(P88, " "), 4))</f>
        <v>2014</v>
      </c>
      <c r="R88" s="1" t="str">
        <f t="shared" si="1"/>
        <v>Kia Sorento LX</v>
      </c>
      <c r="S88" s="1" t="str" cm="1">
        <f t="array" ref="S88">_xlfn.IFS(I88 &gt;= 40, "High", I88&gt;=20, "Medium", I88&lt;20, "Low")</f>
        <v>High</v>
      </c>
      <c r="T88" s="1" t="str" cm="1">
        <f t="array" ref="T88">_xlfn.IFS(O88&lt;18200, "Low", O88&lt;=50000, "Medium", O88&gt;50000, "High")</f>
        <v>Medium</v>
      </c>
    </row>
    <row r="89" spans="1:20" x14ac:dyDescent="0.25">
      <c r="A89" s="2">
        <v>2014</v>
      </c>
      <c r="B89" s="1" t="s">
        <v>58</v>
      </c>
      <c r="C89" s="1" t="s">
        <v>59</v>
      </c>
      <c r="D89" s="1" t="s">
        <v>92</v>
      </c>
      <c r="E89" s="1" t="s">
        <v>32</v>
      </c>
      <c r="F89" s="1" t="s">
        <v>20</v>
      </c>
      <c r="G89" s="1" t="s">
        <v>262</v>
      </c>
      <c r="H89" s="1" t="s">
        <v>22</v>
      </c>
      <c r="I89" s="1">
        <v>41</v>
      </c>
      <c r="J89" s="1">
        <v>37938</v>
      </c>
      <c r="K89" s="1" t="s">
        <v>24</v>
      </c>
      <c r="L89" s="1" t="s">
        <v>24</v>
      </c>
      <c r="M89" s="1" t="s">
        <v>95</v>
      </c>
      <c r="N89" s="1">
        <v>12950</v>
      </c>
      <c r="O89" s="12">
        <v>13700</v>
      </c>
      <c r="P89" s="3" t="s">
        <v>57</v>
      </c>
      <c r="Q89" s="1" cm="1">
        <f t="array" ref="Q89">VALUE(INDEX(_xlfn.TEXTSPLIT(P89, " "), 4))</f>
        <v>2014</v>
      </c>
      <c r="R89" s="1" t="str">
        <f t="shared" si="1"/>
        <v>Chevrolet Cruze 2LT</v>
      </c>
      <c r="S89" s="1" t="str" cm="1">
        <f t="array" ref="S89">_xlfn.IFS(I89 &gt;= 40, "High", I89&gt;=20, "Medium", I89&lt;20, "Low")</f>
        <v>High</v>
      </c>
      <c r="T89" s="1" t="str" cm="1">
        <f t="array" ref="T89">_xlfn.IFS(O89&lt;18200, "Low", O89&lt;=50000, "Medium", O89&gt;50000, "High")</f>
        <v>Low</v>
      </c>
    </row>
    <row r="90" spans="1:20" x14ac:dyDescent="0.25">
      <c r="A90" s="2">
        <v>2014</v>
      </c>
      <c r="B90" s="1" t="s">
        <v>58</v>
      </c>
      <c r="C90" s="1" t="s">
        <v>59</v>
      </c>
      <c r="D90" s="1" t="s">
        <v>92</v>
      </c>
      <c r="E90" s="1" t="s">
        <v>32</v>
      </c>
      <c r="F90" s="1" t="s">
        <v>20</v>
      </c>
      <c r="G90" s="1" t="s">
        <v>263</v>
      </c>
      <c r="H90" s="1" t="s">
        <v>22</v>
      </c>
      <c r="I90" s="1">
        <v>42</v>
      </c>
      <c r="J90" s="1">
        <v>39623</v>
      </c>
      <c r="K90" s="1" t="s">
        <v>94</v>
      </c>
      <c r="L90" s="1" t="s">
        <v>24</v>
      </c>
      <c r="M90" s="1" t="s">
        <v>182</v>
      </c>
      <c r="N90" s="1">
        <v>13350</v>
      </c>
      <c r="O90" s="12">
        <v>13200</v>
      </c>
      <c r="P90" s="3" t="s">
        <v>264</v>
      </c>
      <c r="Q90" s="1" cm="1">
        <f t="array" ref="Q90">VALUE(INDEX(_xlfn.TEXTSPLIT(P90, " "), 4))</f>
        <v>2015</v>
      </c>
      <c r="R90" s="1" t="str">
        <f t="shared" si="1"/>
        <v>Chevrolet Cruze 2LT</v>
      </c>
      <c r="S90" s="1" t="str" cm="1">
        <f t="array" ref="S90">_xlfn.IFS(I90 &gt;= 40, "High", I90&gt;=20, "Medium", I90&lt;20, "Low")</f>
        <v>High</v>
      </c>
      <c r="T90" s="1" t="str" cm="1">
        <f t="array" ref="T90">_xlfn.IFS(O90&lt;18200, "Low", O90&lt;=50000, "Medium", O90&gt;50000, "High")</f>
        <v>Low</v>
      </c>
    </row>
    <row r="91" spans="1:20" x14ac:dyDescent="0.25">
      <c r="A91" s="2">
        <v>2014</v>
      </c>
      <c r="B91" s="1" t="s">
        <v>58</v>
      </c>
      <c r="C91" s="1" t="s">
        <v>265</v>
      </c>
      <c r="D91" s="1" t="s">
        <v>266</v>
      </c>
      <c r="E91" s="1" t="s">
        <v>267</v>
      </c>
      <c r="F91" s="1"/>
      <c r="G91" s="1" t="s">
        <v>268</v>
      </c>
      <c r="H91" s="1" t="s">
        <v>22</v>
      </c>
      <c r="I91" s="1">
        <v>36</v>
      </c>
      <c r="J91" s="1">
        <v>8742</v>
      </c>
      <c r="K91" s="1" t="s">
        <v>23</v>
      </c>
      <c r="L91" s="1" t="s">
        <v>34</v>
      </c>
      <c r="M91" s="1" t="s">
        <v>269</v>
      </c>
      <c r="N91" s="1">
        <v>34000</v>
      </c>
      <c r="O91" s="12">
        <v>34000</v>
      </c>
      <c r="P91" s="3" t="s">
        <v>270</v>
      </c>
      <c r="Q91" s="1" cm="1">
        <f t="array" ref="Q91">VALUE(INDEX(_xlfn.TEXTSPLIT(P91, " "), 4))</f>
        <v>2014</v>
      </c>
      <c r="R91" s="1" t="str">
        <f t="shared" si="1"/>
        <v>Chevrolet Silverado 2500HD Work Truck</v>
      </c>
      <c r="S91" s="1" t="str" cm="1">
        <f t="array" ref="S91">_xlfn.IFS(I91 &gt;= 40, "High", I91&gt;=20, "Medium", I91&lt;20, "Low")</f>
        <v>Medium</v>
      </c>
      <c r="T91" s="1" t="str" cm="1">
        <f t="array" ref="T91">_xlfn.IFS(O91&lt;18200, "Low", O91&lt;=50000, "Medium", O91&gt;50000, "High")</f>
        <v>Medium</v>
      </c>
    </row>
    <row r="92" spans="1:20" x14ac:dyDescent="0.25">
      <c r="A92" s="2">
        <v>2015</v>
      </c>
      <c r="B92" s="1" t="s">
        <v>16</v>
      </c>
      <c r="C92" s="1" t="s">
        <v>17</v>
      </c>
      <c r="D92" s="1" t="s">
        <v>18</v>
      </c>
      <c r="E92" s="1" t="s">
        <v>19</v>
      </c>
      <c r="F92" s="1" t="s">
        <v>20</v>
      </c>
      <c r="G92" s="1" t="s">
        <v>271</v>
      </c>
      <c r="H92" s="1" t="s">
        <v>22</v>
      </c>
      <c r="I92" s="1">
        <v>5</v>
      </c>
      <c r="J92" s="1">
        <v>16348</v>
      </c>
      <c r="K92" s="1" t="s">
        <v>34</v>
      </c>
      <c r="L92" s="1" t="s">
        <v>34</v>
      </c>
      <c r="M92" s="1" t="s">
        <v>25</v>
      </c>
      <c r="N92" s="1">
        <v>20500</v>
      </c>
      <c r="O92" s="12">
        <v>20500</v>
      </c>
      <c r="P92" s="3" t="s">
        <v>26</v>
      </c>
      <c r="Q92" s="1" cm="1">
        <f t="array" ref="Q92">VALUE(INDEX(_xlfn.TEXTSPLIT(P92, " "), 4))</f>
        <v>2014</v>
      </c>
      <c r="R92" s="1" t="str">
        <f t="shared" si="1"/>
        <v>Kia Sorento LX</v>
      </c>
      <c r="S92" s="1" t="str" cm="1">
        <f t="array" ref="S92">_xlfn.IFS(I92 &gt;= 40, "High", I92&gt;=20, "Medium", I92&lt;20, "Low")</f>
        <v>Low</v>
      </c>
      <c r="T92" s="1" t="str" cm="1">
        <f t="array" ref="T92">_xlfn.IFS(O92&lt;18200, "Low", O92&lt;=50000, "Medium", O92&gt;50000, "High")</f>
        <v>Medium</v>
      </c>
    </row>
    <row r="93" spans="1:20" x14ac:dyDescent="0.25">
      <c r="A93" s="2">
        <v>2015</v>
      </c>
      <c r="B93" s="1" t="s">
        <v>98</v>
      </c>
      <c r="C93" s="1" t="s">
        <v>219</v>
      </c>
      <c r="D93" s="1" t="s">
        <v>87</v>
      </c>
      <c r="E93" s="1" t="s">
        <v>32</v>
      </c>
      <c r="F93" s="1" t="s">
        <v>20</v>
      </c>
      <c r="G93" s="1" t="s">
        <v>272</v>
      </c>
      <c r="H93" s="1" t="s">
        <v>22</v>
      </c>
      <c r="I93" s="1"/>
      <c r="J93" s="1">
        <v>9750</v>
      </c>
      <c r="K93" s="1" t="s">
        <v>94</v>
      </c>
      <c r="L93" s="1" t="s">
        <v>34</v>
      </c>
      <c r="M93" s="1" t="s">
        <v>95</v>
      </c>
      <c r="N93" s="1">
        <v>13700</v>
      </c>
      <c r="O93" s="12">
        <v>10000</v>
      </c>
      <c r="P93" s="3" t="s">
        <v>84</v>
      </c>
      <c r="Q93" s="1" cm="1">
        <f t="array" ref="Q93">VALUE(INDEX(_xlfn.TEXTSPLIT(P93, " "), 4))</f>
        <v>2014</v>
      </c>
      <c r="R93" s="1" t="str">
        <f t="shared" si="1"/>
        <v>Hyundai Elantra SE</v>
      </c>
      <c r="S93" s="1" t="str" cm="1">
        <f t="array" ref="S93">_xlfn.IFS(I93 &gt;= 40, "High", I93&gt;=20, "Medium", I93&lt;20, "Low")</f>
        <v>Low</v>
      </c>
      <c r="T93" s="1" t="str" cm="1">
        <f t="array" ref="T93">_xlfn.IFS(O93&lt;18200, "Low", O93&lt;=50000, "Medium", O93&gt;50000, "High")</f>
        <v>Low</v>
      </c>
    </row>
    <row r="94" spans="1:20" x14ac:dyDescent="0.25">
      <c r="A94" s="2">
        <v>2015</v>
      </c>
      <c r="B94" s="1" t="s">
        <v>98</v>
      </c>
      <c r="C94" s="1" t="s">
        <v>219</v>
      </c>
      <c r="D94" s="1" t="s">
        <v>87</v>
      </c>
      <c r="E94" s="1" t="s">
        <v>32</v>
      </c>
      <c r="F94" s="1" t="s">
        <v>20</v>
      </c>
      <c r="G94" s="1" t="s">
        <v>273</v>
      </c>
      <c r="H94" s="1" t="s">
        <v>22</v>
      </c>
      <c r="I94" s="1">
        <v>35</v>
      </c>
      <c r="J94" s="1">
        <v>3367</v>
      </c>
      <c r="K94" s="1" t="s">
        <v>91</v>
      </c>
      <c r="L94" s="1" t="s">
        <v>34</v>
      </c>
      <c r="M94" s="1" t="s">
        <v>274</v>
      </c>
      <c r="N94" s="1">
        <v>13900</v>
      </c>
      <c r="O94" s="12">
        <v>13200</v>
      </c>
      <c r="P94" s="3" t="s">
        <v>57</v>
      </c>
      <c r="Q94" s="1" cm="1">
        <f t="array" ref="Q94">VALUE(INDEX(_xlfn.TEXTSPLIT(P94, " "), 4))</f>
        <v>2014</v>
      </c>
      <c r="R94" s="1" t="str">
        <f t="shared" si="1"/>
        <v>Hyundai Elantra SE</v>
      </c>
      <c r="S94" s="1" t="str" cm="1">
        <f t="array" ref="S94">_xlfn.IFS(I94 &gt;= 40, "High", I94&gt;=20, "Medium", I94&lt;20, "Low")</f>
        <v>Medium</v>
      </c>
      <c r="T94" s="1" t="str" cm="1">
        <f t="array" ref="T94">_xlfn.IFS(O94&lt;18200, "Low", O94&lt;=50000, "Medium", O94&gt;50000, "High")</f>
        <v>Low</v>
      </c>
    </row>
    <row r="95" spans="1:20" x14ac:dyDescent="0.25">
      <c r="A95" s="2">
        <v>2014</v>
      </c>
      <c r="B95" s="1" t="s">
        <v>184</v>
      </c>
      <c r="C95" s="1" t="s">
        <v>275</v>
      </c>
      <c r="D95" s="1" t="s">
        <v>276</v>
      </c>
      <c r="E95" s="1" t="s">
        <v>19</v>
      </c>
      <c r="F95" s="1" t="s">
        <v>20</v>
      </c>
      <c r="G95" s="1" t="s">
        <v>277</v>
      </c>
      <c r="H95" s="1" t="s">
        <v>22</v>
      </c>
      <c r="I95" s="1">
        <v>49</v>
      </c>
      <c r="J95" s="1">
        <v>21523</v>
      </c>
      <c r="K95" s="1" t="s">
        <v>23</v>
      </c>
      <c r="L95" s="1" t="s">
        <v>34</v>
      </c>
      <c r="M95" s="1" t="s">
        <v>278</v>
      </c>
      <c r="N95" s="1">
        <v>39500</v>
      </c>
      <c r="O95" s="12">
        <v>41500</v>
      </c>
      <c r="P95" s="3" t="s">
        <v>68</v>
      </c>
      <c r="Q95" s="1" cm="1">
        <f t="array" ref="Q95">VALUE(INDEX(_xlfn.TEXTSPLIT(P95, " "), 4))</f>
        <v>2014</v>
      </c>
      <c r="R95" s="1" t="str">
        <f t="shared" si="1"/>
        <v>Acura MDX Advance and Entertainment Packages</v>
      </c>
      <c r="S95" s="1" t="str" cm="1">
        <f t="array" ref="S95">_xlfn.IFS(I95 &gt;= 40, "High", I95&gt;=20, "Medium", I95&lt;20, "Low")</f>
        <v>High</v>
      </c>
      <c r="T95" s="1" t="str" cm="1">
        <f t="array" ref="T95">_xlfn.IFS(O95&lt;18200, "Low", O95&lt;=50000, "Medium", O95&gt;50000, "High")</f>
        <v>Medium</v>
      </c>
    </row>
    <row r="96" spans="1:20" x14ac:dyDescent="0.25">
      <c r="A96" s="2">
        <v>2015</v>
      </c>
      <c r="B96" s="1" t="s">
        <v>85</v>
      </c>
      <c r="C96" s="1" t="s">
        <v>86</v>
      </c>
      <c r="D96" s="1" t="s">
        <v>87</v>
      </c>
      <c r="E96" s="1" t="s">
        <v>32</v>
      </c>
      <c r="F96" s="1" t="s">
        <v>20</v>
      </c>
      <c r="G96" s="1" t="s">
        <v>279</v>
      </c>
      <c r="H96" s="1" t="s">
        <v>22</v>
      </c>
      <c r="I96" s="1">
        <v>1</v>
      </c>
      <c r="J96" s="1">
        <v>4205</v>
      </c>
      <c r="K96" s="1" t="s">
        <v>23</v>
      </c>
      <c r="L96" s="1" t="s">
        <v>24</v>
      </c>
      <c r="M96" s="1" t="s">
        <v>51</v>
      </c>
      <c r="N96" s="1">
        <v>14700</v>
      </c>
      <c r="O96" s="12">
        <v>12000</v>
      </c>
      <c r="P96" s="3" t="s">
        <v>280</v>
      </c>
      <c r="Q96" s="1" cm="1">
        <f t="array" ref="Q96">VALUE(INDEX(_xlfn.TEXTSPLIT(P96, " "), 4))</f>
        <v>2014</v>
      </c>
      <c r="R96" s="1" t="str">
        <f t="shared" si="1"/>
        <v>Ford Fusion SE</v>
      </c>
      <c r="S96" s="1" t="str" cm="1">
        <f t="array" ref="S96">_xlfn.IFS(I96 &gt;= 40, "High", I96&gt;=20, "Medium", I96&lt;20, "Low")</f>
        <v>Low</v>
      </c>
      <c r="T96" s="1" t="str" cm="1">
        <f t="array" ref="T96">_xlfn.IFS(O96&lt;18200, "Low", O96&lt;=50000, "Medium", O96&gt;50000, "High")</f>
        <v>Low</v>
      </c>
    </row>
    <row r="97" spans="1:20" x14ac:dyDescent="0.25">
      <c r="A97" s="2">
        <v>2014</v>
      </c>
      <c r="B97" s="1" t="s">
        <v>29</v>
      </c>
      <c r="C97" s="1" t="s">
        <v>111</v>
      </c>
      <c r="D97" s="1" t="s">
        <v>44</v>
      </c>
      <c r="E97" s="1" t="s">
        <v>71</v>
      </c>
      <c r="F97" s="1" t="s">
        <v>20</v>
      </c>
      <c r="G97" s="1" t="s">
        <v>281</v>
      </c>
      <c r="H97" s="1" t="s">
        <v>22</v>
      </c>
      <c r="I97" s="1">
        <v>37</v>
      </c>
      <c r="J97" s="1">
        <v>8891</v>
      </c>
      <c r="K97" s="1" t="s">
        <v>91</v>
      </c>
      <c r="L97" s="1" t="s">
        <v>24</v>
      </c>
      <c r="M97" s="1" t="s">
        <v>56</v>
      </c>
      <c r="N97" s="1">
        <v>68000</v>
      </c>
      <c r="O97" s="12">
        <v>67200</v>
      </c>
      <c r="P97" s="3" t="s">
        <v>57</v>
      </c>
      <c r="Q97" s="1" cm="1">
        <f t="array" ref="Q97">VALUE(INDEX(_xlfn.TEXTSPLIT(P97, " "), 4))</f>
        <v>2014</v>
      </c>
      <c r="R97" s="1" t="str">
        <f t="shared" si="1"/>
        <v>BMW 6 Series 650i</v>
      </c>
      <c r="S97" s="1" t="str" cm="1">
        <f t="array" ref="S97">_xlfn.IFS(I97 &gt;= 40, "High", I97&gt;=20, "Medium", I97&lt;20, "Low")</f>
        <v>Medium</v>
      </c>
      <c r="T97" s="1" t="str" cm="1">
        <f t="array" ref="T97">_xlfn.IFS(O97&lt;18200, "Low", O97&lt;=50000, "Medium", O97&gt;50000, "High")</f>
        <v>High</v>
      </c>
    </row>
    <row r="98" spans="1:20" x14ac:dyDescent="0.25">
      <c r="A98" s="2">
        <v>2014</v>
      </c>
      <c r="B98" s="1" t="s">
        <v>58</v>
      </c>
      <c r="C98" s="1" t="s">
        <v>59</v>
      </c>
      <c r="D98" s="1" t="s">
        <v>92</v>
      </c>
      <c r="E98" s="1" t="s">
        <v>32</v>
      </c>
      <c r="F98" s="1" t="s">
        <v>20</v>
      </c>
      <c r="G98" s="1" t="s">
        <v>282</v>
      </c>
      <c r="H98" s="1" t="s">
        <v>22</v>
      </c>
      <c r="I98" s="1">
        <v>2</v>
      </c>
      <c r="J98" s="1">
        <v>8154</v>
      </c>
      <c r="K98" s="1" t="s">
        <v>91</v>
      </c>
      <c r="L98" s="1" t="s">
        <v>24</v>
      </c>
      <c r="M98" s="1" t="s">
        <v>51</v>
      </c>
      <c r="N98" s="1">
        <v>14150</v>
      </c>
      <c r="O98" s="12">
        <v>10000</v>
      </c>
      <c r="P98" s="3" t="s">
        <v>68</v>
      </c>
      <c r="Q98" s="1" cm="1">
        <f t="array" ref="Q98">VALUE(INDEX(_xlfn.TEXTSPLIT(P98, " "), 4))</f>
        <v>2014</v>
      </c>
      <c r="R98" s="1" t="str">
        <f t="shared" si="1"/>
        <v>Chevrolet Cruze 2LT</v>
      </c>
      <c r="S98" s="1" t="str" cm="1">
        <f t="array" ref="S98">_xlfn.IFS(I98 &gt;= 40, "High", I98&gt;=20, "Medium", I98&lt;20, "Low")</f>
        <v>Low</v>
      </c>
      <c r="T98" s="1" t="str" cm="1">
        <f t="array" ref="T98">_xlfn.IFS(O98&lt;18200, "Low", O98&lt;=50000, "Medium", O98&gt;50000, "High")</f>
        <v>Low</v>
      </c>
    </row>
    <row r="99" spans="1:20" x14ac:dyDescent="0.25">
      <c r="A99" s="2">
        <v>2014</v>
      </c>
      <c r="B99" s="1" t="s">
        <v>58</v>
      </c>
      <c r="C99" s="1" t="s">
        <v>283</v>
      </c>
      <c r="D99" s="1" t="s">
        <v>70</v>
      </c>
      <c r="E99" s="1" t="s">
        <v>267</v>
      </c>
      <c r="F99" s="1" t="s">
        <v>20</v>
      </c>
      <c r="G99" s="1" t="s">
        <v>284</v>
      </c>
      <c r="H99" s="1" t="s">
        <v>22</v>
      </c>
      <c r="I99" s="1">
        <v>37</v>
      </c>
      <c r="J99" s="1">
        <v>6726</v>
      </c>
      <c r="K99" s="1" t="s">
        <v>24</v>
      </c>
      <c r="L99" s="1" t="s">
        <v>24</v>
      </c>
      <c r="M99" s="1" t="s">
        <v>285</v>
      </c>
      <c r="N99" s="1">
        <v>26900</v>
      </c>
      <c r="O99" s="12">
        <v>30250</v>
      </c>
      <c r="P99" s="3" t="s">
        <v>57</v>
      </c>
      <c r="Q99" s="1" cm="1">
        <f t="array" ref="Q99">VALUE(INDEX(_xlfn.TEXTSPLIT(P99, " "), 4))</f>
        <v>2014</v>
      </c>
      <c r="R99" s="1" t="str">
        <f t="shared" si="1"/>
        <v>Chevrolet Silverado 1500 LT</v>
      </c>
      <c r="S99" s="1" t="str" cm="1">
        <f t="array" ref="S99">_xlfn.IFS(I99 &gt;= 40, "High", I99&gt;=20, "Medium", I99&lt;20, "Low")</f>
        <v>Medium</v>
      </c>
      <c r="T99" s="1" t="str" cm="1">
        <f t="array" ref="T99">_xlfn.IFS(O99&lt;18200, "Low", O99&lt;=50000, "Medium", O99&gt;50000, "High")</f>
        <v>Medium</v>
      </c>
    </row>
    <row r="100" spans="1:20" x14ac:dyDescent="0.25">
      <c r="A100" s="2">
        <v>2014</v>
      </c>
      <c r="B100" s="1" t="s">
        <v>58</v>
      </c>
      <c r="C100" s="1" t="s">
        <v>59</v>
      </c>
      <c r="D100" s="1" t="s">
        <v>92</v>
      </c>
      <c r="E100" s="1" t="s">
        <v>32</v>
      </c>
      <c r="F100" s="1" t="s">
        <v>20</v>
      </c>
      <c r="G100" s="1" t="s">
        <v>286</v>
      </c>
      <c r="H100" s="1" t="s">
        <v>22</v>
      </c>
      <c r="I100" s="1">
        <v>37</v>
      </c>
      <c r="J100" s="1">
        <v>36771</v>
      </c>
      <c r="K100" s="1" t="s">
        <v>91</v>
      </c>
      <c r="L100" s="1" t="s">
        <v>24</v>
      </c>
      <c r="M100" s="1" t="s">
        <v>95</v>
      </c>
      <c r="N100" s="1">
        <v>13000</v>
      </c>
      <c r="O100" s="12">
        <v>13600</v>
      </c>
      <c r="P100" s="3" t="s">
        <v>57</v>
      </c>
      <c r="Q100" s="1" cm="1">
        <f t="array" ref="Q100">VALUE(INDEX(_xlfn.TEXTSPLIT(P100, " "), 4))</f>
        <v>2014</v>
      </c>
      <c r="R100" s="1" t="str">
        <f t="shared" si="1"/>
        <v>Chevrolet Cruze 2LT</v>
      </c>
      <c r="S100" s="1" t="str" cm="1">
        <f t="array" ref="S100">_xlfn.IFS(I100 &gt;= 40, "High", I100&gt;=20, "Medium", I100&lt;20, "Low")</f>
        <v>Medium</v>
      </c>
      <c r="T100" s="1" t="str" cm="1">
        <f t="array" ref="T100">_xlfn.IFS(O100&lt;18200, "Low", O100&lt;=50000, "Medium", O100&gt;50000, "High")</f>
        <v>Low</v>
      </c>
    </row>
    <row r="101" spans="1:20" x14ac:dyDescent="0.25">
      <c r="A101" s="2">
        <v>2015</v>
      </c>
      <c r="B101" s="1" t="s">
        <v>16</v>
      </c>
      <c r="C101" s="1" t="s">
        <v>17</v>
      </c>
      <c r="D101" s="1" t="s">
        <v>18</v>
      </c>
      <c r="E101" s="1" t="s">
        <v>19</v>
      </c>
      <c r="F101" s="1" t="s">
        <v>20</v>
      </c>
      <c r="G101" s="1" t="s">
        <v>287</v>
      </c>
      <c r="H101" s="1" t="s">
        <v>22</v>
      </c>
      <c r="I101" s="1">
        <v>49</v>
      </c>
      <c r="J101" s="1">
        <v>9552</v>
      </c>
      <c r="K101" s="1" t="s">
        <v>288</v>
      </c>
      <c r="L101" s="1" t="s">
        <v>28</v>
      </c>
      <c r="M101" s="1" t="s">
        <v>25</v>
      </c>
      <c r="N101" s="1">
        <v>20800</v>
      </c>
      <c r="O101" s="12">
        <v>21000</v>
      </c>
      <c r="P101" s="3" t="s">
        <v>26</v>
      </c>
      <c r="Q101" s="1" cm="1">
        <f t="array" ref="Q101">VALUE(INDEX(_xlfn.TEXTSPLIT(P101, " "), 4))</f>
        <v>2014</v>
      </c>
      <c r="R101" s="1" t="str">
        <f t="shared" si="1"/>
        <v>Kia Sorento LX</v>
      </c>
      <c r="S101" s="1" t="str" cm="1">
        <f t="array" ref="S101">_xlfn.IFS(I101 &gt;= 40, "High", I101&gt;=20, "Medium", I101&lt;20, "Low")</f>
        <v>High</v>
      </c>
      <c r="T101" s="1" t="str" cm="1">
        <f t="array" ref="T101">_xlfn.IFS(O101&lt;18200, "Low", O101&lt;=50000, "Medium", O101&gt;50000, "High")</f>
        <v>Medium</v>
      </c>
    </row>
    <row r="102" spans="1:20" x14ac:dyDescent="0.25">
      <c r="A102" s="2">
        <v>2014</v>
      </c>
      <c r="B102" s="1" t="s">
        <v>58</v>
      </c>
      <c r="C102" s="1" t="s">
        <v>59</v>
      </c>
      <c r="D102" s="1" t="s">
        <v>92</v>
      </c>
      <c r="E102" s="1" t="s">
        <v>32</v>
      </c>
      <c r="F102" s="1" t="s">
        <v>20</v>
      </c>
      <c r="G102" s="1" t="s">
        <v>289</v>
      </c>
      <c r="H102" s="1" t="s">
        <v>22</v>
      </c>
      <c r="I102" s="1">
        <v>1</v>
      </c>
      <c r="J102" s="1">
        <v>10673</v>
      </c>
      <c r="K102" s="1" t="s">
        <v>73</v>
      </c>
      <c r="L102" s="1" t="s">
        <v>24</v>
      </c>
      <c r="M102" s="1" t="s">
        <v>51</v>
      </c>
      <c r="N102" s="1">
        <v>14150</v>
      </c>
      <c r="O102" s="12">
        <v>3300</v>
      </c>
      <c r="P102" s="3" t="s">
        <v>62</v>
      </c>
      <c r="Q102" s="1" cm="1">
        <f t="array" ref="Q102">VALUE(INDEX(_xlfn.TEXTSPLIT(P102, " "), 4))</f>
        <v>2014</v>
      </c>
      <c r="R102" s="1" t="str">
        <f t="shared" si="1"/>
        <v>Chevrolet Cruze 2LT</v>
      </c>
      <c r="S102" s="1" t="str" cm="1">
        <f t="array" ref="S102">_xlfn.IFS(I102 &gt;= 40, "High", I102&gt;=20, "Medium", I102&lt;20, "Low")</f>
        <v>Low</v>
      </c>
      <c r="T102" s="1" t="str" cm="1">
        <f t="array" ref="T102">_xlfn.IFS(O102&lt;18200, "Low", O102&lt;=50000, "Medium", O102&gt;50000, "High")</f>
        <v>Low</v>
      </c>
    </row>
    <row r="103" spans="1:20" x14ac:dyDescent="0.25">
      <c r="A103" s="2">
        <v>2015</v>
      </c>
      <c r="B103" s="1" t="s">
        <v>37</v>
      </c>
      <c r="C103" s="1" t="s">
        <v>174</v>
      </c>
      <c r="D103" s="1" t="s">
        <v>39</v>
      </c>
      <c r="E103" s="1" t="s">
        <v>130</v>
      </c>
      <c r="F103" s="1" t="s">
        <v>20</v>
      </c>
      <c r="G103" s="1" t="s">
        <v>290</v>
      </c>
      <c r="H103" s="1" t="s">
        <v>22</v>
      </c>
      <c r="I103" s="1">
        <v>37</v>
      </c>
      <c r="J103" s="1">
        <v>14806</v>
      </c>
      <c r="K103" s="1" t="s">
        <v>23</v>
      </c>
      <c r="L103" s="1" t="s">
        <v>28</v>
      </c>
      <c r="M103" s="1" t="s">
        <v>41</v>
      </c>
      <c r="N103" s="1">
        <v>30700</v>
      </c>
      <c r="O103" s="12">
        <v>30000</v>
      </c>
      <c r="P103" s="3" t="s">
        <v>46</v>
      </c>
      <c r="Q103" s="1" cm="1">
        <f t="array" ref="Q103">VALUE(INDEX(_xlfn.TEXTSPLIT(P103, " "), 4))</f>
        <v>2014</v>
      </c>
      <c r="R103" s="1" t="str">
        <f t="shared" si="1"/>
        <v>Volvo V60 T5</v>
      </c>
      <c r="S103" s="1" t="str" cm="1">
        <f t="array" ref="S103">_xlfn.IFS(I103 &gt;= 40, "High", I103&gt;=20, "Medium", I103&lt;20, "Low")</f>
        <v>Medium</v>
      </c>
      <c r="T103" s="1" t="str" cm="1">
        <f t="array" ref="T103">_xlfn.IFS(O103&lt;18200, "Low", O103&lt;=50000, "Medium", O103&gt;50000, "High")</f>
        <v>Medium</v>
      </c>
    </row>
    <row r="104" spans="1:20" x14ac:dyDescent="0.25">
      <c r="A104" s="2">
        <v>2014</v>
      </c>
      <c r="B104" s="1" t="s">
        <v>58</v>
      </c>
      <c r="C104" s="1" t="s">
        <v>69</v>
      </c>
      <c r="D104" s="1" t="s">
        <v>106</v>
      </c>
      <c r="E104" s="1" t="s">
        <v>107</v>
      </c>
      <c r="F104" s="1" t="s">
        <v>214</v>
      </c>
      <c r="G104" s="1" t="s">
        <v>291</v>
      </c>
      <c r="H104" s="1" t="s">
        <v>22</v>
      </c>
      <c r="I104" s="1">
        <v>44</v>
      </c>
      <c r="J104" s="1">
        <v>7924</v>
      </c>
      <c r="K104" s="1" t="s">
        <v>23</v>
      </c>
      <c r="L104" s="1" t="s">
        <v>24</v>
      </c>
      <c r="M104" s="1" t="s">
        <v>292</v>
      </c>
      <c r="N104" s="1">
        <v>17850</v>
      </c>
      <c r="O104" s="12">
        <v>18500</v>
      </c>
      <c r="P104" s="3" t="s">
        <v>26</v>
      </c>
      <c r="Q104" s="1" cm="1">
        <f t="array" ref="Q104">VALUE(INDEX(_xlfn.TEXTSPLIT(P104, " "), 4))</f>
        <v>2014</v>
      </c>
      <c r="R104" s="1" t="str">
        <f t="shared" si="1"/>
        <v>Chevrolet Camaro LS</v>
      </c>
      <c r="S104" s="1" t="str" cm="1">
        <f t="array" ref="S104">_xlfn.IFS(I104 &gt;= 40, "High", I104&gt;=20, "Medium", I104&lt;20, "Low")</f>
        <v>High</v>
      </c>
      <c r="T104" s="1" t="str" cm="1">
        <f t="array" ref="T104">_xlfn.IFS(O104&lt;18200, "Low", O104&lt;=50000, "Medium", O104&gt;50000, "High")</f>
        <v>Medium</v>
      </c>
    </row>
    <row r="105" spans="1:20" x14ac:dyDescent="0.25">
      <c r="A105" s="2">
        <v>2015</v>
      </c>
      <c r="B105" s="1" t="s">
        <v>47</v>
      </c>
      <c r="C105" s="1" t="s">
        <v>48</v>
      </c>
      <c r="D105" s="1" t="s">
        <v>49</v>
      </c>
      <c r="E105" s="1" t="s">
        <v>32</v>
      </c>
      <c r="F105" s="1" t="s">
        <v>20</v>
      </c>
      <c r="G105" s="1" t="s">
        <v>293</v>
      </c>
      <c r="H105" s="1" t="s">
        <v>22</v>
      </c>
      <c r="I105" s="1">
        <v>1</v>
      </c>
      <c r="J105" s="1">
        <v>12752</v>
      </c>
      <c r="K105" s="1" t="s">
        <v>34</v>
      </c>
      <c r="L105" s="1" t="s">
        <v>24</v>
      </c>
      <c r="M105" s="1" t="s">
        <v>51</v>
      </c>
      <c r="N105" s="1">
        <v>14600</v>
      </c>
      <c r="O105" s="12">
        <v>9500</v>
      </c>
      <c r="P105" s="3" t="s">
        <v>294</v>
      </c>
      <c r="Q105" s="1" cm="1">
        <f t="array" ref="Q105">VALUE(INDEX(_xlfn.TEXTSPLIT(P105, " "), 4))</f>
        <v>2014</v>
      </c>
      <c r="R105" s="1" t="str">
        <f t="shared" si="1"/>
        <v>Nissan Altima 2.5 S</v>
      </c>
      <c r="S105" s="1" t="str" cm="1">
        <f t="array" ref="S105">_xlfn.IFS(I105 &gt;= 40, "High", I105&gt;=20, "Medium", I105&lt;20, "Low")</f>
        <v>Low</v>
      </c>
      <c r="T105" s="1" t="str" cm="1">
        <f t="array" ref="T105">_xlfn.IFS(O105&lt;18200, "Low", O105&lt;=50000, "Medium", O105&gt;50000, "High")</f>
        <v>Low</v>
      </c>
    </row>
    <row r="106" spans="1:20" x14ac:dyDescent="0.25">
      <c r="A106" s="2">
        <v>2014</v>
      </c>
      <c r="B106" s="1" t="s">
        <v>29</v>
      </c>
      <c r="C106" s="1" t="s">
        <v>111</v>
      </c>
      <c r="D106" s="1" t="s">
        <v>44</v>
      </c>
      <c r="E106" s="1" t="s">
        <v>71</v>
      </c>
      <c r="F106" s="1" t="s">
        <v>20</v>
      </c>
      <c r="G106" s="1" t="s">
        <v>295</v>
      </c>
      <c r="H106" s="1" t="s">
        <v>22</v>
      </c>
      <c r="I106" s="1">
        <v>38</v>
      </c>
      <c r="J106" s="1">
        <v>19499</v>
      </c>
      <c r="K106" s="1" t="s">
        <v>91</v>
      </c>
      <c r="L106" s="1" t="s">
        <v>101</v>
      </c>
      <c r="M106" s="1" t="s">
        <v>56</v>
      </c>
      <c r="N106" s="1">
        <v>63000</v>
      </c>
      <c r="O106" s="12">
        <v>62000</v>
      </c>
      <c r="P106" s="3" t="s">
        <v>135</v>
      </c>
      <c r="Q106" s="1" cm="1">
        <f t="array" ref="Q106">VALUE(INDEX(_xlfn.TEXTSPLIT(P106, " "), 4))</f>
        <v>2015</v>
      </c>
      <c r="R106" s="1" t="str">
        <f t="shared" si="1"/>
        <v>BMW 6 Series 650i</v>
      </c>
      <c r="S106" s="1" t="str" cm="1">
        <f t="array" ref="S106">_xlfn.IFS(I106 &gt;= 40, "High", I106&gt;=20, "Medium", I106&lt;20, "Low")</f>
        <v>Medium</v>
      </c>
      <c r="T106" s="1" t="str" cm="1">
        <f t="array" ref="T106">_xlfn.IFS(O106&lt;18200, "Low", O106&lt;=50000, "Medium", O106&gt;50000, "High")</f>
        <v>High</v>
      </c>
    </row>
    <row r="107" spans="1:20" x14ac:dyDescent="0.25">
      <c r="A107" s="2">
        <v>2015</v>
      </c>
      <c r="B107" s="1" t="s">
        <v>98</v>
      </c>
      <c r="C107" s="1" t="s">
        <v>219</v>
      </c>
      <c r="D107" s="1" t="s">
        <v>87</v>
      </c>
      <c r="E107" s="1" t="s">
        <v>32</v>
      </c>
      <c r="F107" s="1" t="s">
        <v>20</v>
      </c>
      <c r="G107" s="1" t="s">
        <v>296</v>
      </c>
      <c r="H107" s="1" t="s">
        <v>22</v>
      </c>
      <c r="I107" s="1">
        <v>1</v>
      </c>
      <c r="J107" s="1">
        <v>6759</v>
      </c>
      <c r="K107" s="1" t="s">
        <v>94</v>
      </c>
      <c r="L107" s="1" t="s">
        <v>34</v>
      </c>
      <c r="M107" s="1" t="s">
        <v>51</v>
      </c>
      <c r="N107" s="1">
        <v>13800</v>
      </c>
      <c r="O107" s="12">
        <v>5800</v>
      </c>
      <c r="P107" s="3" t="s">
        <v>280</v>
      </c>
      <c r="Q107" s="1" cm="1">
        <f t="array" ref="Q107">VALUE(INDEX(_xlfn.TEXTSPLIT(P107, " "), 4))</f>
        <v>2014</v>
      </c>
      <c r="R107" s="1" t="str">
        <f t="shared" si="1"/>
        <v>Hyundai Elantra SE</v>
      </c>
      <c r="S107" s="1" t="str" cm="1">
        <f t="array" ref="S107">_xlfn.IFS(I107 &gt;= 40, "High", I107&gt;=20, "Medium", I107&lt;20, "Low")</f>
        <v>Low</v>
      </c>
      <c r="T107" s="1" t="str" cm="1">
        <f t="array" ref="T107">_xlfn.IFS(O107&lt;18200, "Low", O107&lt;=50000, "Medium", O107&gt;50000, "High")</f>
        <v>Low</v>
      </c>
    </row>
    <row r="108" spans="1:20" x14ac:dyDescent="0.25">
      <c r="A108" s="2">
        <v>2014</v>
      </c>
      <c r="B108" s="1" t="s">
        <v>29</v>
      </c>
      <c r="C108" s="1" t="s">
        <v>117</v>
      </c>
      <c r="D108" s="1" t="s">
        <v>297</v>
      </c>
      <c r="E108" s="1" t="s">
        <v>32</v>
      </c>
      <c r="F108" s="1" t="s">
        <v>20</v>
      </c>
      <c r="G108" s="1" t="s">
        <v>298</v>
      </c>
      <c r="H108" s="1" t="s">
        <v>22</v>
      </c>
      <c r="I108" s="1">
        <v>48</v>
      </c>
      <c r="J108" s="1">
        <v>12292</v>
      </c>
      <c r="K108" s="1" t="s">
        <v>23</v>
      </c>
      <c r="L108" s="1" t="s">
        <v>24</v>
      </c>
      <c r="M108" s="1" t="s">
        <v>35</v>
      </c>
      <c r="N108" s="1">
        <v>46300</v>
      </c>
      <c r="O108" s="12">
        <v>46500</v>
      </c>
      <c r="P108" s="3" t="s">
        <v>36</v>
      </c>
      <c r="Q108" s="1" cm="1">
        <f t="array" ref="Q108">VALUE(INDEX(_xlfn.TEXTSPLIT(P108, " "), 4))</f>
        <v>2015</v>
      </c>
      <c r="R108" s="1" t="str">
        <f t="shared" si="1"/>
        <v>BMW 5 Series 535d</v>
      </c>
      <c r="S108" s="1" t="str" cm="1">
        <f t="array" ref="S108">_xlfn.IFS(I108 &gt;= 40, "High", I108&gt;=20, "Medium", I108&lt;20, "Low")</f>
        <v>High</v>
      </c>
      <c r="T108" s="1" t="str" cm="1">
        <f t="array" ref="T108">_xlfn.IFS(O108&lt;18200, "Low", O108&lt;=50000, "Medium", O108&gt;50000, "High")</f>
        <v>Medium</v>
      </c>
    </row>
    <row r="109" spans="1:20" x14ac:dyDescent="0.25">
      <c r="A109" s="2">
        <v>2014</v>
      </c>
      <c r="B109" s="1" t="s">
        <v>29</v>
      </c>
      <c r="C109" s="1" t="s">
        <v>111</v>
      </c>
      <c r="D109" s="1" t="s">
        <v>44</v>
      </c>
      <c r="E109" s="1" t="s">
        <v>71</v>
      </c>
      <c r="F109" s="1" t="s">
        <v>20</v>
      </c>
      <c r="G109" s="1" t="s">
        <v>299</v>
      </c>
      <c r="H109" s="1" t="s">
        <v>22</v>
      </c>
      <c r="I109" s="1">
        <v>37</v>
      </c>
      <c r="J109" s="1">
        <v>15727</v>
      </c>
      <c r="K109" s="1" t="s">
        <v>23</v>
      </c>
      <c r="L109" s="1" t="s">
        <v>24</v>
      </c>
      <c r="M109" s="1" t="s">
        <v>56</v>
      </c>
      <c r="N109" s="1">
        <v>66000</v>
      </c>
      <c r="O109" s="12">
        <v>65000</v>
      </c>
      <c r="P109" s="3" t="s">
        <v>46</v>
      </c>
      <c r="Q109" s="1" cm="1">
        <f t="array" ref="Q109">VALUE(INDEX(_xlfn.TEXTSPLIT(P109, " "), 4))</f>
        <v>2014</v>
      </c>
      <c r="R109" s="1" t="str">
        <f t="shared" si="1"/>
        <v>BMW 6 Series 650i</v>
      </c>
      <c r="S109" s="1" t="str" cm="1">
        <f t="array" ref="S109">_xlfn.IFS(I109 &gt;= 40, "High", I109&gt;=20, "Medium", I109&lt;20, "Low")</f>
        <v>Medium</v>
      </c>
      <c r="T109" s="1" t="str" cm="1">
        <f t="array" ref="T109">_xlfn.IFS(O109&lt;18200, "Low", O109&lt;=50000, "Medium", O109&gt;50000, "High")</f>
        <v>High</v>
      </c>
    </row>
    <row r="110" spans="1:20" x14ac:dyDescent="0.25">
      <c r="A110" s="2">
        <v>2015</v>
      </c>
      <c r="B110" s="1" t="s">
        <v>16</v>
      </c>
      <c r="C110" s="1" t="s">
        <v>17</v>
      </c>
      <c r="D110" s="1" t="s">
        <v>18</v>
      </c>
      <c r="E110" s="1" t="s">
        <v>19</v>
      </c>
      <c r="F110" s="1" t="s">
        <v>20</v>
      </c>
      <c r="G110" s="1" t="s">
        <v>300</v>
      </c>
      <c r="H110" s="1" t="s">
        <v>22</v>
      </c>
      <c r="I110" s="1">
        <v>49</v>
      </c>
      <c r="J110" s="1">
        <v>13711</v>
      </c>
      <c r="K110" s="1" t="s">
        <v>23</v>
      </c>
      <c r="L110" s="1" t="s">
        <v>24</v>
      </c>
      <c r="M110" s="1" t="s">
        <v>25</v>
      </c>
      <c r="N110" s="1">
        <v>20600</v>
      </c>
      <c r="O110" s="12">
        <v>21750</v>
      </c>
      <c r="P110" s="3" t="s">
        <v>26</v>
      </c>
      <c r="Q110" s="1" cm="1">
        <f t="array" ref="Q110">VALUE(INDEX(_xlfn.TEXTSPLIT(P110, " "), 4))</f>
        <v>2014</v>
      </c>
      <c r="R110" s="1" t="str">
        <f t="shared" si="1"/>
        <v>Kia Sorento LX</v>
      </c>
      <c r="S110" s="1" t="str" cm="1">
        <f t="array" ref="S110">_xlfn.IFS(I110 &gt;= 40, "High", I110&gt;=20, "Medium", I110&lt;20, "Low")</f>
        <v>High</v>
      </c>
      <c r="T110" s="1" t="str" cm="1">
        <f t="array" ref="T110">_xlfn.IFS(O110&lt;18200, "Low", O110&lt;=50000, "Medium", O110&gt;50000, "High")</f>
        <v>Medium</v>
      </c>
    </row>
    <row r="111" spans="1:20" x14ac:dyDescent="0.25">
      <c r="A111" s="2">
        <v>2014</v>
      </c>
      <c r="B111" s="1" t="s">
        <v>166</v>
      </c>
      <c r="C111" s="1" t="s">
        <v>301</v>
      </c>
      <c r="D111" s="1" t="s">
        <v>195</v>
      </c>
      <c r="E111" s="1" t="s">
        <v>19</v>
      </c>
      <c r="F111" s="1" t="s">
        <v>20</v>
      </c>
      <c r="G111" s="1" t="s">
        <v>302</v>
      </c>
      <c r="H111" s="1" t="s">
        <v>22</v>
      </c>
      <c r="I111" s="1">
        <v>44</v>
      </c>
      <c r="J111" s="1">
        <v>8683</v>
      </c>
      <c r="K111" s="1" t="s">
        <v>23</v>
      </c>
      <c r="L111" s="1" t="s">
        <v>24</v>
      </c>
      <c r="M111" s="1" t="s">
        <v>303</v>
      </c>
      <c r="N111" s="1">
        <v>33500</v>
      </c>
      <c r="O111" s="12">
        <v>30000</v>
      </c>
      <c r="P111" s="3" t="s">
        <v>97</v>
      </c>
      <c r="Q111" s="1" cm="1">
        <f t="array" ref="Q111">VALUE(INDEX(_xlfn.TEXTSPLIT(P111, " "), 4))</f>
        <v>2014</v>
      </c>
      <c r="R111" s="1" t="str">
        <f t="shared" si="1"/>
        <v>Cadillac SRX Luxury</v>
      </c>
      <c r="S111" s="1" t="str" cm="1">
        <f t="array" ref="S111">_xlfn.IFS(I111 &gt;= 40, "High", I111&gt;=20, "Medium", I111&lt;20, "Low")</f>
        <v>High</v>
      </c>
      <c r="T111" s="1" t="str" cm="1">
        <f t="array" ref="T111">_xlfn.IFS(O111&lt;18200, "Low", O111&lt;=50000, "Medium", O111&gt;50000, "High")</f>
        <v>Medium</v>
      </c>
    </row>
    <row r="112" spans="1:20" x14ac:dyDescent="0.25">
      <c r="A112" s="2">
        <v>2014</v>
      </c>
      <c r="B112" s="1" t="s">
        <v>29</v>
      </c>
      <c r="C112" s="1" t="s">
        <v>136</v>
      </c>
      <c r="D112" s="1" t="s">
        <v>178</v>
      </c>
      <c r="E112" s="1" t="s">
        <v>19</v>
      </c>
      <c r="F112" s="1" t="s">
        <v>20</v>
      </c>
      <c r="G112" s="1" t="s">
        <v>304</v>
      </c>
      <c r="H112" s="1" t="s">
        <v>22</v>
      </c>
      <c r="I112" s="1">
        <v>5</v>
      </c>
      <c r="J112" s="1">
        <v>4503</v>
      </c>
      <c r="K112" s="1" t="s">
        <v>23</v>
      </c>
      <c r="L112" s="1" t="s">
        <v>24</v>
      </c>
      <c r="M112" s="1" t="s">
        <v>35</v>
      </c>
      <c r="N112" s="1">
        <v>57500</v>
      </c>
      <c r="O112" s="12">
        <v>57250</v>
      </c>
      <c r="P112" s="3" t="s">
        <v>46</v>
      </c>
      <c r="Q112" s="1" cm="1">
        <f t="array" ref="Q112">VALUE(INDEX(_xlfn.TEXTSPLIT(P112, " "), 4))</f>
        <v>2014</v>
      </c>
      <c r="R112" s="1" t="str">
        <f t="shared" si="1"/>
        <v>BMW X5 xDrive35i</v>
      </c>
      <c r="S112" s="1" t="str" cm="1">
        <f t="array" ref="S112">_xlfn.IFS(I112 &gt;= 40, "High", I112&gt;=20, "Medium", I112&lt;20, "Low")</f>
        <v>Low</v>
      </c>
      <c r="T112" s="1" t="str" cm="1">
        <f t="array" ref="T112">_xlfn.IFS(O112&lt;18200, "Low", O112&lt;=50000, "Medium", O112&gt;50000, "High")</f>
        <v>High</v>
      </c>
    </row>
    <row r="113" spans="1:20" x14ac:dyDescent="0.25">
      <c r="A113" s="2">
        <v>2015</v>
      </c>
      <c r="B113" s="1" t="s">
        <v>98</v>
      </c>
      <c r="C113" s="1" t="s">
        <v>219</v>
      </c>
      <c r="D113" s="1" t="s">
        <v>87</v>
      </c>
      <c r="E113" s="1" t="s">
        <v>32</v>
      </c>
      <c r="F113" s="1" t="s">
        <v>20</v>
      </c>
      <c r="G113" s="1" t="s">
        <v>305</v>
      </c>
      <c r="H113" s="1" t="s">
        <v>22</v>
      </c>
      <c r="I113" s="1">
        <v>2</v>
      </c>
      <c r="J113" s="1">
        <v>7800</v>
      </c>
      <c r="K113" s="1" t="s">
        <v>91</v>
      </c>
      <c r="L113" s="1" t="s">
        <v>34</v>
      </c>
      <c r="M113" s="1" t="s">
        <v>51</v>
      </c>
      <c r="N113" s="1">
        <v>13800</v>
      </c>
      <c r="O113" s="12">
        <v>9000</v>
      </c>
      <c r="P113" s="3" t="s">
        <v>84</v>
      </c>
      <c r="Q113" s="1" cm="1">
        <f t="array" ref="Q113">VALUE(INDEX(_xlfn.TEXTSPLIT(P113, " "), 4))</f>
        <v>2014</v>
      </c>
      <c r="R113" s="1" t="str">
        <f t="shared" si="1"/>
        <v>Hyundai Elantra SE</v>
      </c>
      <c r="S113" s="1" t="str" cm="1">
        <f t="array" ref="S113">_xlfn.IFS(I113 &gt;= 40, "High", I113&gt;=20, "Medium", I113&lt;20, "Low")</f>
        <v>Low</v>
      </c>
      <c r="T113" s="1" t="str" cm="1">
        <f t="array" ref="T113">_xlfn.IFS(O113&lt;18200, "Low", O113&lt;=50000, "Medium", O113&gt;50000, "High")</f>
        <v>Low</v>
      </c>
    </row>
    <row r="114" spans="1:20" x14ac:dyDescent="0.25">
      <c r="A114" s="2">
        <v>2014</v>
      </c>
      <c r="B114" s="1" t="s">
        <v>58</v>
      </c>
      <c r="C114" s="1" t="s">
        <v>59</v>
      </c>
      <c r="D114" s="1" t="s">
        <v>60</v>
      </c>
      <c r="E114" s="1" t="s">
        <v>32</v>
      </c>
      <c r="F114" s="1"/>
      <c r="G114" s="1" t="s">
        <v>306</v>
      </c>
      <c r="H114" s="1" t="s">
        <v>22</v>
      </c>
      <c r="I114" s="1">
        <v>28</v>
      </c>
      <c r="J114" s="1">
        <v>40393</v>
      </c>
      <c r="K114" s="1" t="s">
        <v>34</v>
      </c>
      <c r="L114" s="1" t="s">
        <v>24</v>
      </c>
      <c r="M114" s="1" t="s">
        <v>182</v>
      </c>
      <c r="N114" s="1">
        <v>11450</v>
      </c>
      <c r="O114" s="12">
        <v>11700</v>
      </c>
      <c r="P114" s="3" t="s">
        <v>110</v>
      </c>
      <c r="Q114" s="1" cm="1">
        <f t="array" ref="Q114">VALUE(INDEX(_xlfn.TEXTSPLIT(P114, " "), 4))</f>
        <v>2014</v>
      </c>
      <c r="R114" s="1" t="str">
        <f t="shared" si="1"/>
        <v>Chevrolet Cruze 1LT</v>
      </c>
      <c r="S114" s="1" t="str" cm="1">
        <f t="array" ref="S114">_xlfn.IFS(I114 &gt;= 40, "High", I114&gt;=20, "Medium", I114&lt;20, "Low")</f>
        <v>Medium</v>
      </c>
      <c r="T114" s="1" t="str" cm="1">
        <f t="array" ref="T114">_xlfn.IFS(O114&lt;18200, "Low", O114&lt;=50000, "Medium", O114&gt;50000, "High")</f>
        <v>Low</v>
      </c>
    </row>
    <row r="115" spans="1:20" x14ac:dyDescent="0.25">
      <c r="A115" s="2">
        <v>2014</v>
      </c>
      <c r="B115" s="1" t="s">
        <v>58</v>
      </c>
      <c r="C115" s="1" t="s">
        <v>283</v>
      </c>
      <c r="D115" s="1" t="s">
        <v>70</v>
      </c>
      <c r="E115" s="1" t="s">
        <v>267</v>
      </c>
      <c r="F115" s="1" t="s">
        <v>20</v>
      </c>
      <c r="G115" s="1" t="s">
        <v>307</v>
      </c>
      <c r="H115" s="1" t="s">
        <v>22</v>
      </c>
      <c r="I115" s="1">
        <v>4</v>
      </c>
      <c r="J115" s="1">
        <v>9685</v>
      </c>
      <c r="K115" s="1" t="s">
        <v>23</v>
      </c>
      <c r="L115" s="1" t="s">
        <v>24</v>
      </c>
      <c r="M115" s="1" t="s">
        <v>308</v>
      </c>
      <c r="N115" s="1">
        <v>31700</v>
      </c>
      <c r="O115" s="12">
        <v>30000</v>
      </c>
      <c r="P115" s="3" t="s">
        <v>68</v>
      </c>
      <c r="Q115" s="1" cm="1">
        <f t="array" ref="Q115">VALUE(INDEX(_xlfn.TEXTSPLIT(P115, " "), 4))</f>
        <v>2014</v>
      </c>
      <c r="R115" s="1" t="str">
        <f t="shared" si="1"/>
        <v>Chevrolet Silverado 1500 LT</v>
      </c>
      <c r="S115" s="1" t="str" cm="1">
        <f t="array" ref="S115">_xlfn.IFS(I115 &gt;= 40, "High", I115&gt;=20, "Medium", I115&lt;20, "Low")</f>
        <v>Low</v>
      </c>
      <c r="T115" s="1" t="str" cm="1">
        <f t="array" ref="T115">_xlfn.IFS(O115&lt;18200, "Low", O115&lt;=50000, "Medium", O115&gt;50000, "High")</f>
        <v>Medium</v>
      </c>
    </row>
    <row r="116" spans="1:20" x14ac:dyDescent="0.25">
      <c r="A116" s="2">
        <v>2015</v>
      </c>
      <c r="B116" s="1" t="s">
        <v>16</v>
      </c>
      <c r="C116" s="1" t="s">
        <v>17</v>
      </c>
      <c r="D116" s="1" t="s">
        <v>18</v>
      </c>
      <c r="E116" s="1" t="s">
        <v>19</v>
      </c>
      <c r="F116" s="1" t="s">
        <v>20</v>
      </c>
      <c r="G116" s="1" t="s">
        <v>309</v>
      </c>
      <c r="H116" s="1" t="s">
        <v>22</v>
      </c>
      <c r="I116" s="1">
        <v>5</v>
      </c>
      <c r="J116" s="1">
        <v>10615</v>
      </c>
      <c r="K116" s="1" t="s">
        <v>288</v>
      </c>
      <c r="L116" s="1" t="s">
        <v>24</v>
      </c>
      <c r="M116" s="1" t="s">
        <v>25</v>
      </c>
      <c r="N116" s="1">
        <v>20700</v>
      </c>
      <c r="O116" s="12">
        <v>20500</v>
      </c>
      <c r="P116" s="3" t="s">
        <v>26</v>
      </c>
      <c r="Q116" s="1" cm="1">
        <f t="array" ref="Q116">VALUE(INDEX(_xlfn.TEXTSPLIT(P116, " "), 4))</f>
        <v>2014</v>
      </c>
      <c r="R116" s="1" t="str">
        <f t="shared" si="1"/>
        <v>Kia Sorento LX</v>
      </c>
      <c r="S116" s="1" t="str" cm="1">
        <f t="array" ref="S116">_xlfn.IFS(I116 &gt;= 40, "High", I116&gt;=20, "Medium", I116&lt;20, "Low")</f>
        <v>Low</v>
      </c>
      <c r="T116" s="1" t="str" cm="1">
        <f t="array" ref="T116">_xlfn.IFS(O116&lt;18200, "Low", O116&lt;=50000, "Medium", O116&gt;50000, "High")</f>
        <v>Medium</v>
      </c>
    </row>
    <row r="117" spans="1:20" x14ac:dyDescent="0.25">
      <c r="A117" s="2">
        <v>2015</v>
      </c>
      <c r="B117" s="1" t="s">
        <v>16</v>
      </c>
      <c r="C117" s="1" t="s">
        <v>17</v>
      </c>
      <c r="D117" s="1" t="s">
        <v>18</v>
      </c>
      <c r="E117" s="1" t="s">
        <v>19</v>
      </c>
      <c r="F117" s="1" t="s">
        <v>20</v>
      </c>
      <c r="G117" s="1" t="s">
        <v>310</v>
      </c>
      <c r="H117" s="1" t="s">
        <v>22</v>
      </c>
      <c r="I117" s="1">
        <v>48</v>
      </c>
      <c r="J117" s="1">
        <v>13031</v>
      </c>
      <c r="K117" s="1" t="s">
        <v>216</v>
      </c>
      <c r="L117" s="1" t="s">
        <v>24</v>
      </c>
      <c r="M117" s="1" t="s">
        <v>25</v>
      </c>
      <c r="N117" s="1">
        <v>20600</v>
      </c>
      <c r="O117" s="12">
        <v>20750</v>
      </c>
      <c r="P117" s="3" t="s">
        <v>26</v>
      </c>
      <c r="Q117" s="1" cm="1">
        <f t="array" ref="Q117">VALUE(INDEX(_xlfn.TEXTSPLIT(P117, " "), 4))</f>
        <v>2014</v>
      </c>
      <c r="R117" s="1" t="str">
        <f t="shared" si="1"/>
        <v>Kia Sorento LX</v>
      </c>
      <c r="S117" s="1" t="str" cm="1">
        <f t="array" ref="S117">_xlfn.IFS(I117 &gt;= 40, "High", I117&gt;=20, "Medium", I117&lt;20, "Low")</f>
        <v>High</v>
      </c>
      <c r="T117" s="1" t="str" cm="1">
        <f t="array" ref="T117">_xlfn.IFS(O117&lt;18200, "Low", O117&lt;=50000, "Medium", O117&gt;50000, "High")</f>
        <v>Medium</v>
      </c>
    </row>
    <row r="118" spans="1:20" x14ac:dyDescent="0.25">
      <c r="A118" s="2">
        <v>2014</v>
      </c>
      <c r="B118" s="1" t="s">
        <v>184</v>
      </c>
      <c r="C118" s="1" t="s">
        <v>185</v>
      </c>
      <c r="D118" s="1" t="s">
        <v>54</v>
      </c>
      <c r="E118" s="1" t="s">
        <v>32</v>
      </c>
      <c r="F118" s="1" t="s">
        <v>20</v>
      </c>
      <c r="G118" s="1" t="s">
        <v>311</v>
      </c>
      <c r="H118" s="1" t="s">
        <v>22</v>
      </c>
      <c r="I118" s="1">
        <v>41</v>
      </c>
      <c r="J118" s="1">
        <v>12905</v>
      </c>
      <c r="K118" s="1" t="s">
        <v>91</v>
      </c>
      <c r="L118" s="1" t="s">
        <v>34</v>
      </c>
      <c r="M118" s="1" t="s">
        <v>188</v>
      </c>
      <c r="N118" s="1">
        <v>19950</v>
      </c>
      <c r="O118" s="12">
        <v>20400</v>
      </c>
      <c r="P118" s="3" t="s">
        <v>68</v>
      </c>
      <c r="Q118" s="1" cm="1">
        <f t="array" ref="Q118">VALUE(INDEX(_xlfn.TEXTSPLIT(P118, " "), 4))</f>
        <v>2014</v>
      </c>
      <c r="R118" s="1" t="str">
        <f t="shared" si="1"/>
        <v>Acura ILX Base</v>
      </c>
      <c r="S118" s="1" t="str" cm="1">
        <f t="array" ref="S118">_xlfn.IFS(I118 &gt;= 40, "High", I118&gt;=20, "Medium", I118&lt;20, "Low")</f>
        <v>High</v>
      </c>
      <c r="T118" s="1" t="str" cm="1">
        <f t="array" ref="T118">_xlfn.IFS(O118&lt;18200, "Low", O118&lt;=50000, "Medium", O118&gt;50000, "High")</f>
        <v>Medium</v>
      </c>
    </row>
    <row r="119" spans="1:20" x14ac:dyDescent="0.25">
      <c r="A119" s="2">
        <v>2015</v>
      </c>
      <c r="B119" s="1" t="s">
        <v>16</v>
      </c>
      <c r="C119" s="1" t="s">
        <v>17</v>
      </c>
      <c r="D119" s="1" t="s">
        <v>18</v>
      </c>
      <c r="E119" s="1" t="s">
        <v>19</v>
      </c>
      <c r="F119" s="1" t="s">
        <v>20</v>
      </c>
      <c r="G119" s="1" t="s">
        <v>312</v>
      </c>
      <c r="H119" s="1" t="s">
        <v>22</v>
      </c>
      <c r="I119" s="1">
        <v>48</v>
      </c>
      <c r="J119" s="1">
        <v>16611</v>
      </c>
      <c r="K119" s="1" t="s">
        <v>34</v>
      </c>
      <c r="L119" s="1" t="s">
        <v>24</v>
      </c>
      <c r="M119" s="1" t="s">
        <v>25</v>
      </c>
      <c r="N119" s="1">
        <v>20500</v>
      </c>
      <c r="O119" s="12">
        <v>20750</v>
      </c>
      <c r="P119" s="3" t="s">
        <v>26</v>
      </c>
      <c r="Q119" s="1" cm="1">
        <f t="array" ref="Q119">VALUE(INDEX(_xlfn.TEXTSPLIT(P119, " "), 4))</f>
        <v>2014</v>
      </c>
      <c r="R119" s="1" t="str">
        <f t="shared" si="1"/>
        <v>Kia Sorento LX</v>
      </c>
      <c r="S119" s="1" t="str" cm="1">
        <f t="array" ref="S119">_xlfn.IFS(I119 &gt;= 40, "High", I119&gt;=20, "Medium", I119&lt;20, "Low")</f>
        <v>High</v>
      </c>
      <c r="T119" s="1" t="str" cm="1">
        <f t="array" ref="T119">_xlfn.IFS(O119&lt;18200, "Low", O119&lt;=50000, "Medium", O119&gt;50000, "High")</f>
        <v>Medium</v>
      </c>
    </row>
    <row r="120" spans="1:20" x14ac:dyDescent="0.25">
      <c r="A120" s="2">
        <v>2015</v>
      </c>
      <c r="B120" s="1" t="s">
        <v>37</v>
      </c>
      <c r="C120" s="1" t="s">
        <v>174</v>
      </c>
      <c r="D120" s="1" t="s">
        <v>39</v>
      </c>
      <c r="E120" s="1" t="s">
        <v>130</v>
      </c>
      <c r="F120" s="1" t="s">
        <v>20</v>
      </c>
      <c r="G120" s="1" t="s">
        <v>313</v>
      </c>
      <c r="H120" s="1" t="s">
        <v>22</v>
      </c>
      <c r="I120" s="1">
        <v>41</v>
      </c>
      <c r="J120" s="1">
        <v>12273</v>
      </c>
      <c r="K120" s="1" t="s">
        <v>23</v>
      </c>
      <c r="L120" s="1" t="s">
        <v>28</v>
      </c>
      <c r="M120" s="1" t="s">
        <v>41</v>
      </c>
      <c r="N120" s="1">
        <v>31200</v>
      </c>
      <c r="O120" s="12">
        <v>30000</v>
      </c>
      <c r="P120" s="3" t="s">
        <v>46</v>
      </c>
      <c r="Q120" s="1" cm="1">
        <f t="array" ref="Q120">VALUE(INDEX(_xlfn.TEXTSPLIT(P120, " "), 4))</f>
        <v>2014</v>
      </c>
      <c r="R120" s="1" t="str">
        <f t="shared" si="1"/>
        <v>Volvo V60 T5</v>
      </c>
      <c r="S120" s="1" t="str" cm="1">
        <f t="array" ref="S120">_xlfn.IFS(I120 &gt;= 40, "High", I120&gt;=20, "Medium", I120&lt;20, "Low")</f>
        <v>High</v>
      </c>
      <c r="T120" s="1" t="str" cm="1">
        <f t="array" ref="T120">_xlfn.IFS(O120&lt;18200, "Low", O120&lt;=50000, "Medium", O120&gt;50000, "High")</f>
        <v>Medium</v>
      </c>
    </row>
    <row r="121" spans="1:20" x14ac:dyDescent="0.25">
      <c r="A121" s="2">
        <v>2014</v>
      </c>
      <c r="B121" s="1" t="s">
        <v>58</v>
      </c>
      <c r="C121" s="1" t="s">
        <v>69</v>
      </c>
      <c r="D121" s="1" t="s">
        <v>70</v>
      </c>
      <c r="E121" s="1" t="s">
        <v>107</v>
      </c>
      <c r="F121" s="1" t="s">
        <v>20</v>
      </c>
      <c r="G121" s="1" t="s">
        <v>314</v>
      </c>
      <c r="H121" s="1" t="s">
        <v>22</v>
      </c>
      <c r="I121" s="1"/>
      <c r="J121" s="1">
        <v>11204</v>
      </c>
      <c r="K121" s="1" t="s">
        <v>24</v>
      </c>
      <c r="L121" s="1" t="s">
        <v>24</v>
      </c>
      <c r="M121" s="1" t="s">
        <v>51</v>
      </c>
      <c r="N121" s="1">
        <v>21900</v>
      </c>
      <c r="O121" s="12">
        <v>10250</v>
      </c>
      <c r="P121" s="3" t="s">
        <v>62</v>
      </c>
      <c r="Q121" s="1" cm="1">
        <f t="array" ref="Q121">VALUE(INDEX(_xlfn.TEXTSPLIT(P121, " "), 4))</f>
        <v>2014</v>
      </c>
      <c r="R121" s="1" t="str">
        <f t="shared" si="1"/>
        <v>Chevrolet Camaro LT</v>
      </c>
      <c r="S121" s="1" t="str" cm="1">
        <f t="array" ref="S121">_xlfn.IFS(I121 &gt;= 40, "High", I121&gt;=20, "Medium", I121&lt;20, "Low")</f>
        <v>Low</v>
      </c>
      <c r="T121" s="1" t="str" cm="1">
        <f t="array" ref="T121">_xlfn.IFS(O121&lt;18200, "Low", O121&lt;=50000, "Medium", O121&gt;50000, "High")</f>
        <v>Low</v>
      </c>
    </row>
    <row r="122" spans="1:20" x14ac:dyDescent="0.25">
      <c r="A122" s="2">
        <v>2014</v>
      </c>
      <c r="B122" s="1" t="s">
        <v>58</v>
      </c>
      <c r="C122" s="1" t="s">
        <v>59</v>
      </c>
      <c r="D122" s="1" t="s">
        <v>92</v>
      </c>
      <c r="E122" s="1" t="s">
        <v>32</v>
      </c>
      <c r="F122" s="1" t="s">
        <v>20</v>
      </c>
      <c r="G122" s="1" t="s">
        <v>315</v>
      </c>
      <c r="H122" s="1" t="s">
        <v>22</v>
      </c>
      <c r="I122" s="1">
        <v>42</v>
      </c>
      <c r="J122" s="1">
        <v>40560</v>
      </c>
      <c r="K122" s="1" t="s">
        <v>34</v>
      </c>
      <c r="L122" s="1" t="s">
        <v>132</v>
      </c>
      <c r="M122" s="1" t="s">
        <v>182</v>
      </c>
      <c r="N122" s="1">
        <v>12800</v>
      </c>
      <c r="O122" s="12">
        <v>12800</v>
      </c>
      <c r="P122" s="3" t="s">
        <v>316</v>
      </c>
      <c r="Q122" s="1" cm="1">
        <f t="array" ref="Q122">VALUE(INDEX(_xlfn.TEXTSPLIT(P122, " "), 4))</f>
        <v>2015</v>
      </c>
      <c r="R122" s="1" t="str">
        <f t="shared" si="1"/>
        <v>Chevrolet Cruze 2LT</v>
      </c>
      <c r="S122" s="1" t="str" cm="1">
        <f t="array" ref="S122">_xlfn.IFS(I122 &gt;= 40, "High", I122&gt;=20, "Medium", I122&lt;20, "Low")</f>
        <v>High</v>
      </c>
      <c r="T122" s="1" t="str" cm="1">
        <f t="array" ref="T122">_xlfn.IFS(O122&lt;18200, "Low", O122&lt;=50000, "Medium", O122&gt;50000, "High")</f>
        <v>Low</v>
      </c>
    </row>
    <row r="123" spans="1:20" x14ac:dyDescent="0.25">
      <c r="A123" s="2">
        <v>2015</v>
      </c>
      <c r="B123" s="1" t="s">
        <v>98</v>
      </c>
      <c r="C123" s="1" t="s">
        <v>219</v>
      </c>
      <c r="D123" s="1" t="s">
        <v>87</v>
      </c>
      <c r="E123" s="1" t="s">
        <v>32</v>
      </c>
      <c r="F123" s="1" t="s">
        <v>20</v>
      </c>
      <c r="G123" s="1" t="s">
        <v>317</v>
      </c>
      <c r="H123" s="1" t="s">
        <v>22</v>
      </c>
      <c r="I123" s="1"/>
      <c r="J123" s="1">
        <v>5335</v>
      </c>
      <c r="K123" s="1" t="s">
        <v>23</v>
      </c>
      <c r="L123" s="1" t="s">
        <v>34</v>
      </c>
      <c r="M123" s="1" t="s">
        <v>51</v>
      </c>
      <c r="N123" s="1">
        <v>13850</v>
      </c>
      <c r="O123" s="12">
        <v>6600</v>
      </c>
      <c r="P123" s="3" t="s">
        <v>62</v>
      </c>
      <c r="Q123" s="1" cm="1">
        <f t="array" ref="Q123">VALUE(INDEX(_xlfn.TEXTSPLIT(P123, " "), 4))</f>
        <v>2014</v>
      </c>
      <c r="R123" s="1" t="str">
        <f t="shared" si="1"/>
        <v>Hyundai Elantra SE</v>
      </c>
      <c r="S123" s="1" t="str" cm="1">
        <f t="array" ref="S123">_xlfn.IFS(I123 &gt;= 40, "High", I123&gt;=20, "Medium", I123&lt;20, "Low")</f>
        <v>Low</v>
      </c>
      <c r="T123" s="1" t="str" cm="1">
        <f t="array" ref="T123">_xlfn.IFS(O123&lt;18200, "Low", O123&lt;=50000, "Medium", O123&gt;50000, "High")</f>
        <v>Low</v>
      </c>
    </row>
    <row r="124" spans="1:20" x14ac:dyDescent="0.25">
      <c r="A124" s="2">
        <v>2013</v>
      </c>
      <c r="B124" s="1" t="s">
        <v>318</v>
      </c>
      <c r="C124" s="1" t="s">
        <v>319</v>
      </c>
      <c r="D124" s="1" t="s">
        <v>320</v>
      </c>
      <c r="E124" s="1" t="s">
        <v>319</v>
      </c>
      <c r="F124" s="1" t="s">
        <v>20</v>
      </c>
      <c r="G124" s="1" t="s">
        <v>321</v>
      </c>
      <c r="H124" s="1" t="s">
        <v>22</v>
      </c>
      <c r="I124" s="1">
        <v>45</v>
      </c>
      <c r="J124" s="1">
        <v>14716</v>
      </c>
      <c r="K124" s="1" t="s">
        <v>23</v>
      </c>
      <c r="L124" s="1" t="s">
        <v>24</v>
      </c>
      <c r="M124" s="1" t="s">
        <v>322</v>
      </c>
      <c r="N124" s="1">
        <v>25900</v>
      </c>
      <c r="O124" s="12">
        <v>25000</v>
      </c>
      <c r="P124" s="3" t="s">
        <v>46</v>
      </c>
      <c r="Q124" s="1" cm="1">
        <f t="array" ref="Q124">VALUE(INDEX(_xlfn.TEXTSPLIT(P124, " "), 4))</f>
        <v>2014</v>
      </c>
      <c r="R124" s="1" t="str">
        <f t="shared" si="1"/>
        <v>Infiniti G Coupe G37 Sport</v>
      </c>
      <c r="S124" s="1" t="str" cm="1">
        <f t="array" ref="S124">_xlfn.IFS(I124 &gt;= 40, "High", I124&gt;=20, "Medium", I124&lt;20, "Low")</f>
        <v>High</v>
      </c>
      <c r="T124" s="1" t="str" cm="1">
        <f t="array" ref="T124">_xlfn.IFS(O124&lt;18200, "Low", O124&lt;=50000, "Medium", O124&gt;50000, "High")</f>
        <v>Medium</v>
      </c>
    </row>
    <row r="125" spans="1:20" x14ac:dyDescent="0.25">
      <c r="A125" s="2">
        <v>2013</v>
      </c>
      <c r="B125" s="1" t="s">
        <v>318</v>
      </c>
      <c r="C125" s="1" t="s">
        <v>323</v>
      </c>
      <c r="D125" s="1" t="s">
        <v>324</v>
      </c>
      <c r="E125" s="1" t="s">
        <v>323</v>
      </c>
      <c r="F125" s="1" t="s">
        <v>20</v>
      </c>
      <c r="G125" s="1" t="s">
        <v>325</v>
      </c>
      <c r="H125" s="1" t="s">
        <v>22</v>
      </c>
      <c r="I125" s="1">
        <v>46</v>
      </c>
      <c r="J125" s="1">
        <v>68</v>
      </c>
      <c r="K125" s="1" t="s">
        <v>24</v>
      </c>
      <c r="L125" s="1" t="s">
        <v>24</v>
      </c>
      <c r="M125" s="1" t="s">
        <v>322</v>
      </c>
      <c r="N125" s="1">
        <v>25700</v>
      </c>
      <c r="O125" s="12">
        <v>27250</v>
      </c>
      <c r="P125" s="3" t="s">
        <v>46</v>
      </c>
      <c r="Q125" s="1" cm="1">
        <f t="array" ref="Q125">VALUE(INDEX(_xlfn.TEXTSPLIT(P125, " "), 4))</f>
        <v>2014</v>
      </c>
      <c r="R125" s="1" t="str">
        <f t="shared" si="1"/>
        <v>Infiniti G Sedan G37 Journey</v>
      </c>
      <c r="S125" s="1" t="str" cm="1">
        <f t="array" ref="S125">_xlfn.IFS(I125 &gt;= 40, "High", I125&gt;=20, "Medium", I125&lt;20, "Low")</f>
        <v>High</v>
      </c>
      <c r="T125" s="1" t="str" cm="1">
        <f t="array" ref="T125">_xlfn.IFS(O125&lt;18200, "Low", O125&lt;=50000, "Medium", O125&gt;50000, "High")</f>
        <v>Medium</v>
      </c>
    </row>
    <row r="126" spans="1:20" x14ac:dyDescent="0.25">
      <c r="A126" s="2">
        <v>2013</v>
      </c>
      <c r="B126" s="1" t="s">
        <v>318</v>
      </c>
      <c r="C126" s="1" t="s">
        <v>323</v>
      </c>
      <c r="D126" s="1" t="s">
        <v>324</v>
      </c>
      <c r="E126" s="1" t="s">
        <v>323</v>
      </c>
      <c r="F126" s="1" t="s">
        <v>20</v>
      </c>
      <c r="G126" s="1" t="s">
        <v>326</v>
      </c>
      <c r="H126" s="1" t="s">
        <v>22</v>
      </c>
      <c r="I126" s="1">
        <v>45</v>
      </c>
      <c r="J126" s="1">
        <v>24112</v>
      </c>
      <c r="K126" s="1" t="s">
        <v>23</v>
      </c>
      <c r="L126" s="1" t="s">
        <v>24</v>
      </c>
      <c r="M126" s="1" t="s">
        <v>322</v>
      </c>
      <c r="N126" s="1">
        <v>22800</v>
      </c>
      <c r="O126" s="12">
        <v>22500</v>
      </c>
      <c r="P126" s="3" t="s">
        <v>46</v>
      </c>
      <c r="Q126" s="1" cm="1">
        <f t="array" ref="Q126">VALUE(INDEX(_xlfn.TEXTSPLIT(P126, " "), 4))</f>
        <v>2014</v>
      </c>
      <c r="R126" s="1" t="str">
        <f t="shared" si="1"/>
        <v>Infiniti G Sedan G37 Journey</v>
      </c>
      <c r="S126" s="1" t="str" cm="1">
        <f t="array" ref="S126">_xlfn.IFS(I126 &gt;= 40, "High", I126&gt;=20, "Medium", I126&lt;20, "Low")</f>
        <v>High</v>
      </c>
      <c r="T126" s="1" t="str" cm="1">
        <f t="array" ref="T126">_xlfn.IFS(O126&lt;18200, "Low", O126&lt;=50000, "Medium", O126&gt;50000, "High")</f>
        <v>Medium</v>
      </c>
    </row>
    <row r="127" spans="1:20" x14ac:dyDescent="0.25">
      <c r="A127" s="2">
        <v>2013</v>
      </c>
      <c r="B127" s="1" t="s">
        <v>318</v>
      </c>
      <c r="C127" s="1" t="s">
        <v>319</v>
      </c>
      <c r="D127" s="1" t="s">
        <v>320</v>
      </c>
      <c r="E127" s="1" t="s">
        <v>319</v>
      </c>
      <c r="F127" s="1" t="s">
        <v>20</v>
      </c>
      <c r="G127" s="1" t="s">
        <v>327</v>
      </c>
      <c r="H127" s="1" t="s">
        <v>22</v>
      </c>
      <c r="I127" s="1">
        <v>47</v>
      </c>
      <c r="J127" s="1">
        <v>4859</v>
      </c>
      <c r="K127" s="1" t="s">
        <v>24</v>
      </c>
      <c r="L127" s="1" t="s">
        <v>24</v>
      </c>
      <c r="M127" s="1" t="s">
        <v>322</v>
      </c>
      <c r="N127" s="1">
        <v>27200</v>
      </c>
      <c r="O127" s="12">
        <v>26750</v>
      </c>
      <c r="P127" s="3" t="s">
        <v>46</v>
      </c>
      <c r="Q127" s="1" cm="1">
        <f t="array" ref="Q127">VALUE(INDEX(_xlfn.TEXTSPLIT(P127, " "), 4))</f>
        <v>2014</v>
      </c>
      <c r="R127" s="1" t="str">
        <f t="shared" si="1"/>
        <v>Infiniti G Coupe G37 Sport</v>
      </c>
      <c r="S127" s="1" t="str" cm="1">
        <f t="array" ref="S127">_xlfn.IFS(I127 &gt;= 40, "High", I127&gt;=20, "Medium", I127&lt;20, "Low")</f>
        <v>High</v>
      </c>
      <c r="T127" s="1" t="str" cm="1">
        <f t="array" ref="T127">_xlfn.IFS(O127&lt;18200, "Low", O127&lt;=50000, "Medium", O127&gt;50000, "High")</f>
        <v>Medium</v>
      </c>
    </row>
    <row r="128" spans="1:20" x14ac:dyDescent="0.25">
      <c r="A128" s="2">
        <v>2013</v>
      </c>
      <c r="B128" s="1" t="s">
        <v>318</v>
      </c>
      <c r="C128" s="1" t="s">
        <v>319</v>
      </c>
      <c r="D128" s="1" t="s">
        <v>320</v>
      </c>
      <c r="E128" s="1" t="s">
        <v>319</v>
      </c>
      <c r="F128" s="1" t="s">
        <v>20</v>
      </c>
      <c r="G128" s="1" t="s">
        <v>328</v>
      </c>
      <c r="H128" s="1" t="s">
        <v>22</v>
      </c>
      <c r="I128" s="1">
        <v>45</v>
      </c>
      <c r="J128" s="1">
        <v>21126</v>
      </c>
      <c r="K128" s="1" t="s">
        <v>24</v>
      </c>
      <c r="L128" s="1" t="s">
        <v>28</v>
      </c>
      <c r="M128" s="1" t="s">
        <v>322</v>
      </c>
      <c r="N128" s="1">
        <v>25100</v>
      </c>
      <c r="O128" s="12">
        <v>26500</v>
      </c>
      <c r="P128" s="3" t="s">
        <v>46</v>
      </c>
      <c r="Q128" s="1" cm="1">
        <f t="array" ref="Q128">VALUE(INDEX(_xlfn.TEXTSPLIT(P128, " "), 4))</f>
        <v>2014</v>
      </c>
      <c r="R128" s="1" t="str">
        <f t="shared" si="1"/>
        <v>Infiniti G Coupe G37 Sport</v>
      </c>
      <c r="S128" s="1" t="str" cm="1">
        <f t="array" ref="S128">_xlfn.IFS(I128 &gt;= 40, "High", I128&gt;=20, "Medium", I128&lt;20, "Low")</f>
        <v>High</v>
      </c>
      <c r="T128" s="1" t="str" cm="1">
        <f t="array" ref="T128">_xlfn.IFS(O128&lt;18200, "Low", O128&lt;=50000, "Medium", O128&gt;50000, "High")</f>
        <v>Medium</v>
      </c>
    </row>
    <row r="129" spans="1:20" x14ac:dyDescent="0.25">
      <c r="A129" s="2">
        <v>2013</v>
      </c>
      <c r="B129" s="1" t="s">
        <v>318</v>
      </c>
      <c r="C129" s="1" t="s">
        <v>323</v>
      </c>
      <c r="D129" s="1" t="s">
        <v>324</v>
      </c>
      <c r="E129" s="1" t="s">
        <v>323</v>
      </c>
      <c r="F129" s="1" t="s">
        <v>20</v>
      </c>
      <c r="G129" s="1" t="s">
        <v>329</v>
      </c>
      <c r="H129" s="1" t="s">
        <v>22</v>
      </c>
      <c r="I129" s="1">
        <v>42</v>
      </c>
      <c r="J129" s="1">
        <v>26675</v>
      </c>
      <c r="K129" s="1" t="s">
        <v>94</v>
      </c>
      <c r="L129" s="1" t="s">
        <v>24</v>
      </c>
      <c r="M129" s="1" t="s">
        <v>322</v>
      </c>
      <c r="N129" s="1">
        <v>22500</v>
      </c>
      <c r="O129" s="12">
        <v>23750</v>
      </c>
      <c r="P129" s="3" t="s">
        <v>46</v>
      </c>
      <c r="Q129" s="1" cm="1">
        <f t="array" ref="Q129">VALUE(INDEX(_xlfn.TEXTSPLIT(P129, " "), 4))</f>
        <v>2014</v>
      </c>
      <c r="R129" s="1" t="str">
        <f t="shared" si="1"/>
        <v>Infiniti G Sedan G37 Journey</v>
      </c>
      <c r="S129" s="1" t="str" cm="1">
        <f t="array" ref="S129">_xlfn.IFS(I129 &gt;= 40, "High", I129&gt;=20, "Medium", I129&lt;20, "Low")</f>
        <v>High</v>
      </c>
      <c r="T129" s="1" t="str" cm="1">
        <f t="array" ref="T129">_xlfn.IFS(O129&lt;18200, "Low", O129&lt;=50000, "Medium", O129&gt;50000, "High")</f>
        <v>Medium</v>
      </c>
    </row>
    <row r="130" spans="1:20" x14ac:dyDescent="0.25">
      <c r="A130" s="2">
        <v>2013</v>
      </c>
      <c r="B130" s="1" t="s">
        <v>318</v>
      </c>
      <c r="C130" s="1" t="s">
        <v>323</v>
      </c>
      <c r="D130" s="1" t="s">
        <v>324</v>
      </c>
      <c r="E130" s="1" t="s">
        <v>323</v>
      </c>
      <c r="F130" s="1" t="s">
        <v>20</v>
      </c>
      <c r="G130" s="1" t="s">
        <v>330</v>
      </c>
      <c r="H130" s="1" t="s">
        <v>22</v>
      </c>
      <c r="I130" s="1">
        <v>42</v>
      </c>
      <c r="J130" s="1">
        <v>19978</v>
      </c>
      <c r="K130" s="1" t="s">
        <v>23</v>
      </c>
      <c r="L130" s="1" t="s">
        <v>24</v>
      </c>
      <c r="M130" s="1" t="s">
        <v>322</v>
      </c>
      <c r="N130" s="1">
        <v>23300</v>
      </c>
      <c r="O130" s="12">
        <v>24500</v>
      </c>
      <c r="P130" s="3" t="s">
        <v>46</v>
      </c>
      <c r="Q130" s="1" cm="1">
        <f t="array" ref="Q130">VALUE(INDEX(_xlfn.TEXTSPLIT(P130, " "), 4))</f>
        <v>2014</v>
      </c>
      <c r="R130" s="1" t="str">
        <f t="shared" si="1"/>
        <v>Infiniti G Sedan G37 Journey</v>
      </c>
      <c r="S130" s="1" t="str" cm="1">
        <f t="array" ref="S130">_xlfn.IFS(I130 &gt;= 40, "High", I130&gt;=20, "Medium", I130&lt;20, "Low")</f>
        <v>High</v>
      </c>
      <c r="T130" s="1" t="str" cm="1">
        <f t="array" ref="T130">_xlfn.IFS(O130&lt;18200, "Low", O130&lt;=50000, "Medium", O130&gt;50000, "High")</f>
        <v>Medium</v>
      </c>
    </row>
    <row r="131" spans="1:20" x14ac:dyDescent="0.25">
      <c r="A131" s="2">
        <v>2013</v>
      </c>
      <c r="B131" s="1" t="s">
        <v>318</v>
      </c>
      <c r="C131" s="1" t="s">
        <v>331</v>
      </c>
      <c r="D131" s="1" t="s">
        <v>332</v>
      </c>
      <c r="E131" s="1" t="s">
        <v>19</v>
      </c>
      <c r="F131" s="1" t="s">
        <v>20</v>
      </c>
      <c r="G131" s="1" t="s">
        <v>333</v>
      </c>
      <c r="H131" s="1" t="s">
        <v>22</v>
      </c>
      <c r="I131" s="1">
        <v>43</v>
      </c>
      <c r="J131" s="1">
        <v>10532</v>
      </c>
      <c r="K131" s="1" t="s">
        <v>24</v>
      </c>
      <c r="L131" s="1" t="s">
        <v>24</v>
      </c>
      <c r="M131" s="1" t="s">
        <v>322</v>
      </c>
      <c r="N131" s="1">
        <v>30800</v>
      </c>
      <c r="O131" s="12">
        <v>32000</v>
      </c>
      <c r="P131" s="3" t="s">
        <v>46</v>
      </c>
      <c r="Q131" s="1" cm="1">
        <f t="array" ref="Q131">VALUE(INDEX(_xlfn.TEXTSPLIT(P131, " "), 4))</f>
        <v>2014</v>
      </c>
      <c r="R131" s="1" t="str">
        <f t="shared" ref="R131:R194" si="2">_xlfn.TEXTJOIN(" ", TRUE, B131, C131, D131)</f>
        <v>Infiniti FX FX37</v>
      </c>
      <c r="S131" s="1" t="str" cm="1">
        <f t="array" ref="S131">_xlfn.IFS(I131 &gt;= 40, "High", I131&gt;=20, "Medium", I131&lt;20, "Low")</f>
        <v>High</v>
      </c>
      <c r="T131" s="1" t="str" cm="1">
        <f t="array" ref="T131">_xlfn.IFS(O131&lt;18200, "Low", O131&lt;=50000, "Medium", O131&gt;50000, "High")</f>
        <v>Medium</v>
      </c>
    </row>
    <row r="132" spans="1:20" x14ac:dyDescent="0.25">
      <c r="A132" s="2">
        <v>2013</v>
      </c>
      <c r="B132" s="1" t="s">
        <v>318</v>
      </c>
      <c r="C132" s="1" t="s">
        <v>323</v>
      </c>
      <c r="D132" s="1" t="s">
        <v>324</v>
      </c>
      <c r="E132" s="1" t="s">
        <v>323</v>
      </c>
      <c r="F132" s="1" t="s">
        <v>20</v>
      </c>
      <c r="G132" s="1" t="s">
        <v>334</v>
      </c>
      <c r="H132" s="1" t="s">
        <v>22</v>
      </c>
      <c r="I132" s="1">
        <v>41</v>
      </c>
      <c r="J132" s="1">
        <v>25859</v>
      </c>
      <c r="K132" s="1" t="s">
        <v>94</v>
      </c>
      <c r="L132" s="1" t="s">
        <v>24</v>
      </c>
      <c r="M132" s="1" t="s">
        <v>335</v>
      </c>
      <c r="N132" s="1">
        <v>22700</v>
      </c>
      <c r="O132" s="12">
        <v>21750</v>
      </c>
      <c r="P132" s="3" t="s">
        <v>57</v>
      </c>
      <c r="Q132" s="1" cm="1">
        <f t="array" ref="Q132">VALUE(INDEX(_xlfn.TEXTSPLIT(P132, " "), 4))</f>
        <v>2014</v>
      </c>
      <c r="R132" s="1" t="str">
        <f t="shared" si="2"/>
        <v>Infiniti G Sedan G37 Journey</v>
      </c>
      <c r="S132" s="1" t="str" cm="1">
        <f t="array" ref="S132">_xlfn.IFS(I132 &gt;= 40, "High", I132&gt;=20, "Medium", I132&lt;20, "Low")</f>
        <v>High</v>
      </c>
      <c r="T132" s="1" t="str" cm="1">
        <f t="array" ref="T132">_xlfn.IFS(O132&lt;18200, "Low", O132&lt;=50000, "Medium", O132&gt;50000, "High")</f>
        <v>Medium</v>
      </c>
    </row>
    <row r="133" spans="1:20" x14ac:dyDescent="0.25">
      <c r="A133" s="2">
        <v>2013</v>
      </c>
      <c r="B133" s="1" t="s">
        <v>98</v>
      </c>
      <c r="C133" s="1" t="s">
        <v>336</v>
      </c>
      <c r="D133" s="1" t="s">
        <v>337</v>
      </c>
      <c r="E133" s="1" t="s">
        <v>19</v>
      </c>
      <c r="F133" s="1" t="s">
        <v>20</v>
      </c>
      <c r="G133" s="1" t="s">
        <v>338</v>
      </c>
      <c r="H133" s="1" t="s">
        <v>22</v>
      </c>
      <c r="I133" s="1">
        <v>5</v>
      </c>
      <c r="J133" s="1">
        <v>14974</v>
      </c>
      <c r="K133" s="1" t="s">
        <v>23</v>
      </c>
      <c r="L133" s="1" t="s">
        <v>34</v>
      </c>
      <c r="M133" s="1" t="s">
        <v>339</v>
      </c>
      <c r="N133" s="1">
        <v>28300</v>
      </c>
      <c r="O133" s="12">
        <v>27000</v>
      </c>
      <c r="P133" s="3" t="s">
        <v>84</v>
      </c>
      <c r="Q133" s="1" cm="1">
        <f t="array" ref="Q133">VALUE(INDEX(_xlfn.TEXTSPLIT(P133, " "), 4))</f>
        <v>2014</v>
      </c>
      <c r="R133" s="1" t="str">
        <f t="shared" si="2"/>
        <v>Hyundai Santa Fe Limited</v>
      </c>
      <c r="S133" s="1" t="str" cm="1">
        <f t="array" ref="S133">_xlfn.IFS(I133 &gt;= 40, "High", I133&gt;=20, "Medium", I133&lt;20, "Low")</f>
        <v>Low</v>
      </c>
      <c r="T133" s="1" t="str" cm="1">
        <f t="array" ref="T133">_xlfn.IFS(O133&lt;18200, "Low", O133&lt;=50000, "Medium", O133&gt;50000, "High")</f>
        <v>Medium</v>
      </c>
    </row>
    <row r="134" spans="1:20" x14ac:dyDescent="0.25">
      <c r="A134" s="2">
        <v>2013</v>
      </c>
      <c r="B134" s="1" t="s">
        <v>98</v>
      </c>
      <c r="C134" s="1" t="s">
        <v>340</v>
      </c>
      <c r="D134" s="1" t="s">
        <v>341</v>
      </c>
      <c r="E134" s="1" t="s">
        <v>32</v>
      </c>
      <c r="F134" s="1" t="s">
        <v>20</v>
      </c>
      <c r="G134" s="1" t="s">
        <v>342</v>
      </c>
      <c r="H134" s="1" t="s">
        <v>22</v>
      </c>
      <c r="I134" s="1">
        <v>47</v>
      </c>
      <c r="J134" s="1">
        <v>21463</v>
      </c>
      <c r="K134" s="1" t="s">
        <v>34</v>
      </c>
      <c r="L134" s="1" t="s">
        <v>24</v>
      </c>
      <c r="M134" s="1" t="s">
        <v>343</v>
      </c>
      <c r="N134" s="1">
        <v>27100</v>
      </c>
      <c r="O134" s="12">
        <v>27400</v>
      </c>
      <c r="P134" s="3" t="s">
        <v>84</v>
      </c>
      <c r="Q134" s="1" cm="1">
        <f t="array" ref="Q134">VALUE(INDEX(_xlfn.TEXTSPLIT(P134, " "), 4))</f>
        <v>2014</v>
      </c>
      <c r="R134" s="1" t="str">
        <f t="shared" si="2"/>
        <v>Hyundai Genesis 5.0 R-Spec</v>
      </c>
      <c r="S134" s="1" t="str" cm="1">
        <f t="array" ref="S134">_xlfn.IFS(I134 &gt;= 40, "High", I134&gt;=20, "Medium", I134&lt;20, "Low")</f>
        <v>High</v>
      </c>
      <c r="T134" s="1" t="str" cm="1">
        <f t="array" ref="T134">_xlfn.IFS(O134&lt;18200, "Low", O134&lt;=50000, "Medium", O134&gt;50000, "High")</f>
        <v>Medium</v>
      </c>
    </row>
    <row r="135" spans="1:20" x14ac:dyDescent="0.25">
      <c r="A135" s="2">
        <v>2013</v>
      </c>
      <c r="B135" s="1" t="s">
        <v>98</v>
      </c>
      <c r="C135" s="1" t="s">
        <v>344</v>
      </c>
      <c r="D135" s="1" t="s">
        <v>345</v>
      </c>
      <c r="E135" s="1" t="s">
        <v>32</v>
      </c>
      <c r="F135" s="1" t="s">
        <v>20</v>
      </c>
      <c r="G135" s="1" t="s">
        <v>346</v>
      </c>
      <c r="H135" s="1" t="s">
        <v>22</v>
      </c>
      <c r="I135" s="1">
        <v>41</v>
      </c>
      <c r="J135" s="1">
        <v>22961</v>
      </c>
      <c r="K135" s="1" t="s">
        <v>34</v>
      </c>
      <c r="L135" s="1" t="s">
        <v>24</v>
      </c>
      <c r="M135" s="1" t="s">
        <v>339</v>
      </c>
      <c r="N135" s="1">
        <v>31500</v>
      </c>
      <c r="O135" s="12">
        <v>25000</v>
      </c>
      <c r="P135" s="3" t="s">
        <v>89</v>
      </c>
      <c r="Q135" s="1" cm="1">
        <f t="array" ref="Q135">VALUE(INDEX(_xlfn.TEXTSPLIT(P135, " "), 4))</f>
        <v>2015</v>
      </c>
      <c r="R135" s="1" t="str">
        <f t="shared" si="2"/>
        <v>Hyundai Equus Signature</v>
      </c>
      <c r="S135" s="1" t="str" cm="1">
        <f t="array" ref="S135">_xlfn.IFS(I135 &gt;= 40, "High", I135&gt;=20, "Medium", I135&lt;20, "Low")</f>
        <v>High</v>
      </c>
      <c r="T135" s="1" t="str" cm="1">
        <f t="array" ref="T135">_xlfn.IFS(O135&lt;18200, "Low", O135&lt;=50000, "Medium", O135&gt;50000, "High")</f>
        <v>Medium</v>
      </c>
    </row>
    <row r="136" spans="1:20" x14ac:dyDescent="0.25">
      <c r="A136" s="2">
        <v>2013</v>
      </c>
      <c r="B136" s="1" t="s">
        <v>318</v>
      </c>
      <c r="C136" s="1" t="s">
        <v>323</v>
      </c>
      <c r="D136" s="1" t="s">
        <v>324</v>
      </c>
      <c r="E136" s="1" t="s">
        <v>323</v>
      </c>
      <c r="F136" s="1" t="s">
        <v>20</v>
      </c>
      <c r="G136" s="1" t="s">
        <v>347</v>
      </c>
      <c r="H136" s="1" t="s">
        <v>22</v>
      </c>
      <c r="I136" s="1">
        <v>37</v>
      </c>
      <c r="J136" s="1">
        <v>21144</v>
      </c>
      <c r="K136" s="1" t="s">
        <v>101</v>
      </c>
      <c r="L136" s="1" t="s">
        <v>24</v>
      </c>
      <c r="M136" s="1" t="s">
        <v>322</v>
      </c>
      <c r="N136" s="1">
        <v>23100</v>
      </c>
      <c r="O136" s="12">
        <v>24250</v>
      </c>
      <c r="P136" s="3" t="s">
        <v>46</v>
      </c>
      <c r="Q136" s="1" cm="1">
        <f t="array" ref="Q136">VALUE(INDEX(_xlfn.TEXTSPLIT(P136, " "), 4))</f>
        <v>2014</v>
      </c>
      <c r="R136" s="1" t="str">
        <f t="shared" si="2"/>
        <v>Infiniti G Sedan G37 Journey</v>
      </c>
      <c r="S136" s="1" t="str" cm="1">
        <f t="array" ref="S136">_xlfn.IFS(I136 &gt;= 40, "High", I136&gt;=20, "Medium", I136&lt;20, "Low")</f>
        <v>Medium</v>
      </c>
      <c r="T136" s="1" t="str" cm="1">
        <f t="array" ref="T136">_xlfn.IFS(O136&lt;18200, "Low", O136&lt;=50000, "Medium", O136&gt;50000, "High")</f>
        <v>Medium</v>
      </c>
    </row>
    <row r="137" spans="1:20" x14ac:dyDescent="0.25">
      <c r="A137" s="2">
        <v>2013</v>
      </c>
      <c r="B137" s="1" t="s">
        <v>98</v>
      </c>
      <c r="C137" s="1" t="s">
        <v>219</v>
      </c>
      <c r="D137" s="1" t="s">
        <v>348</v>
      </c>
      <c r="E137" s="1" t="s">
        <v>32</v>
      </c>
      <c r="F137" s="1" t="s">
        <v>20</v>
      </c>
      <c r="G137" s="1" t="s">
        <v>349</v>
      </c>
      <c r="H137" s="1" t="s">
        <v>22</v>
      </c>
      <c r="I137" s="1">
        <v>26</v>
      </c>
      <c r="J137" s="1">
        <v>56651</v>
      </c>
      <c r="K137" s="1" t="s">
        <v>73</v>
      </c>
      <c r="L137" s="1" t="s">
        <v>28</v>
      </c>
      <c r="M137" s="1" t="s">
        <v>350</v>
      </c>
      <c r="N137" s="1">
        <v>10250</v>
      </c>
      <c r="O137" s="12">
        <v>10700</v>
      </c>
      <c r="P137" s="3" t="s">
        <v>84</v>
      </c>
      <c r="Q137" s="1" cm="1">
        <f t="array" ref="Q137">VALUE(INDEX(_xlfn.TEXTSPLIT(P137, " "), 4))</f>
        <v>2014</v>
      </c>
      <c r="R137" s="1" t="str">
        <f t="shared" si="2"/>
        <v>Hyundai Elantra GLS</v>
      </c>
      <c r="S137" s="1" t="str" cm="1">
        <f t="array" ref="S137">_xlfn.IFS(I137 &gt;= 40, "High", I137&gt;=20, "Medium", I137&lt;20, "Low")</f>
        <v>Medium</v>
      </c>
      <c r="T137" s="1" t="str" cm="1">
        <f t="array" ref="T137">_xlfn.IFS(O137&lt;18200, "Low", O137&lt;=50000, "Medium", O137&gt;50000, "High")</f>
        <v>Low</v>
      </c>
    </row>
    <row r="138" spans="1:20" x14ac:dyDescent="0.25">
      <c r="A138" s="2">
        <v>2013</v>
      </c>
      <c r="B138" s="1" t="s">
        <v>98</v>
      </c>
      <c r="C138" s="1" t="s">
        <v>336</v>
      </c>
      <c r="D138" s="1" t="s">
        <v>337</v>
      </c>
      <c r="E138" s="1" t="s">
        <v>19</v>
      </c>
      <c r="F138" s="1" t="s">
        <v>20</v>
      </c>
      <c r="G138" s="1" t="s">
        <v>351</v>
      </c>
      <c r="H138" s="1" t="s">
        <v>22</v>
      </c>
      <c r="I138" s="1">
        <v>5</v>
      </c>
      <c r="J138" s="1">
        <v>11439</v>
      </c>
      <c r="K138" s="1" t="s">
        <v>23</v>
      </c>
      <c r="L138" s="1" t="s">
        <v>132</v>
      </c>
      <c r="M138" s="1" t="s">
        <v>343</v>
      </c>
      <c r="N138" s="1">
        <v>28500</v>
      </c>
      <c r="O138" s="12">
        <v>30800</v>
      </c>
      <c r="P138" s="3" t="s">
        <v>84</v>
      </c>
      <c r="Q138" s="1" cm="1">
        <f t="array" ref="Q138">VALUE(INDEX(_xlfn.TEXTSPLIT(P138, " "), 4))</f>
        <v>2014</v>
      </c>
      <c r="R138" s="1" t="str">
        <f t="shared" si="2"/>
        <v>Hyundai Santa Fe Limited</v>
      </c>
      <c r="S138" s="1" t="str" cm="1">
        <f t="array" ref="S138">_xlfn.IFS(I138 &gt;= 40, "High", I138&gt;=20, "Medium", I138&lt;20, "Low")</f>
        <v>Low</v>
      </c>
      <c r="T138" s="1" t="str" cm="1">
        <f t="array" ref="T138">_xlfn.IFS(O138&lt;18200, "Low", O138&lt;=50000, "Medium", O138&gt;50000, "High")</f>
        <v>Medium</v>
      </c>
    </row>
    <row r="139" spans="1:20" x14ac:dyDescent="0.25">
      <c r="A139" s="2">
        <v>2013</v>
      </c>
      <c r="B139" s="1" t="s">
        <v>98</v>
      </c>
      <c r="C139" s="1" t="s">
        <v>219</v>
      </c>
      <c r="D139" s="1" t="s">
        <v>348</v>
      </c>
      <c r="E139" s="1" t="s">
        <v>32</v>
      </c>
      <c r="F139" s="1" t="s">
        <v>20</v>
      </c>
      <c r="G139" s="1" t="s">
        <v>352</v>
      </c>
      <c r="H139" s="1" t="s">
        <v>22</v>
      </c>
      <c r="I139" s="1">
        <v>44</v>
      </c>
      <c r="J139" s="1">
        <v>39935</v>
      </c>
      <c r="K139" s="1" t="s">
        <v>91</v>
      </c>
      <c r="L139" s="1" t="s">
        <v>34</v>
      </c>
      <c r="M139" s="1" t="s">
        <v>142</v>
      </c>
      <c r="N139" s="1">
        <v>11250</v>
      </c>
      <c r="O139" s="12">
        <v>11000</v>
      </c>
      <c r="P139" s="3" t="s">
        <v>57</v>
      </c>
      <c r="Q139" s="1" cm="1">
        <f t="array" ref="Q139">VALUE(INDEX(_xlfn.TEXTSPLIT(P139, " "), 4))</f>
        <v>2014</v>
      </c>
      <c r="R139" s="1" t="str">
        <f t="shared" si="2"/>
        <v>Hyundai Elantra GLS</v>
      </c>
      <c r="S139" s="1" t="str" cm="1">
        <f t="array" ref="S139">_xlfn.IFS(I139 &gt;= 40, "High", I139&gt;=20, "Medium", I139&lt;20, "Low")</f>
        <v>High</v>
      </c>
      <c r="T139" s="1" t="str" cm="1">
        <f t="array" ref="T139">_xlfn.IFS(O139&lt;18200, "Low", O139&lt;=50000, "Medium", O139&gt;50000, "High")</f>
        <v>Low</v>
      </c>
    </row>
    <row r="140" spans="1:20" x14ac:dyDescent="0.25">
      <c r="A140" s="2">
        <v>2013</v>
      </c>
      <c r="B140" s="1" t="s">
        <v>318</v>
      </c>
      <c r="C140" s="1" t="s">
        <v>319</v>
      </c>
      <c r="D140" s="1" t="s">
        <v>320</v>
      </c>
      <c r="E140" s="1" t="s">
        <v>319</v>
      </c>
      <c r="F140" s="1" t="s">
        <v>20</v>
      </c>
      <c r="G140" s="1" t="s">
        <v>353</v>
      </c>
      <c r="H140" s="1" t="s">
        <v>22</v>
      </c>
      <c r="I140" s="1">
        <v>41</v>
      </c>
      <c r="J140" s="1">
        <v>20317</v>
      </c>
      <c r="K140" s="1" t="s">
        <v>34</v>
      </c>
      <c r="L140" s="1" t="s">
        <v>24</v>
      </c>
      <c r="M140" s="1" t="s">
        <v>322</v>
      </c>
      <c r="N140" s="1">
        <v>25200</v>
      </c>
      <c r="O140" s="12">
        <v>26250</v>
      </c>
      <c r="P140" s="3" t="s">
        <v>46</v>
      </c>
      <c r="Q140" s="1" cm="1">
        <f t="array" ref="Q140">VALUE(INDEX(_xlfn.TEXTSPLIT(P140, " "), 4))</f>
        <v>2014</v>
      </c>
      <c r="R140" s="1" t="str">
        <f t="shared" si="2"/>
        <v>Infiniti G Coupe G37 Sport</v>
      </c>
      <c r="S140" s="1" t="str" cm="1">
        <f t="array" ref="S140">_xlfn.IFS(I140 &gt;= 40, "High", I140&gt;=20, "Medium", I140&lt;20, "Low")</f>
        <v>High</v>
      </c>
      <c r="T140" s="1" t="str" cm="1">
        <f t="array" ref="T140">_xlfn.IFS(O140&lt;18200, "Low", O140&lt;=50000, "Medium", O140&gt;50000, "High")</f>
        <v>Medium</v>
      </c>
    </row>
    <row r="141" spans="1:20" x14ac:dyDescent="0.25">
      <c r="A141" s="2">
        <v>2013</v>
      </c>
      <c r="B141" s="1" t="s">
        <v>98</v>
      </c>
      <c r="C141" s="1" t="s">
        <v>219</v>
      </c>
      <c r="D141" s="1" t="s">
        <v>348</v>
      </c>
      <c r="E141" s="1" t="s">
        <v>32</v>
      </c>
      <c r="F141" s="1" t="s">
        <v>20</v>
      </c>
      <c r="G141" s="1" t="s">
        <v>354</v>
      </c>
      <c r="H141" s="1" t="s">
        <v>22</v>
      </c>
      <c r="I141" s="1">
        <v>2</v>
      </c>
      <c r="J141" s="1">
        <v>37436</v>
      </c>
      <c r="K141" s="1" t="s">
        <v>91</v>
      </c>
      <c r="L141" s="1" t="s">
        <v>34</v>
      </c>
      <c r="M141" s="1" t="s">
        <v>51</v>
      </c>
      <c r="N141" s="1">
        <v>11400</v>
      </c>
      <c r="O141" s="12">
        <v>8800</v>
      </c>
      <c r="P141" s="3" t="s">
        <v>84</v>
      </c>
      <c r="Q141" s="1" cm="1">
        <f t="array" ref="Q141">VALUE(INDEX(_xlfn.TEXTSPLIT(P141, " "), 4))</f>
        <v>2014</v>
      </c>
      <c r="R141" s="1" t="str">
        <f t="shared" si="2"/>
        <v>Hyundai Elantra GLS</v>
      </c>
      <c r="S141" s="1" t="str" cm="1">
        <f t="array" ref="S141">_xlfn.IFS(I141 &gt;= 40, "High", I141&gt;=20, "Medium", I141&lt;20, "Low")</f>
        <v>Low</v>
      </c>
      <c r="T141" s="1" t="str" cm="1">
        <f t="array" ref="T141">_xlfn.IFS(O141&lt;18200, "Low", O141&lt;=50000, "Medium", O141&gt;50000, "High")</f>
        <v>Low</v>
      </c>
    </row>
    <row r="142" spans="1:20" x14ac:dyDescent="0.25">
      <c r="A142" s="2">
        <v>2013</v>
      </c>
      <c r="B142" s="1" t="s">
        <v>318</v>
      </c>
      <c r="C142" s="1" t="s">
        <v>323</v>
      </c>
      <c r="D142" s="1" t="s">
        <v>324</v>
      </c>
      <c r="E142" s="1" t="s">
        <v>323</v>
      </c>
      <c r="F142" s="1" t="s">
        <v>20</v>
      </c>
      <c r="G142" s="1" t="s">
        <v>355</v>
      </c>
      <c r="H142" s="1" t="s">
        <v>22</v>
      </c>
      <c r="I142" s="1">
        <v>35</v>
      </c>
      <c r="J142" s="1">
        <v>26888</v>
      </c>
      <c r="K142" s="1" t="s">
        <v>23</v>
      </c>
      <c r="L142" s="1" t="s">
        <v>34</v>
      </c>
      <c r="M142" s="1" t="s">
        <v>322</v>
      </c>
      <c r="N142" s="1">
        <v>22400</v>
      </c>
      <c r="O142" s="12">
        <v>23250</v>
      </c>
      <c r="P142" s="3" t="s">
        <v>46</v>
      </c>
      <c r="Q142" s="1" cm="1">
        <f t="array" ref="Q142">VALUE(INDEX(_xlfn.TEXTSPLIT(P142, " "), 4))</f>
        <v>2014</v>
      </c>
      <c r="R142" s="1" t="str">
        <f t="shared" si="2"/>
        <v>Infiniti G Sedan G37 Journey</v>
      </c>
      <c r="S142" s="1" t="str" cm="1">
        <f t="array" ref="S142">_xlfn.IFS(I142 &gt;= 40, "High", I142&gt;=20, "Medium", I142&lt;20, "Low")</f>
        <v>Medium</v>
      </c>
      <c r="T142" s="1" t="str" cm="1">
        <f t="array" ref="T142">_xlfn.IFS(O142&lt;18200, "Low", O142&lt;=50000, "Medium", O142&gt;50000, "High")</f>
        <v>Medium</v>
      </c>
    </row>
    <row r="143" spans="1:20" x14ac:dyDescent="0.25">
      <c r="A143" s="2">
        <v>2013</v>
      </c>
      <c r="B143" s="1" t="s">
        <v>318</v>
      </c>
      <c r="C143" s="1" t="s">
        <v>319</v>
      </c>
      <c r="D143" s="1" t="s">
        <v>320</v>
      </c>
      <c r="E143" s="1" t="s">
        <v>319</v>
      </c>
      <c r="F143" s="1" t="s">
        <v>20</v>
      </c>
      <c r="G143" s="1" t="s">
        <v>356</v>
      </c>
      <c r="H143" s="1" t="s">
        <v>22</v>
      </c>
      <c r="I143" s="1">
        <v>48</v>
      </c>
      <c r="J143" s="1">
        <v>7815</v>
      </c>
      <c r="K143" s="1" t="s">
        <v>23</v>
      </c>
      <c r="L143" s="1" t="s">
        <v>24</v>
      </c>
      <c r="M143" s="1" t="s">
        <v>322</v>
      </c>
      <c r="N143" s="1">
        <v>26800</v>
      </c>
      <c r="O143" s="12">
        <v>27000</v>
      </c>
      <c r="P143" s="3" t="s">
        <v>46</v>
      </c>
      <c r="Q143" s="1" cm="1">
        <f t="array" ref="Q143">VALUE(INDEX(_xlfn.TEXTSPLIT(P143, " "), 4))</f>
        <v>2014</v>
      </c>
      <c r="R143" s="1" t="str">
        <f t="shared" si="2"/>
        <v>Infiniti G Coupe G37 Sport</v>
      </c>
      <c r="S143" s="1" t="str" cm="1">
        <f t="array" ref="S143">_xlfn.IFS(I143 &gt;= 40, "High", I143&gt;=20, "Medium", I143&lt;20, "Low")</f>
        <v>High</v>
      </c>
      <c r="T143" s="1" t="str" cm="1">
        <f t="array" ref="T143">_xlfn.IFS(O143&lt;18200, "Low", O143&lt;=50000, "Medium", O143&gt;50000, "High")</f>
        <v>Medium</v>
      </c>
    </row>
    <row r="144" spans="1:20" x14ac:dyDescent="0.25">
      <c r="A144" s="2">
        <v>2013</v>
      </c>
      <c r="B144" s="1" t="s">
        <v>98</v>
      </c>
      <c r="C144" s="1" t="s">
        <v>99</v>
      </c>
      <c r="D144" s="1" t="s">
        <v>348</v>
      </c>
      <c r="E144" s="1" t="s">
        <v>32</v>
      </c>
      <c r="F144" s="1" t="s">
        <v>20</v>
      </c>
      <c r="G144" s="1" t="s">
        <v>357</v>
      </c>
      <c r="H144" s="1" t="s">
        <v>22</v>
      </c>
      <c r="I144" s="1">
        <v>43</v>
      </c>
      <c r="J144" s="1">
        <v>54830</v>
      </c>
      <c r="K144" s="1" t="s">
        <v>91</v>
      </c>
      <c r="L144" s="1" t="s">
        <v>34</v>
      </c>
      <c r="M144" s="1" t="s">
        <v>95</v>
      </c>
      <c r="N144" s="1">
        <v>10950</v>
      </c>
      <c r="O144" s="12">
        <v>11500</v>
      </c>
      <c r="P144" s="3" t="s">
        <v>57</v>
      </c>
      <c r="Q144" s="1" cm="1">
        <f t="array" ref="Q144">VALUE(INDEX(_xlfn.TEXTSPLIT(P144, " "), 4))</f>
        <v>2014</v>
      </c>
      <c r="R144" s="1" t="str">
        <f t="shared" si="2"/>
        <v>Hyundai Sonata GLS</v>
      </c>
      <c r="S144" s="1" t="str" cm="1">
        <f t="array" ref="S144">_xlfn.IFS(I144 &gt;= 40, "High", I144&gt;=20, "Medium", I144&lt;20, "Low")</f>
        <v>High</v>
      </c>
      <c r="T144" s="1" t="str" cm="1">
        <f t="array" ref="T144">_xlfn.IFS(O144&lt;18200, "Low", O144&lt;=50000, "Medium", O144&gt;50000, "High")</f>
        <v>Low</v>
      </c>
    </row>
    <row r="145" spans="1:20" x14ac:dyDescent="0.25">
      <c r="A145" s="2">
        <v>2013</v>
      </c>
      <c r="B145" s="1" t="s">
        <v>98</v>
      </c>
      <c r="C145" s="1" t="s">
        <v>219</v>
      </c>
      <c r="D145" s="1" t="s">
        <v>348</v>
      </c>
      <c r="E145" s="1" t="s">
        <v>32</v>
      </c>
      <c r="F145" s="1" t="s">
        <v>214</v>
      </c>
      <c r="G145" s="1" t="s">
        <v>358</v>
      </c>
      <c r="H145" s="1" t="s">
        <v>22</v>
      </c>
      <c r="I145" s="1">
        <v>49</v>
      </c>
      <c r="J145" s="1">
        <v>2606</v>
      </c>
      <c r="K145" s="1" t="s">
        <v>23</v>
      </c>
      <c r="L145" s="1" t="s">
        <v>28</v>
      </c>
      <c r="M145" s="1" t="s">
        <v>343</v>
      </c>
      <c r="N145" s="1">
        <v>13450</v>
      </c>
      <c r="O145" s="12">
        <v>12300</v>
      </c>
      <c r="P145" s="3" t="s">
        <v>84</v>
      </c>
      <c r="Q145" s="1" cm="1">
        <f t="array" ref="Q145">VALUE(INDEX(_xlfn.TEXTSPLIT(P145, " "), 4))</f>
        <v>2014</v>
      </c>
      <c r="R145" s="1" t="str">
        <f t="shared" si="2"/>
        <v>Hyundai Elantra GLS</v>
      </c>
      <c r="S145" s="1" t="str" cm="1">
        <f t="array" ref="S145">_xlfn.IFS(I145 &gt;= 40, "High", I145&gt;=20, "Medium", I145&lt;20, "Low")</f>
        <v>High</v>
      </c>
      <c r="T145" s="1" t="str" cm="1">
        <f t="array" ref="T145">_xlfn.IFS(O145&lt;18200, "Low", O145&lt;=50000, "Medium", O145&gt;50000, "High")</f>
        <v>Low</v>
      </c>
    </row>
    <row r="146" spans="1:20" x14ac:dyDescent="0.25">
      <c r="A146" s="2">
        <v>2013</v>
      </c>
      <c r="B146" s="1" t="s">
        <v>98</v>
      </c>
      <c r="C146" s="1" t="s">
        <v>99</v>
      </c>
      <c r="D146" s="1" t="s">
        <v>348</v>
      </c>
      <c r="E146" s="1" t="s">
        <v>32</v>
      </c>
      <c r="F146" s="1" t="s">
        <v>20</v>
      </c>
      <c r="G146" s="1" t="s">
        <v>359</v>
      </c>
      <c r="H146" s="1" t="s">
        <v>22</v>
      </c>
      <c r="I146" s="1">
        <v>39</v>
      </c>
      <c r="J146" s="1">
        <v>36416</v>
      </c>
      <c r="K146" s="1" t="s">
        <v>94</v>
      </c>
      <c r="L146" s="1" t="s">
        <v>34</v>
      </c>
      <c r="M146" s="1" t="s">
        <v>142</v>
      </c>
      <c r="N146" s="1">
        <v>12150</v>
      </c>
      <c r="O146" s="12">
        <v>11400</v>
      </c>
      <c r="P146" s="3" t="s">
        <v>57</v>
      </c>
      <c r="Q146" s="1" cm="1">
        <f t="array" ref="Q146">VALUE(INDEX(_xlfn.TEXTSPLIT(P146, " "), 4))</f>
        <v>2014</v>
      </c>
      <c r="R146" s="1" t="str">
        <f t="shared" si="2"/>
        <v>Hyundai Sonata GLS</v>
      </c>
      <c r="S146" s="1" t="str" cm="1">
        <f t="array" ref="S146">_xlfn.IFS(I146 &gt;= 40, "High", I146&gt;=20, "Medium", I146&lt;20, "Low")</f>
        <v>Medium</v>
      </c>
      <c r="T146" s="1" t="str" cm="1">
        <f t="array" ref="T146">_xlfn.IFS(O146&lt;18200, "Low", O146&lt;=50000, "Medium", O146&gt;50000, "High")</f>
        <v>Low</v>
      </c>
    </row>
    <row r="147" spans="1:20" x14ac:dyDescent="0.25">
      <c r="A147" s="2">
        <v>2013</v>
      </c>
      <c r="B147" s="1" t="s">
        <v>98</v>
      </c>
      <c r="C147" s="1" t="s">
        <v>219</v>
      </c>
      <c r="D147" s="1" t="s">
        <v>348</v>
      </c>
      <c r="E147" s="1" t="s">
        <v>32</v>
      </c>
      <c r="F147" s="1" t="s">
        <v>20</v>
      </c>
      <c r="G147" s="1" t="s">
        <v>360</v>
      </c>
      <c r="H147" s="1" t="s">
        <v>22</v>
      </c>
      <c r="I147" s="1">
        <v>45</v>
      </c>
      <c r="J147" s="1">
        <v>26412</v>
      </c>
      <c r="K147" s="1" t="s">
        <v>24</v>
      </c>
      <c r="L147" s="1" t="s">
        <v>28</v>
      </c>
      <c r="M147" s="1" t="s">
        <v>361</v>
      </c>
      <c r="N147" s="1">
        <v>12050</v>
      </c>
      <c r="O147" s="12">
        <v>11750</v>
      </c>
      <c r="P147" s="3" t="s">
        <v>362</v>
      </c>
      <c r="Q147" s="1" cm="1">
        <f t="array" ref="Q147">VALUE(INDEX(_xlfn.TEXTSPLIT(P147, " "), 4))</f>
        <v>2014</v>
      </c>
      <c r="R147" s="1" t="str">
        <f t="shared" si="2"/>
        <v>Hyundai Elantra GLS</v>
      </c>
      <c r="S147" s="1" t="str" cm="1">
        <f t="array" ref="S147">_xlfn.IFS(I147 &gt;= 40, "High", I147&gt;=20, "Medium", I147&lt;20, "Low")</f>
        <v>High</v>
      </c>
      <c r="T147" s="1" t="str" cm="1">
        <f t="array" ref="T147">_xlfn.IFS(O147&lt;18200, "Low", O147&lt;=50000, "Medium", O147&gt;50000, "High")</f>
        <v>Low</v>
      </c>
    </row>
    <row r="148" spans="1:20" x14ac:dyDescent="0.25">
      <c r="A148" s="2">
        <v>2013</v>
      </c>
      <c r="B148" s="1" t="s">
        <v>98</v>
      </c>
      <c r="C148" s="1" t="s">
        <v>363</v>
      </c>
      <c r="D148" s="1" t="s">
        <v>337</v>
      </c>
      <c r="E148" s="1" t="s">
        <v>32</v>
      </c>
      <c r="F148" s="1" t="s">
        <v>20</v>
      </c>
      <c r="G148" s="1" t="s">
        <v>364</v>
      </c>
      <c r="H148" s="1" t="s">
        <v>22</v>
      </c>
      <c r="I148" s="1">
        <v>21</v>
      </c>
      <c r="J148" s="1">
        <v>11099</v>
      </c>
      <c r="K148" s="1" t="s">
        <v>91</v>
      </c>
      <c r="L148" s="1" t="s">
        <v>34</v>
      </c>
      <c r="M148" s="1" t="s">
        <v>343</v>
      </c>
      <c r="N148" s="1">
        <v>19650</v>
      </c>
      <c r="O148" s="12">
        <v>16500</v>
      </c>
      <c r="P148" s="3" t="s">
        <v>365</v>
      </c>
      <c r="Q148" s="1" cm="1">
        <f t="array" ref="Q148">VALUE(INDEX(_xlfn.TEXTSPLIT(P148, " "), 4))</f>
        <v>2015</v>
      </c>
      <c r="R148" s="1" t="str">
        <f t="shared" si="2"/>
        <v>Hyundai Sonata Hybrid Limited</v>
      </c>
      <c r="S148" s="1" t="str" cm="1">
        <f t="array" ref="S148">_xlfn.IFS(I148 &gt;= 40, "High", I148&gt;=20, "Medium", I148&lt;20, "Low")</f>
        <v>Medium</v>
      </c>
      <c r="T148" s="1" t="str" cm="1">
        <f t="array" ref="T148">_xlfn.IFS(O148&lt;18200, "Low", O148&lt;=50000, "Medium", O148&gt;50000, "High")</f>
        <v>Low</v>
      </c>
    </row>
    <row r="149" spans="1:20" x14ac:dyDescent="0.25">
      <c r="A149" s="2">
        <v>2013</v>
      </c>
      <c r="B149" s="1" t="s">
        <v>318</v>
      </c>
      <c r="C149" s="1" t="s">
        <v>323</v>
      </c>
      <c r="D149" s="1" t="s">
        <v>324</v>
      </c>
      <c r="E149" s="1" t="s">
        <v>323</v>
      </c>
      <c r="F149" s="1" t="s">
        <v>20</v>
      </c>
      <c r="G149" s="1" t="s">
        <v>366</v>
      </c>
      <c r="H149" s="1" t="s">
        <v>22</v>
      </c>
      <c r="I149" s="1">
        <v>45</v>
      </c>
      <c r="J149" s="1">
        <v>11250</v>
      </c>
      <c r="K149" s="1" t="s">
        <v>24</v>
      </c>
      <c r="L149" s="1" t="s">
        <v>24</v>
      </c>
      <c r="M149" s="1" t="s">
        <v>322</v>
      </c>
      <c r="N149" s="1">
        <v>24300</v>
      </c>
      <c r="O149" s="12">
        <v>23500</v>
      </c>
      <c r="P149" s="3" t="s">
        <v>46</v>
      </c>
      <c r="Q149" s="1" cm="1">
        <f t="array" ref="Q149">VALUE(INDEX(_xlfn.TEXTSPLIT(P149, " "), 4))</f>
        <v>2014</v>
      </c>
      <c r="R149" s="1" t="str">
        <f t="shared" si="2"/>
        <v>Infiniti G Sedan G37 Journey</v>
      </c>
      <c r="S149" s="1" t="str" cm="1">
        <f t="array" ref="S149">_xlfn.IFS(I149 &gt;= 40, "High", I149&gt;=20, "Medium", I149&lt;20, "Low")</f>
        <v>High</v>
      </c>
      <c r="T149" s="1" t="str" cm="1">
        <f t="array" ref="T149">_xlfn.IFS(O149&lt;18200, "Low", O149&lt;=50000, "Medium", O149&gt;50000, "High")</f>
        <v>Medium</v>
      </c>
    </row>
    <row r="150" spans="1:20" x14ac:dyDescent="0.25">
      <c r="A150" s="2">
        <v>2013</v>
      </c>
      <c r="B150" s="1" t="s">
        <v>98</v>
      </c>
      <c r="C150" s="1" t="s">
        <v>363</v>
      </c>
      <c r="D150" s="1" t="s">
        <v>337</v>
      </c>
      <c r="E150" s="1" t="s">
        <v>32</v>
      </c>
      <c r="F150" s="1" t="s">
        <v>20</v>
      </c>
      <c r="G150" s="1" t="s">
        <v>367</v>
      </c>
      <c r="H150" s="1" t="s">
        <v>22</v>
      </c>
      <c r="I150" s="1">
        <v>48</v>
      </c>
      <c r="J150" s="1">
        <v>16386</v>
      </c>
      <c r="K150" s="1" t="s">
        <v>23</v>
      </c>
      <c r="L150" s="1" t="s">
        <v>34</v>
      </c>
      <c r="M150" s="1" t="s">
        <v>343</v>
      </c>
      <c r="N150" s="1">
        <v>18000</v>
      </c>
      <c r="O150" s="12">
        <v>18800</v>
      </c>
      <c r="P150" s="3" t="s">
        <v>84</v>
      </c>
      <c r="Q150" s="1" cm="1">
        <f t="array" ref="Q150">VALUE(INDEX(_xlfn.TEXTSPLIT(P150, " "), 4))</f>
        <v>2014</v>
      </c>
      <c r="R150" s="1" t="str">
        <f t="shared" si="2"/>
        <v>Hyundai Sonata Hybrid Limited</v>
      </c>
      <c r="S150" s="1" t="str" cm="1">
        <f t="array" ref="S150">_xlfn.IFS(I150 &gt;= 40, "High", I150&gt;=20, "Medium", I150&lt;20, "Low")</f>
        <v>High</v>
      </c>
      <c r="T150" s="1" t="str" cm="1">
        <f t="array" ref="T150">_xlfn.IFS(O150&lt;18200, "Low", O150&lt;=50000, "Medium", O150&gt;50000, "High")</f>
        <v>Medium</v>
      </c>
    </row>
    <row r="151" spans="1:20" x14ac:dyDescent="0.25">
      <c r="A151" s="2">
        <v>2013</v>
      </c>
      <c r="B151" s="1" t="s">
        <v>98</v>
      </c>
      <c r="C151" s="1" t="s">
        <v>336</v>
      </c>
      <c r="D151" s="1" t="s">
        <v>368</v>
      </c>
      <c r="E151" s="1" t="s">
        <v>19</v>
      </c>
      <c r="F151" s="1" t="s">
        <v>20</v>
      </c>
      <c r="G151" s="1" t="s">
        <v>369</v>
      </c>
      <c r="H151" s="1" t="s">
        <v>22</v>
      </c>
      <c r="I151" s="1">
        <v>48</v>
      </c>
      <c r="J151" s="1">
        <v>20663</v>
      </c>
      <c r="K151" s="1" t="s">
        <v>34</v>
      </c>
      <c r="L151" s="1" t="s">
        <v>34</v>
      </c>
      <c r="M151" s="1" t="s">
        <v>343</v>
      </c>
      <c r="N151" s="1">
        <v>19500</v>
      </c>
      <c r="O151" s="12">
        <v>19200</v>
      </c>
      <c r="P151" s="3" t="s">
        <v>84</v>
      </c>
      <c r="Q151" s="1" cm="1">
        <f t="array" ref="Q151">VALUE(INDEX(_xlfn.TEXTSPLIT(P151, " "), 4))</f>
        <v>2014</v>
      </c>
      <c r="R151" s="1" t="str">
        <f t="shared" si="2"/>
        <v>Hyundai Santa Fe Sport</v>
      </c>
      <c r="S151" s="1" t="str" cm="1">
        <f t="array" ref="S151">_xlfn.IFS(I151 &gt;= 40, "High", I151&gt;=20, "Medium", I151&lt;20, "Low")</f>
        <v>High</v>
      </c>
      <c r="T151" s="1" t="str" cm="1">
        <f t="array" ref="T151">_xlfn.IFS(O151&lt;18200, "Low", O151&lt;=50000, "Medium", O151&gt;50000, "High")</f>
        <v>Medium</v>
      </c>
    </row>
    <row r="152" spans="1:20" x14ac:dyDescent="0.25">
      <c r="A152" s="2">
        <v>2013</v>
      </c>
      <c r="B152" s="1" t="s">
        <v>318</v>
      </c>
      <c r="C152" s="1" t="s">
        <v>323</v>
      </c>
      <c r="D152" s="1" t="s">
        <v>324</v>
      </c>
      <c r="E152" s="1" t="s">
        <v>323</v>
      </c>
      <c r="F152" s="1" t="s">
        <v>20</v>
      </c>
      <c r="G152" s="1" t="s">
        <v>370</v>
      </c>
      <c r="H152" s="1" t="s">
        <v>22</v>
      </c>
      <c r="I152" s="1">
        <v>43</v>
      </c>
      <c r="J152" s="1">
        <v>16154</v>
      </c>
      <c r="K152" s="1" t="s">
        <v>34</v>
      </c>
      <c r="L152" s="1" t="s">
        <v>24</v>
      </c>
      <c r="M152" s="1" t="s">
        <v>322</v>
      </c>
      <c r="N152" s="1">
        <v>23700</v>
      </c>
      <c r="O152" s="12">
        <v>22750</v>
      </c>
      <c r="P152" s="3" t="s">
        <v>46</v>
      </c>
      <c r="Q152" s="1" cm="1">
        <f t="array" ref="Q152">VALUE(INDEX(_xlfn.TEXTSPLIT(P152, " "), 4))</f>
        <v>2014</v>
      </c>
      <c r="R152" s="1" t="str">
        <f t="shared" si="2"/>
        <v>Infiniti G Sedan G37 Journey</v>
      </c>
      <c r="S152" s="1" t="str" cm="1">
        <f t="array" ref="S152">_xlfn.IFS(I152 &gt;= 40, "High", I152&gt;=20, "Medium", I152&lt;20, "Low")</f>
        <v>High</v>
      </c>
      <c r="T152" s="1" t="str" cm="1">
        <f t="array" ref="T152">_xlfn.IFS(O152&lt;18200, "Low", O152&lt;=50000, "Medium", O152&gt;50000, "High")</f>
        <v>Medium</v>
      </c>
    </row>
    <row r="153" spans="1:20" x14ac:dyDescent="0.25">
      <c r="A153" s="2">
        <v>2013</v>
      </c>
      <c r="B153" s="1" t="s">
        <v>318</v>
      </c>
      <c r="C153" s="1" t="s">
        <v>323</v>
      </c>
      <c r="D153" s="1" t="s">
        <v>324</v>
      </c>
      <c r="E153" s="1" t="s">
        <v>323</v>
      </c>
      <c r="F153" s="1" t="s">
        <v>20</v>
      </c>
      <c r="G153" s="1" t="s">
        <v>371</v>
      </c>
      <c r="H153" s="1" t="s">
        <v>22</v>
      </c>
      <c r="I153" s="1">
        <v>42</v>
      </c>
      <c r="J153" s="1">
        <v>22405</v>
      </c>
      <c r="K153" s="1" t="s">
        <v>34</v>
      </c>
      <c r="L153" s="1" t="s">
        <v>34</v>
      </c>
      <c r="M153" s="1" t="s">
        <v>322</v>
      </c>
      <c r="N153" s="1">
        <v>23000</v>
      </c>
      <c r="O153" s="12">
        <v>23000</v>
      </c>
      <c r="P153" s="3" t="s">
        <v>46</v>
      </c>
      <c r="Q153" s="1" cm="1">
        <f t="array" ref="Q153">VALUE(INDEX(_xlfn.TEXTSPLIT(P153, " "), 4))</f>
        <v>2014</v>
      </c>
      <c r="R153" s="1" t="str">
        <f t="shared" si="2"/>
        <v>Infiniti G Sedan G37 Journey</v>
      </c>
      <c r="S153" s="1" t="str" cm="1">
        <f t="array" ref="S153">_xlfn.IFS(I153 &gt;= 40, "High", I153&gt;=20, "Medium", I153&lt;20, "Low")</f>
        <v>High</v>
      </c>
      <c r="T153" s="1" t="str" cm="1">
        <f t="array" ref="T153">_xlfn.IFS(O153&lt;18200, "Low", O153&lt;=50000, "Medium", O153&gt;50000, "High")</f>
        <v>Medium</v>
      </c>
    </row>
    <row r="154" spans="1:20" x14ac:dyDescent="0.25">
      <c r="A154" s="2">
        <v>2013</v>
      </c>
      <c r="B154" s="1" t="s">
        <v>318</v>
      </c>
      <c r="C154" s="1" t="s">
        <v>323</v>
      </c>
      <c r="D154" s="1" t="s">
        <v>324</v>
      </c>
      <c r="E154" s="1" t="s">
        <v>323</v>
      </c>
      <c r="F154" s="1" t="s">
        <v>20</v>
      </c>
      <c r="G154" s="1" t="s">
        <v>372</v>
      </c>
      <c r="H154" s="1" t="s">
        <v>22</v>
      </c>
      <c r="I154" s="1">
        <v>38</v>
      </c>
      <c r="J154" s="1">
        <v>28172</v>
      </c>
      <c r="K154" s="1" t="s">
        <v>91</v>
      </c>
      <c r="L154" s="1" t="s">
        <v>24</v>
      </c>
      <c r="M154" s="1" t="s">
        <v>322</v>
      </c>
      <c r="N154" s="1">
        <v>22300</v>
      </c>
      <c r="O154" s="12">
        <v>21000</v>
      </c>
      <c r="P154" s="3" t="s">
        <v>46</v>
      </c>
      <c r="Q154" s="1" cm="1">
        <f t="array" ref="Q154">VALUE(INDEX(_xlfn.TEXTSPLIT(P154, " "), 4))</f>
        <v>2014</v>
      </c>
      <c r="R154" s="1" t="str">
        <f t="shared" si="2"/>
        <v>Infiniti G Sedan G37 Journey</v>
      </c>
      <c r="S154" s="1" t="str" cm="1">
        <f t="array" ref="S154">_xlfn.IFS(I154 &gt;= 40, "High", I154&gt;=20, "Medium", I154&lt;20, "Low")</f>
        <v>Medium</v>
      </c>
      <c r="T154" s="1" t="str" cm="1">
        <f t="array" ref="T154">_xlfn.IFS(O154&lt;18200, "Low", O154&lt;=50000, "Medium", O154&gt;50000, "High")</f>
        <v>Medium</v>
      </c>
    </row>
    <row r="155" spans="1:20" x14ac:dyDescent="0.25">
      <c r="A155" s="2">
        <v>2013</v>
      </c>
      <c r="B155" s="1" t="s">
        <v>318</v>
      </c>
      <c r="C155" s="1" t="s">
        <v>323</v>
      </c>
      <c r="D155" s="1" t="s">
        <v>324</v>
      </c>
      <c r="E155" s="1" t="s">
        <v>323</v>
      </c>
      <c r="F155" s="1" t="s">
        <v>20</v>
      </c>
      <c r="G155" s="1" t="s">
        <v>373</v>
      </c>
      <c r="H155" s="1" t="s">
        <v>22</v>
      </c>
      <c r="I155" s="1">
        <v>47</v>
      </c>
      <c r="J155" s="1">
        <v>18600</v>
      </c>
      <c r="K155" s="1" t="s">
        <v>23</v>
      </c>
      <c r="L155" s="1" t="s">
        <v>24</v>
      </c>
      <c r="M155" s="1" t="s">
        <v>322</v>
      </c>
      <c r="N155" s="1">
        <v>23400</v>
      </c>
      <c r="O155" s="12">
        <v>24750</v>
      </c>
      <c r="P155" s="3" t="s">
        <v>46</v>
      </c>
      <c r="Q155" s="1" cm="1">
        <f t="array" ref="Q155">VALUE(INDEX(_xlfn.TEXTSPLIT(P155, " "), 4))</f>
        <v>2014</v>
      </c>
      <c r="R155" s="1" t="str">
        <f t="shared" si="2"/>
        <v>Infiniti G Sedan G37 Journey</v>
      </c>
      <c r="S155" s="1" t="str" cm="1">
        <f t="array" ref="S155">_xlfn.IFS(I155 &gt;= 40, "High", I155&gt;=20, "Medium", I155&lt;20, "Low")</f>
        <v>High</v>
      </c>
      <c r="T155" s="1" t="str" cm="1">
        <f t="array" ref="T155">_xlfn.IFS(O155&lt;18200, "Low", O155&lt;=50000, "Medium", O155&gt;50000, "High")</f>
        <v>Medium</v>
      </c>
    </row>
    <row r="156" spans="1:20" x14ac:dyDescent="0.25">
      <c r="A156" s="2">
        <v>2013</v>
      </c>
      <c r="B156" s="1" t="s">
        <v>318</v>
      </c>
      <c r="C156" s="1" t="s">
        <v>319</v>
      </c>
      <c r="D156" s="1" t="s">
        <v>320</v>
      </c>
      <c r="E156" s="1" t="s">
        <v>319</v>
      </c>
      <c r="F156" s="1" t="s">
        <v>20</v>
      </c>
      <c r="G156" s="1" t="s">
        <v>374</v>
      </c>
      <c r="H156" s="1" t="s">
        <v>22</v>
      </c>
      <c r="I156" s="1">
        <v>43</v>
      </c>
      <c r="J156" s="1">
        <v>17523</v>
      </c>
      <c r="K156" s="1" t="s">
        <v>101</v>
      </c>
      <c r="L156" s="1" t="s">
        <v>24</v>
      </c>
      <c r="M156" s="1" t="s">
        <v>322</v>
      </c>
      <c r="N156" s="1">
        <v>25600</v>
      </c>
      <c r="O156" s="12">
        <v>26500</v>
      </c>
      <c r="P156" s="3" t="s">
        <v>46</v>
      </c>
      <c r="Q156" s="1" cm="1">
        <f t="array" ref="Q156">VALUE(INDEX(_xlfn.TEXTSPLIT(P156, " "), 4))</f>
        <v>2014</v>
      </c>
      <c r="R156" s="1" t="str">
        <f t="shared" si="2"/>
        <v>Infiniti G Coupe G37 Sport</v>
      </c>
      <c r="S156" s="1" t="str" cm="1">
        <f t="array" ref="S156">_xlfn.IFS(I156 &gt;= 40, "High", I156&gt;=20, "Medium", I156&lt;20, "Low")</f>
        <v>High</v>
      </c>
      <c r="T156" s="1" t="str" cm="1">
        <f t="array" ref="T156">_xlfn.IFS(O156&lt;18200, "Low", O156&lt;=50000, "Medium", O156&gt;50000, "High")</f>
        <v>Medium</v>
      </c>
    </row>
    <row r="157" spans="1:20" x14ac:dyDescent="0.25">
      <c r="A157" s="2">
        <v>2013</v>
      </c>
      <c r="B157" s="1" t="s">
        <v>318</v>
      </c>
      <c r="C157" s="1" t="s">
        <v>323</v>
      </c>
      <c r="D157" s="1" t="s">
        <v>324</v>
      </c>
      <c r="E157" s="1" t="s">
        <v>323</v>
      </c>
      <c r="F157" s="1" t="s">
        <v>20</v>
      </c>
      <c r="G157" s="1" t="s">
        <v>375</v>
      </c>
      <c r="H157" s="1" t="s">
        <v>22</v>
      </c>
      <c r="I157" s="1">
        <v>4</v>
      </c>
      <c r="J157" s="1">
        <v>11440</v>
      </c>
      <c r="K157" s="1" t="s">
        <v>24</v>
      </c>
      <c r="L157" s="1" t="s">
        <v>24</v>
      </c>
      <c r="M157" s="1" t="s">
        <v>322</v>
      </c>
      <c r="N157" s="1">
        <v>24300</v>
      </c>
      <c r="O157" s="12">
        <v>23000</v>
      </c>
      <c r="P157" s="3" t="s">
        <v>46</v>
      </c>
      <c r="Q157" s="1" cm="1">
        <f t="array" ref="Q157">VALUE(INDEX(_xlfn.TEXTSPLIT(P157, " "), 4))</f>
        <v>2014</v>
      </c>
      <c r="R157" s="1" t="str">
        <f t="shared" si="2"/>
        <v>Infiniti G Sedan G37 Journey</v>
      </c>
      <c r="S157" s="1" t="str" cm="1">
        <f t="array" ref="S157">_xlfn.IFS(I157 &gt;= 40, "High", I157&gt;=20, "Medium", I157&lt;20, "Low")</f>
        <v>Low</v>
      </c>
      <c r="T157" s="1" t="str" cm="1">
        <f t="array" ref="T157">_xlfn.IFS(O157&lt;18200, "Low", O157&lt;=50000, "Medium", O157&gt;50000, "High")</f>
        <v>Medium</v>
      </c>
    </row>
    <row r="158" spans="1:20" x14ac:dyDescent="0.25">
      <c r="A158" s="2">
        <v>2013</v>
      </c>
      <c r="B158" s="1" t="s">
        <v>98</v>
      </c>
      <c r="C158" s="1" t="s">
        <v>99</v>
      </c>
      <c r="D158" s="1" t="s">
        <v>348</v>
      </c>
      <c r="E158" s="1" t="s">
        <v>32</v>
      </c>
      <c r="F158" s="1" t="s">
        <v>20</v>
      </c>
      <c r="G158" s="1" t="s">
        <v>376</v>
      </c>
      <c r="H158" s="1" t="s">
        <v>22</v>
      </c>
      <c r="I158" s="1">
        <v>36</v>
      </c>
      <c r="J158" s="1">
        <v>28231</v>
      </c>
      <c r="K158" s="1" t="s">
        <v>34</v>
      </c>
      <c r="L158" s="1" t="s">
        <v>34</v>
      </c>
      <c r="M158" s="1" t="s">
        <v>377</v>
      </c>
      <c r="N158" s="1">
        <v>12650</v>
      </c>
      <c r="O158" s="12">
        <v>13400</v>
      </c>
      <c r="P158" s="3" t="s">
        <v>57</v>
      </c>
      <c r="Q158" s="1" cm="1">
        <f t="array" ref="Q158">VALUE(INDEX(_xlfn.TEXTSPLIT(P158, " "), 4))</f>
        <v>2014</v>
      </c>
      <c r="R158" s="1" t="str">
        <f t="shared" si="2"/>
        <v>Hyundai Sonata GLS</v>
      </c>
      <c r="S158" s="1" t="str" cm="1">
        <f t="array" ref="S158">_xlfn.IFS(I158 &gt;= 40, "High", I158&gt;=20, "Medium", I158&lt;20, "Low")</f>
        <v>Medium</v>
      </c>
      <c r="T158" s="1" t="str" cm="1">
        <f t="array" ref="T158">_xlfn.IFS(O158&lt;18200, "Low", O158&lt;=50000, "Medium", O158&gt;50000, "High")</f>
        <v>Low</v>
      </c>
    </row>
    <row r="159" spans="1:20" x14ac:dyDescent="0.25">
      <c r="A159" s="2">
        <v>2013</v>
      </c>
      <c r="B159" s="1" t="s">
        <v>98</v>
      </c>
      <c r="C159" s="1" t="s">
        <v>336</v>
      </c>
      <c r="D159" s="1" t="s">
        <v>337</v>
      </c>
      <c r="E159" s="1" t="s">
        <v>19</v>
      </c>
      <c r="F159" s="1" t="s">
        <v>20</v>
      </c>
      <c r="G159" s="1" t="s">
        <v>378</v>
      </c>
      <c r="H159" s="1" t="s">
        <v>22</v>
      </c>
      <c r="I159" s="1">
        <v>42</v>
      </c>
      <c r="J159" s="1">
        <v>13225</v>
      </c>
      <c r="K159" s="1" t="s">
        <v>24</v>
      </c>
      <c r="L159" s="1" t="s">
        <v>132</v>
      </c>
      <c r="M159" s="1" t="s">
        <v>343</v>
      </c>
      <c r="N159" s="1">
        <v>23400</v>
      </c>
      <c r="O159" s="12">
        <v>26000</v>
      </c>
      <c r="P159" s="3" t="s">
        <v>84</v>
      </c>
      <c r="Q159" s="1" cm="1">
        <f t="array" ref="Q159">VALUE(INDEX(_xlfn.TEXTSPLIT(P159, " "), 4))</f>
        <v>2014</v>
      </c>
      <c r="R159" s="1" t="str">
        <f t="shared" si="2"/>
        <v>Hyundai Santa Fe Limited</v>
      </c>
      <c r="S159" s="1" t="str" cm="1">
        <f t="array" ref="S159">_xlfn.IFS(I159 &gt;= 40, "High", I159&gt;=20, "Medium", I159&lt;20, "Low")</f>
        <v>High</v>
      </c>
      <c r="T159" s="1" t="str" cm="1">
        <f t="array" ref="T159">_xlfn.IFS(O159&lt;18200, "Low", O159&lt;=50000, "Medium", O159&gt;50000, "High")</f>
        <v>Medium</v>
      </c>
    </row>
    <row r="160" spans="1:20" x14ac:dyDescent="0.25">
      <c r="A160" s="2">
        <v>2013</v>
      </c>
      <c r="B160" s="1" t="s">
        <v>98</v>
      </c>
      <c r="C160" s="1" t="s">
        <v>99</v>
      </c>
      <c r="D160" s="1" t="s">
        <v>348</v>
      </c>
      <c r="E160" s="1" t="s">
        <v>32</v>
      </c>
      <c r="F160" s="1" t="s">
        <v>20</v>
      </c>
      <c r="G160" s="1" t="s">
        <v>379</v>
      </c>
      <c r="H160" s="1" t="s">
        <v>22</v>
      </c>
      <c r="I160" s="1">
        <v>35</v>
      </c>
      <c r="J160" s="1">
        <v>41888</v>
      </c>
      <c r="K160" s="1" t="s">
        <v>34</v>
      </c>
      <c r="L160" s="1" t="s">
        <v>34</v>
      </c>
      <c r="M160" s="1" t="s">
        <v>182</v>
      </c>
      <c r="N160" s="1">
        <v>11800</v>
      </c>
      <c r="O160" s="12">
        <v>11900</v>
      </c>
      <c r="P160" s="3" t="s">
        <v>270</v>
      </c>
      <c r="Q160" s="1" cm="1">
        <f t="array" ref="Q160">VALUE(INDEX(_xlfn.TEXTSPLIT(P160, " "), 4))</f>
        <v>2014</v>
      </c>
      <c r="R160" s="1" t="str">
        <f t="shared" si="2"/>
        <v>Hyundai Sonata GLS</v>
      </c>
      <c r="S160" s="1" t="str" cm="1">
        <f t="array" ref="S160">_xlfn.IFS(I160 &gt;= 40, "High", I160&gt;=20, "Medium", I160&lt;20, "Low")</f>
        <v>Medium</v>
      </c>
      <c r="T160" s="1" t="str" cm="1">
        <f t="array" ref="T160">_xlfn.IFS(O160&lt;18200, "Low", O160&lt;=50000, "Medium", O160&gt;50000, "High")</f>
        <v>Low</v>
      </c>
    </row>
    <row r="161" spans="1:20" x14ac:dyDescent="0.25">
      <c r="A161" s="2">
        <v>2013</v>
      </c>
      <c r="B161" s="1" t="s">
        <v>98</v>
      </c>
      <c r="C161" s="1" t="s">
        <v>99</v>
      </c>
      <c r="D161" s="1" t="s">
        <v>337</v>
      </c>
      <c r="E161" s="1" t="s">
        <v>32</v>
      </c>
      <c r="F161" s="1" t="s">
        <v>20</v>
      </c>
      <c r="G161" s="1" t="s">
        <v>380</v>
      </c>
      <c r="H161" s="1" t="s">
        <v>22</v>
      </c>
      <c r="I161" s="1">
        <v>37</v>
      </c>
      <c r="J161" s="1">
        <v>35428</v>
      </c>
      <c r="K161" s="1" t="s">
        <v>24</v>
      </c>
      <c r="L161" s="1" t="s">
        <v>28</v>
      </c>
      <c r="M161" s="1" t="s">
        <v>350</v>
      </c>
      <c r="N161" s="1">
        <v>16000</v>
      </c>
      <c r="O161" s="12">
        <v>16200</v>
      </c>
      <c r="P161" s="3" t="s">
        <v>164</v>
      </c>
      <c r="Q161" s="1" cm="1">
        <f t="array" ref="Q161">VALUE(INDEX(_xlfn.TEXTSPLIT(P161, " "), 4))</f>
        <v>2015</v>
      </c>
      <c r="R161" s="1" t="str">
        <f t="shared" si="2"/>
        <v>Hyundai Sonata Limited</v>
      </c>
      <c r="S161" s="1" t="str" cm="1">
        <f t="array" ref="S161">_xlfn.IFS(I161 &gt;= 40, "High", I161&gt;=20, "Medium", I161&lt;20, "Low")</f>
        <v>Medium</v>
      </c>
      <c r="T161" s="1" t="str" cm="1">
        <f t="array" ref="T161">_xlfn.IFS(O161&lt;18200, "Low", O161&lt;=50000, "Medium", O161&gt;50000, "High")</f>
        <v>Low</v>
      </c>
    </row>
    <row r="162" spans="1:20" x14ac:dyDescent="0.25">
      <c r="A162" s="2">
        <v>2013</v>
      </c>
      <c r="B162" s="1" t="s">
        <v>98</v>
      </c>
      <c r="C162" s="1" t="s">
        <v>219</v>
      </c>
      <c r="D162" s="1" t="s">
        <v>348</v>
      </c>
      <c r="E162" s="1" t="s">
        <v>32</v>
      </c>
      <c r="F162" s="1" t="s">
        <v>20</v>
      </c>
      <c r="G162" s="1" t="s">
        <v>381</v>
      </c>
      <c r="H162" s="1" t="s">
        <v>22</v>
      </c>
      <c r="I162" s="1">
        <v>35</v>
      </c>
      <c r="J162" s="1">
        <v>36307</v>
      </c>
      <c r="K162" s="1" t="s">
        <v>34</v>
      </c>
      <c r="L162" s="1" t="s">
        <v>34</v>
      </c>
      <c r="M162" s="1" t="s">
        <v>142</v>
      </c>
      <c r="N162" s="1">
        <v>11500</v>
      </c>
      <c r="O162" s="12">
        <v>11700</v>
      </c>
      <c r="P162" s="3" t="s">
        <v>26</v>
      </c>
      <c r="Q162" s="1" cm="1">
        <f t="array" ref="Q162">VALUE(INDEX(_xlfn.TEXTSPLIT(P162, " "), 4))</f>
        <v>2014</v>
      </c>
      <c r="R162" s="1" t="str">
        <f t="shared" si="2"/>
        <v>Hyundai Elantra GLS</v>
      </c>
      <c r="S162" s="1" t="str" cm="1">
        <f t="array" ref="S162">_xlfn.IFS(I162 &gt;= 40, "High", I162&gt;=20, "Medium", I162&lt;20, "Low")</f>
        <v>Medium</v>
      </c>
      <c r="T162" s="1" t="str" cm="1">
        <f t="array" ref="T162">_xlfn.IFS(O162&lt;18200, "Low", O162&lt;=50000, "Medium", O162&gt;50000, "High")</f>
        <v>Low</v>
      </c>
    </row>
    <row r="163" spans="1:20" x14ac:dyDescent="0.25">
      <c r="A163" s="2">
        <v>2013</v>
      </c>
      <c r="B163" s="1" t="s">
        <v>98</v>
      </c>
      <c r="C163" s="1" t="s">
        <v>363</v>
      </c>
      <c r="D163" s="1" t="s">
        <v>337</v>
      </c>
      <c r="E163" s="1" t="s">
        <v>32</v>
      </c>
      <c r="F163" s="1" t="s">
        <v>20</v>
      </c>
      <c r="G163" s="1" t="s">
        <v>382</v>
      </c>
      <c r="H163" s="1" t="s">
        <v>22</v>
      </c>
      <c r="I163" s="1">
        <v>46</v>
      </c>
      <c r="J163" s="1">
        <v>13736</v>
      </c>
      <c r="K163" s="1" t="s">
        <v>24</v>
      </c>
      <c r="L163" s="1" t="s">
        <v>28</v>
      </c>
      <c r="M163" s="1" t="s">
        <v>343</v>
      </c>
      <c r="N163" s="1">
        <v>18350</v>
      </c>
      <c r="O163" s="12">
        <v>17700</v>
      </c>
      <c r="P163" s="3" t="s">
        <v>84</v>
      </c>
      <c r="Q163" s="1" cm="1">
        <f t="array" ref="Q163">VALUE(INDEX(_xlfn.TEXTSPLIT(P163, " "), 4))</f>
        <v>2014</v>
      </c>
      <c r="R163" s="1" t="str">
        <f t="shared" si="2"/>
        <v>Hyundai Sonata Hybrid Limited</v>
      </c>
      <c r="S163" s="1" t="str" cm="1">
        <f t="array" ref="S163">_xlfn.IFS(I163 &gt;= 40, "High", I163&gt;=20, "Medium", I163&lt;20, "Low")</f>
        <v>High</v>
      </c>
      <c r="T163" s="1" t="str" cm="1">
        <f t="array" ref="T163">_xlfn.IFS(O163&lt;18200, "Low", O163&lt;=50000, "Medium", O163&gt;50000, "High")</f>
        <v>Low</v>
      </c>
    </row>
    <row r="164" spans="1:20" x14ac:dyDescent="0.25">
      <c r="A164" s="2">
        <v>2013</v>
      </c>
      <c r="B164" s="1" t="s">
        <v>98</v>
      </c>
      <c r="C164" s="1" t="s">
        <v>219</v>
      </c>
      <c r="D164" s="1" t="s">
        <v>348</v>
      </c>
      <c r="E164" s="1" t="s">
        <v>32</v>
      </c>
      <c r="F164" s="1" t="s">
        <v>20</v>
      </c>
      <c r="G164" s="1" t="s">
        <v>383</v>
      </c>
      <c r="H164" s="1" t="s">
        <v>22</v>
      </c>
      <c r="I164" s="1">
        <v>2</v>
      </c>
      <c r="J164" s="1">
        <v>25442</v>
      </c>
      <c r="K164" s="1" t="s">
        <v>384</v>
      </c>
      <c r="L164" s="1" t="s">
        <v>28</v>
      </c>
      <c r="M164" s="1" t="s">
        <v>51</v>
      </c>
      <c r="N164" s="1">
        <v>12150</v>
      </c>
      <c r="O164" s="12">
        <v>6700</v>
      </c>
      <c r="P164" s="3" t="s">
        <v>84</v>
      </c>
      <c r="Q164" s="1" cm="1">
        <f t="array" ref="Q164">VALUE(INDEX(_xlfn.TEXTSPLIT(P164, " "), 4))</f>
        <v>2014</v>
      </c>
      <c r="R164" s="1" t="str">
        <f t="shared" si="2"/>
        <v>Hyundai Elantra GLS</v>
      </c>
      <c r="S164" s="1" t="str" cm="1">
        <f t="array" ref="S164">_xlfn.IFS(I164 &gt;= 40, "High", I164&gt;=20, "Medium", I164&lt;20, "Low")</f>
        <v>Low</v>
      </c>
      <c r="T164" s="1" t="str" cm="1">
        <f t="array" ref="T164">_xlfn.IFS(O164&lt;18200, "Low", O164&lt;=50000, "Medium", O164&gt;50000, "High")</f>
        <v>Low</v>
      </c>
    </row>
    <row r="165" spans="1:20" x14ac:dyDescent="0.25">
      <c r="A165" s="2">
        <v>2013</v>
      </c>
      <c r="B165" s="1" t="s">
        <v>318</v>
      </c>
      <c r="C165" s="1" t="s">
        <v>323</v>
      </c>
      <c r="D165" s="1" t="s">
        <v>324</v>
      </c>
      <c r="E165" s="1" t="s">
        <v>323</v>
      </c>
      <c r="F165" s="1" t="s">
        <v>20</v>
      </c>
      <c r="G165" s="1" t="s">
        <v>385</v>
      </c>
      <c r="H165" s="1" t="s">
        <v>22</v>
      </c>
      <c r="I165" s="1">
        <v>44</v>
      </c>
      <c r="J165" s="1">
        <v>15208</v>
      </c>
      <c r="K165" s="1" t="s">
        <v>23</v>
      </c>
      <c r="L165" s="1" t="s">
        <v>24</v>
      </c>
      <c r="M165" s="1" t="s">
        <v>322</v>
      </c>
      <c r="N165" s="1">
        <v>23800</v>
      </c>
      <c r="O165" s="12">
        <v>25250</v>
      </c>
      <c r="P165" s="3" t="s">
        <v>46</v>
      </c>
      <c r="Q165" s="1" cm="1">
        <f t="array" ref="Q165">VALUE(INDEX(_xlfn.TEXTSPLIT(P165, " "), 4))</f>
        <v>2014</v>
      </c>
      <c r="R165" s="1" t="str">
        <f t="shared" si="2"/>
        <v>Infiniti G Sedan G37 Journey</v>
      </c>
      <c r="S165" s="1" t="str" cm="1">
        <f t="array" ref="S165">_xlfn.IFS(I165 &gt;= 40, "High", I165&gt;=20, "Medium", I165&lt;20, "Low")</f>
        <v>High</v>
      </c>
      <c r="T165" s="1" t="str" cm="1">
        <f t="array" ref="T165">_xlfn.IFS(O165&lt;18200, "Low", O165&lt;=50000, "Medium", O165&gt;50000, "High")</f>
        <v>Medium</v>
      </c>
    </row>
    <row r="166" spans="1:20" x14ac:dyDescent="0.25">
      <c r="A166" s="2">
        <v>2013</v>
      </c>
      <c r="B166" s="1" t="s">
        <v>318</v>
      </c>
      <c r="C166" s="1" t="s">
        <v>323</v>
      </c>
      <c r="D166" s="1" t="s">
        <v>324</v>
      </c>
      <c r="E166" s="1" t="s">
        <v>323</v>
      </c>
      <c r="F166" s="1" t="s">
        <v>20</v>
      </c>
      <c r="G166" s="1" t="s">
        <v>386</v>
      </c>
      <c r="H166" s="1" t="s">
        <v>22</v>
      </c>
      <c r="I166" s="1">
        <v>25</v>
      </c>
      <c r="J166" s="1">
        <v>10929</v>
      </c>
      <c r="K166" s="1" t="s">
        <v>23</v>
      </c>
      <c r="L166" s="1" t="s">
        <v>34</v>
      </c>
      <c r="M166" s="1" t="s">
        <v>322</v>
      </c>
      <c r="N166" s="1">
        <v>24700</v>
      </c>
      <c r="O166" s="12">
        <v>21000</v>
      </c>
      <c r="P166" s="3" t="s">
        <v>26</v>
      </c>
      <c r="Q166" s="1" cm="1">
        <f t="array" ref="Q166">VALUE(INDEX(_xlfn.TEXTSPLIT(P166, " "), 4))</f>
        <v>2014</v>
      </c>
      <c r="R166" s="1" t="str">
        <f t="shared" si="2"/>
        <v>Infiniti G Sedan G37 Journey</v>
      </c>
      <c r="S166" s="1" t="str" cm="1">
        <f t="array" ref="S166">_xlfn.IFS(I166 &gt;= 40, "High", I166&gt;=20, "Medium", I166&lt;20, "Low")</f>
        <v>Medium</v>
      </c>
      <c r="T166" s="1" t="str" cm="1">
        <f t="array" ref="T166">_xlfn.IFS(O166&lt;18200, "Low", O166&lt;=50000, "Medium", O166&gt;50000, "High")</f>
        <v>Medium</v>
      </c>
    </row>
    <row r="167" spans="1:20" x14ac:dyDescent="0.25">
      <c r="A167" s="2">
        <v>2013</v>
      </c>
      <c r="B167" s="1" t="s">
        <v>318</v>
      </c>
      <c r="C167" s="1" t="s">
        <v>323</v>
      </c>
      <c r="D167" s="1" t="s">
        <v>324</v>
      </c>
      <c r="E167" s="1" t="s">
        <v>323</v>
      </c>
      <c r="F167" s="1" t="s">
        <v>20</v>
      </c>
      <c r="G167" s="1" t="s">
        <v>387</v>
      </c>
      <c r="H167" s="1" t="s">
        <v>22</v>
      </c>
      <c r="I167" s="1">
        <v>44</v>
      </c>
      <c r="J167" s="1">
        <v>29672</v>
      </c>
      <c r="K167" s="1" t="s">
        <v>23</v>
      </c>
      <c r="L167" s="1" t="s">
        <v>24</v>
      </c>
      <c r="M167" s="1" t="s">
        <v>322</v>
      </c>
      <c r="N167" s="1">
        <v>22100</v>
      </c>
      <c r="O167" s="12">
        <v>23000</v>
      </c>
      <c r="P167" s="3" t="s">
        <v>46</v>
      </c>
      <c r="Q167" s="1" cm="1">
        <f t="array" ref="Q167">VALUE(INDEX(_xlfn.TEXTSPLIT(P167, " "), 4))</f>
        <v>2014</v>
      </c>
      <c r="R167" s="1" t="str">
        <f t="shared" si="2"/>
        <v>Infiniti G Sedan G37 Journey</v>
      </c>
      <c r="S167" s="1" t="str" cm="1">
        <f t="array" ref="S167">_xlfn.IFS(I167 &gt;= 40, "High", I167&gt;=20, "Medium", I167&lt;20, "Low")</f>
        <v>High</v>
      </c>
      <c r="T167" s="1" t="str" cm="1">
        <f t="array" ref="T167">_xlfn.IFS(O167&lt;18200, "Low", O167&lt;=50000, "Medium", O167&gt;50000, "High")</f>
        <v>Medium</v>
      </c>
    </row>
    <row r="168" spans="1:20" x14ac:dyDescent="0.25">
      <c r="A168" s="2">
        <v>2013</v>
      </c>
      <c r="B168" s="1" t="s">
        <v>318</v>
      </c>
      <c r="C168" s="1" t="s">
        <v>323</v>
      </c>
      <c r="D168" s="1" t="s">
        <v>324</v>
      </c>
      <c r="E168" s="1" t="s">
        <v>323</v>
      </c>
      <c r="F168" s="1" t="s">
        <v>20</v>
      </c>
      <c r="G168" s="1" t="s">
        <v>388</v>
      </c>
      <c r="H168" s="1" t="s">
        <v>22</v>
      </c>
      <c r="I168" s="1">
        <v>37</v>
      </c>
      <c r="J168" s="1">
        <v>22165</v>
      </c>
      <c r="K168" s="1" t="s">
        <v>24</v>
      </c>
      <c r="L168" s="1" t="s">
        <v>28</v>
      </c>
      <c r="M168" s="1" t="s">
        <v>322</v>
      </c>
      <c r="N168" s="1">
        <v>23000</v>
      </c>
      <c r="O168" s="12">
        <v>22750</v>
      </c>
      <c r="P168" s="3" t="s">
        <v>46</v>
      </c>
      <c r="Q168" s="1" cm="1">
        <f t="array" ref="Q168">VALUE(INDEX(_xlfn.TEXTSPLIT(P168, " "), 4))</f>
        <v>2014</v>
      </c>
      <c r="R168" s="1" t="str">
        <f t="shared" si="2"/>
        <v>Infiniti G Sedan G37 Journey</v>
      </c>
      <c r="S168" s="1" t="str" cm="1">
        <f t="array" ref="S168">_xlfn.IFS(I168 &gt;= 40, "High", I168&gt;=20, "Medium", I168&lt;20, "Low")</f>
        <v>Medium</v>
      </c>
      <c r="T168" s="1" t="str" cm="1">
        <f t="array" ref="T168">_xlfn.IFS(O168&lt;18200, "Low", O168&lt;=50000, "Medium", O168&gt;50000, "High")</f>
        <v>Medium</v>
      </c>
    </row>
    <row r="169" spans="1:20" x14ac:dyDescent="0.25">
      <c r="A169" s="2">
        <v>2013</v>
      </c>
      <c r="B169" s="1" t="s">
        <v>318</v>
      </c>
      <c r="C169" s="1" t="s">
        <v>323</v>
      </c>
      <c r="D169" s="1" t="s">
        <v>324</v>
      </c>
      <c r="E169" s="1" t="s">
        <v>323</v>
      </c>
      <c r="F169" s="1" t="s">
        <v>20</v>
      </c>
      <c r="G169" s="1" t="s">
        <v>389</v>
      </c>
      <c r="H169" s="1" t="s">
        <v>22</v>
      </c>
      <c r="I169" s="1">
        <v>45</v>
      </c>
      <c r="J169" s="1">
        <v>21263</v>
      </c>
      <c r="K169" s="1" t="s">
        <v>24</v>
      </c>
      <c r="L169" s="1" t="s">
        <v>28</v>
      </c>
      <c r="M169" s="1" t="s">
        <v>322</v>
      </c>
      <c r="N169" s="1">
        <v>23100</v>
      </c>
      <c r="O169" s="12">
        <v>22000</v>
      </c>
      <c r="P169" s="3" t="s">
        <v>46</v>
      </c>
      <c r="Q169" s="1" cm="1">
        <f t="array" ref="Q169">VALUE(INDEX(_xlfn.TEXTSPLIT(P169, " "), 4))</f>
        <v>2014</v>
      </c>
      <c r="R169" s="1" t="str">
        <f t="shared" si="2"/>
        <v>Infiniti G Sedan G37 Journey</v>
      </c>
      <c r="S169" s="1" t="str" cm="1">
        <f t="array" ref="S169">_xlfn.IFS(I169 &gt;= 40, "High", I169&gt;=20, "Medium", I169&lt;20, "Low")</f>
        <v>High</v>
      </c>
      <c r="T169" s="1" t="str" cm="1">
        <f t="array" ref="T169">_xlfn.IFS(O169&lt;18200, "Low", O169&lt;=50000, "Medium", O169&gt;50000, "High")</f>
        <v>Medium</v>
      </c>
    </row>
    <row r="170" spans="1:20" x14ac:dyDescent="0.25">
      <c r="A170" s="2">
        <v>2013</v>
      </c>
      <c r="B170" s="1" t="s">
        <v>318</v>
      </c>
      <c r="C170" s="1" t="s">
        <v>323</v>
      </c>
      <c r="D170" s="1" t="s">
        <v>324</v>
      </c>
      <c r="E170" s="1" t="s">
        <v>323</v>
      </c>
      <c r="F170" s="1" t="s">
        <v>20</v>
      </c>
      <c r="G170" s="1" t="s">
        <v>390</v>
      </c>
      <c r="H170" s="1" t="s">
        <v>22</v>
      </c>
      <c r="I170" s="1">
        <v>45</v>
      </c>
      <c r="J170" s="1">
        <v>24971</v>
      </c>
      <c r="K170" s="1" t="s">
        <v>34</v>
      </c>
      <c r="L170" s="1" t="s">
        <v>24</v>
      </c>
      <c r="M170" s="1" t="s">
        <v>322</v>
      </c>
      <c r="N170" s="1">
        <v>22900</v>
      </c>
      <c r="O170" s="12">
        <v>21250</v>
      </c>
      <c r="P170" s="3" t="s">
        <v>57</v>
      </c>
      <c r="Q170" s="1" cm="1">
        <f t="array" ref="Q170">VALUE(INDEX(_xlfn.TEXTSPLIT(P170, " "), 4))</f>
        <v>2014</v>
      </c>
      <c r="R170" s="1" t="str">
        <f t="shared" si="2"/>
        <v>Infiniti G Sedan G37 Journey</v>
      </c>
      <c r="S170" s="1" t="str" cm="1">
        <f t="array" ref="S170">_xlfn.IFS(I170 &gt;= 40, "High", I170&gt;=20, "Medium", I170&lt;20, "Low")</f>
        <v>High</v>
      </c>
      <c r="T170" s="1" t="str" cm="1">
        <f t="array" ref="T170">_xlfn.IFS(O170&lt;18200, "Low", O170&lt;=50000, "Medium", O170&gt;50000, "High")</f>
        <v>Medium</v>
      </c>
    </row>
    <row r="171" spans="1:20" x14ac:dyDescent="0.25">
      <c r="A171" s="2">
        <v>2013</v>
      </c>
      <c r="B171" s="1" t="s">
        <v>98</v>
      </c>
      <c r="C171" s="1" t="s">
        <v>219</v>
      </c>
      <c r="D171" s="1" t="s">
        <v>337</v>
      </c>
      <c r="E171" s="1" t="s">
        <v>32</v>
      </c>
      <c r="F171" s="1" t="s">
        <v>20</v>
      </c>
      <c r="G171" s="1" t="s">
        <v>391</v>
      </c>
      <c r="H171" s="1" t="s">
        <v>22</v>
      </c>
      <c r="I171" s="1">
        <v>45</v>
      </c>
      <c r="J171" s="1">
        <v>37290</v>
      </c>
      <c r="K171" s="1" t="s">
        <v>23</v>
      </c>
      <c r="L171" s="1" t="s">
        <v>28</v>
      </c>
      <c r="M171" s="1" t="s">
        <v>142</v>
      </c>
      <c r="N171" s="1">
        <v>11400</v>
      </c>
      <c r="O171" s="12">
        <v>11000</v>
      </c>
      <c r="P171" s="3" t="s">
        <v>57</v>
      </c>
      <c r="Q171" s="1" cm="1">
        <f t="array" ref="Q171">VALUE(INDEX(_xlfn.TEXTSPLIT(P171, " "), 4))</f>
        <v>2014</v>
      </c>
      <c r="R171" s="1" t="str">
        <f t="shared" si="2"/>
        <v>Hyundai Elantra Limited</v>
      </c>
      <c r="S171" s="1" t="str" cm="1">
        <f t="array" ref="S171">_xlfn.IFS(I171 &gt;= 40, "High", I171&gt;=20, "Medium", I171&lt;20, "Low")</f>
        <v>High</v>
      </c>
      <c r="T171" s="1" t="str" cm="1">
        <f t="array" ref="T171">_xlfn.IFS(O171&lt;18200, "Low", O171&lt;=50000, "Medium", O171&gt;50000, "High")</f>
        <v>Low</v>
      </c>
    </row>
    <row r="172" spans="1:20" x14ac:dyDescent="0.25">
      <c r="A172" s="2">
        <v>2013</v>
      </c>
      <c r="B172" s="1" t="s">
        <v>98</v>
      </c>
      <c r="C172" s="1" t="s">
        <v>336</v>
      </c>
      <c r="D172" s="1" t="s">
        <v>392</v>
      </c>
      <c r="E172" s="1" t="s">
        <v>19</v>
      </c>
      <c r="F172" s="1" t="s">
        <v>20</v>
      </c>
      <c r="G172" s="1" t="s">
        <v>393</v>
      </c>
      <c r="H172" s="1" t="s">
        <v>22</v>
      </c>
      <c r="I172" s="1">
        <v>47</v>
      </c>
      <c r="J172" s="1">
        <v>17367</v>
      </c>
      <c r="K172" s="1" t="s">
        <v>24</v>
      </c>
      <c r="L172" s="1" t="s">
        <v>28</v>
      </c>
      <c r="M172" s="1" t="s">
        <v>343</v>
      </c>
      <c r="N172" s="1">
        <v>21400</v>
      </c>
      <c r="O172" s="12">
        <v>24100</v>
      </c>
      <c r="P172" s="3" t="s">
        <v>84</v>
      </c>
      <c r="Q172" s="1" cm="1">
        <f t="array" ref="Q172">VALUE(INDEX(_xlfn.TEXTSPLIT(P172, " "), 4))</f>
        <v>2014</v>
      </c>
      <c r="R172" s="1" t="str">
        <f t="shared" si="2"/>
        <v>Hyundai Santa Fe Sport 2.0T</v>
      </c>
      <c r="S172" s="1" t="str" cm="1">
        <f t="array" ref="S172">_xlfn.IFS(I172 &gt;= 40, "High", I172&gt;=20, "Medium", I172&lt;20, "Low")</f>
        <v>High</v>
      </c>
      <c r="T172" s="1" t="str" cm="1">
        <f t="array" ref="T172">_xlfn.IFS(O172&lt;18200, "Low", O172&lt;=50000, "Medium", O172&gt;50000, "High")</f>
        <v>Medium</v>
      </c>
    </row>
    <row r="173" spans="1:20" x14ac:dyDescent="0.25">
      <c r="A173" s="2">
        <v>2013</v>
      </c>
      <c r="B173" s="1" t="s">
        <v>318</v>
      </c>
      <c r="C173" s="1" t="s">
        <v>323</v>
      </c>
      <c r="D173" s="1" t="s">
        <v>324</v>
      </c>
      <c r="E173" s="1" t="s">
        <v>323</v>
      </c>
      <c r="F173" s="1" t="s">
        <v>20</v>
      </c>
      <c r="G173" s="1" t="s">
        <v>394</v>
      </c>
      <c r="H173" s="1" t="s">
        <v>22</v>
      </c>
      <c r="I173" s="1">
        <v>43</v>
      </c>
      <c r="J173" s="1">
        <v>11847</v>
      </c>
      <c r="K173" s="1" t="s">
        <v>23</v>
      </c>
      <c r="L173" s="1" t="s">
        <v>28</v>
      </c>
      <c r="M173" s="1" t="s">
        <v>322</v>
      </c>
      <c r="N173" s="1">
        <v>24200</v>
      </c>
      <c r="O173" s="12">
        <v>25000</v>
      </c>
      <c r="P173" s="3" t="s">
        <v>46</v>
      </c>
      <c r="Q173" s="1" cm="1">
        <f t="array" ref="Q173">VALUE(INDEX(_xlfn.TEXTSPLIT(P173, " "), 4))</f>
        <v>2014</v>
      </c>
      <c r="R173" s="1" t="str">
        <f t="shared" si="2"/>
        <v>Infiniti G Sedan G37 Journey</v>
      </c>
      <c r="S173" s="1" t="str" cm="1">
        <f t="array" ref="S173">_xlfn.IFS(I173 &gt;= 40, "High", I173&gt;=20, "Medium", I173&lt;20, "Low")</f>
        <v>High</v>
      </c>
      <c r="T173" s="1" t="str" cm="1">
        <f t="array" ref="T173">_xlfn.IFS(O173&lt;18200, "Low", O173&lt;=50000, "Medium", O173&gt;50000, "High")</f>
        <v>Medium</v>
      </c>
    </row>
    <row r="174" spans="1:20" x14ac:dyDescent="0.25">
      <c r="A174" s="2">
        <v>2013</v>
      </c>
      <c r="B174" s="1" t="s">
        <v>318</v>
      </c>
      <c r="C174" s="1" t="s">
        <v>323</v>
      </c>
      <c r="D174" s="1" t="s">
        <v>324</v>
      </c>
      <c r="E174" s="1" t="s">
        <v>323</v>
      </c>
      <c r="F174" s="1" t="s">
        <v>20</v>
      </c>
      <c r="G174" s="1" t="s">
        <v>395</v>
      </c>
      <c r="H174" s="1" t="s">
        <v>22</v>
      </c>
      <c r="I174" s="1">
        <v>41</v>
      </c>
      <c r="J174" s="1">
        <v>15562</v>
      </c>
      <c r="K174" s="1" t="s">
        <v>34</v>
      </c>
      <c r="L174" s="1" t="s">
        <v>24</v>
      </c>
      <c r="M174" s="1" t="s">
        <v>322</v>
      </c>
      <c r="N174" s="1">
        <v>23800</v>
      </c>
      <c r="O174" s="12">
        <v>24500</v>
      </c>
      <c r="P174" s="3" t="s">
        <v>46</v>
      </c>
      <c r="Q174" s="1" cm="1">
        <f t="array" ref="Q174">VALUE(INDEX(_xlfn.TEXTSPLIT(P174, " "), 4))</f>
        <v>2014</v>
      </c>
      <c r="R174" s="1" t="str">
        <f t="shared" si="2"/>
        <v>Infiniti G Sedan G37 Journey</v>
      </c>
      <c r="S174" s="1" t="str" cm="1">
        <f t="array" ref="S174">_xlfn.IFS(I174 &gt;= 40, "High", I174&gt;=20, "Medium", I174&lt;20, "Low")</f>
        <v>High</v>
      </c>
      <c r="T174" s="1" t="str" cm="1">
        <f t="array" ref="T174">_xlfn.IFS(O174&lt;18200, "Low", O174&lt;=50000, "Medium", O174&gt;50000, "High")</f>
        <v>Medium</v>
      </c>
    </row>
    <row r="175" spans="1:20" x14ac:dyDescent="0.25">
      <c r="A175" s="2">
        <v>2013</v>
      </c>
      <c r="B175" s="1" t="s">
        <v>98</v>
      </c>
      <c r="C175" s="1" t="s">
        <v>99</v>
      </c>
      <c r="D175" s="1" t="s">
        <v>337</v>
      </c>
      <c r="E175" s="1" t="s">
        <v>32</v>
      </c>
      <c r="F175" s="1" t="s">
        <v>20</v>
      </c>
      <c r="G175" s="1" t="s">
        <v>396</v>
      </c>
      <c r="H175" s="1" t="s">
        <v>22</v>
      </c>
      <c r="I175" s="1">
        <v>43</v>
      </c>
      <c r="J175" s="1">
        <v>18479</v>
      </c>
      <c r="K175" s="1" t="s">
        <v>23</v>
      </c>
      <c r="L175" s="1" t="s">
        <v>288</v>
      </c>
      <c r="M175" s="1" t="s">
        <v>343</v>
      </c>
      <c r="N175" s="1">
        <v>16900</v>
      </c>
      <c r="O175" s="12">
        <v>18100</v>
      </c>
      <c r="P175" s="3" t="s">
        <v>84</v>
      </c>
      <c r="Q175" s="1" cm="1">
        <f t="array" ref="Q175">VALUE(INDEX(_xlfn.TEXTSPLIT(P175, " "), 4))</f>
        <v>2014</v>
      </c>
      <c r="R175" s="1" t="str">
        <f t="shared" si="2"/>
        <v>Hyundai Sonata Limited</v>
      </c>
      <c r="S175" s="1" t="str" cm="1">
        <f t="array" ref="S175">_xlfn.IFS(I175 &gt;= 40, "High", I175&gt;=20, "Medium", I175&lt;20, "Low")</f>
        <v>High</v>
      </c>
      <c r="T175" s="1" t="str" cm="1">
        <f t="array" ref="T175">_xlfn.IFS(O175&lt;18200, "Low", O175&lt;=50000, "Medium", O175&gt;50000, "High")</f>
        <v>Low</v>
      </c>
    </row>
    <row r="176" spans="1:20" x14ac:dyDescent="0.25">
      <c r="A176" s="2">
        <v>2013</v>
      </c>
      <c r="B176" s="1" t="s">
        <v>318</v>
      </c>
      <c r="C176" s="1" t="s">
        <v>323</v>
      </c>
      <c r="D176" s="1" t="s">
        <v>324</v>
      </c>
      <c r="E176" s="1" t="s">
        <v>323</v>
      </c>
      <c r="F176" s="1" t="s">
        <v>20</v>
      </c>
      <c r="G176" s="1" t="s">
        <v>397</v>
      </c>
      <c r="H176" s="1" t="s">
        <v>22</v>
      </c>
      <c r="I176" s="1">
        <v>44</v>
      </c>
      <c r="J176" s="1">
        <v>22021</v>
      </c>
      <c r="K176" s="1" t="s">
        <v>24</v>
      </c>
      <c r="L176" s="1" t="s">
        <v>24</v>
      </c>
      <c r="M176" s="1" t="s">
        <v>322</v>
      </c>
      <c r="N176" s="1">
        <v>23000</v>
      </c>
      <c r="O176" s="12">
        <v>22000</v>
      </c>
      <c r="P176" s="3" t="s">
        <v>46</v>
      </c>
      <c r="Q176" s="1" cm="1">
        <f t="array" ref="Q176">VALUE(INDEX(_xlfn.TEXTSPLIT(P176, " "), 4))</f>
        <v>2014</v>
      </c>
      <c r="R176" s="1" t="str">
        <f t="shared" si="2"/>
        <v>Infiniti G Sedan G37 Journey</v>
      </c>
      <c r="S176" s="1" t="str" cm="1">
        <f t="array" ref="S176">_xlfn.IFS(I176 &gt;= 40, "High", I176&gt;=20, "Medium", I176&lt;20, "Low")</f>
        <v>High</v>
      </c>
      <c r="T176" s="1" t="str" cm="1">
        <f t="array" ref="T176">_xlfn.IFS(O176&lt;18200, "Low", O176&lt;=50000, "Medium", O176&gt;50000, "High")</f>
        <v>Medium</v>
      </c>
    </row>
    <row r="177" spans="1:20" x14ac:dyDescent="0.25">
      <c r="A177" s="2">
        <v>2013</v>
      </c>
      <c r="B177" s="1" t="s">
        <v>98</v>
      </c>
      <c r="C177" s="1" t="s">
        <v>398</v>
      </c>
      <c r="D177" s="1" t="s">
        <v>348</v>
      </c>
      <c r="E177" s="1" t="s">
        <v>32</v>
      </c>
      <c r="F177" s="1" t="s">
        <v>20</v>
      </c>
      <c r="G177" s="1" t="s">
        <v>399</v>
      </c>
      <c r="H177" s="1" t="s">
        <v>22</v>
      </c>
      <c r="I177" s="1">
        <v>2</v>
      </c>
      <c r="J177" s="1">
        <v>34136</v>
      </c>
      <c r="K177" s="1" t="s">
        <v>24</v>
      </c>
      <c r="L177" s="1" t="s">
        <v>28</v>
      </c>
      <c r="M177" s="1" t="s">
        <v>51</v>
      </c>
      <c r="N177" s="1">
        <v>9700</v>
      </c>
      <c r="O177" s="12">
        <v>8100</v>
      </c>
      <c r="P177" s="3" t="s">
        <v>97</v>
      </c>
      <c r="Q177" s="1" cm="1">
        <f t="array" ref="Q177">VALUE(INDEX(_xlfn.TEXTSPLIT(P177, " "), 4))</f>
        <v>2014</v>
      </c>
      <c r="R177" s="1" t="str">
        <f t="shared" si="2"/>
        <v>Hyundai Accent GLS</v>
      </c>
      <c r="S177" s="1" t="str" cm="1">
        <f t="array" ref="S177">_xlfn.IFS(I177 &gt;= 40, "High", I177&gt;=20, "Medium", I177&lt;20, "Low")</f>
        <v>Low</v>
      </c>
      <c r="T177" s="1" t="str" cm="1">
        <f t="array" ref="T177">_xlfn.IFS(O177&lt;18200, "Low", O177&lt;=50000, "Medium", O177&gt;50000, "High")</f>
        <v>Low</v>
      </c>
    </row>
    <row r="178" spans="1:20" x14ac:dyDescent="0.25">
      <c r="A178" s="2">
        <v>2013</v>
      </c>
      <c r="B178" s="1" t="s">
        <v>318</v>
      </c>
      <c r="C178" s="1" t="s">
        <v>323</v>
      </c>
      <c r="D178" s="1" t="s">
        <v>324</v>
      </c>
      <c r="E178" s="1" t="s">
        <v>323</v>
      </c>
      <c r="F178" s="1" t="s">
        <v>20</v>
      </c>
      <c r="G178" s="1" t="s">
        <v>400</v>
      </c>
      <c r="H178" s="1" t="s">
        <v>22</v>
      </c>
      <c r="I178" s="1">
        <v>4</v>
      </c>
      <c r="J178" s="1">
        <v>28668</v>
      </c>
      <c r="K178" s="1" t="s">
        <v>34</v>
      </c>
      <c r="L178" s="1" t="s">
        <v>101</v>
      </c>
      <c r="M178" s="1" t="s">
        <v>322</v>
      </c>
      <c r="N178" s="1">
        <v>22400</v>
      </c>
      <c r="O178" s="12">
        <v>23000</v>
      </c>
      <c r="P178" s="3" t="s">
        <v>251</v>
      </c>
      <c r="Q178" s="1" cm="1">
        <f t="array" ref="Q178">VALUE(INDEX(_xlfn.TEXTSPLIT(P178, " "), 4))</f>
        <v>2014</v>
      </c>
      <c r="R178" s="1" t="str">
        <f t="shared" si="2"/>
        <v>Infiniti G Sedan G37 Journey</v>
      </c>
      <c r="S178" s="1" t="str" cm="1">
        <f t="array" ref="S178">_xlfn.IFS(I178 &gt;= 40, "High", I178&gt;=20, "Medium", I178&lt;20, "Low")</f>
        <v>Low</v>
      </c>
      <c r="T178" s="1" t="str" cm="1">
        <f t="array" ref="T178">_xlfn.IFS(O178&lt;18200, "Low", O178&lt;=50000, "Medium", O178&gt;50000, "High")</f>
        <v>Medium</v>
      </c>
    </row>
    <row r="179" spans="1:20" x14ac:dyDescent="0.25">
      <c r="A179" s="2">
        <v>2013</v>
      </c>
      <c r="B179" s="1" t="s">
        <v>98</v>
      </c>
      <c r="C179" s="1" t="s">
        <v>401</v>
      </c>
      <c r="D179" s="1" t="s">
        <v>402</v>
      </c>
      <c r="E179" s="1" t="s">
        <v>227</v>
      </c>
      <c r="F179" s="1" t="s">
        <v>20</v>
      </c>
      <c r="G179" s="1" t="s">
        <v>403</v>
      </c>
      <c r="H179" s="1" t="s">
        <v>22</v>
      </c>
      <c r="I179" s="1">
        <v>36</v>
      </c>
      <c r="J179" s="1">
        <v>10474</v>
      </c>
      <c r="K179" s="1" t="s">
        <v>23</v>
      </c>
      <c r="L179" s="1" t="s">
        <v>24</v>
      </c>
      <c r="M179" s="1" t="s">
        <v>343</v>
      </c>
      <c r="N179" s="1">
        <v>15000</v>
      </c>
      <c r="O179" s="12">
        <v>16100</v>
      </c>
      <c r="P179" s="3" t="s">
        <v>84</v>
      </c>
      <c r="Q179" s="1" cm="1">
        <f t="array" ref="Q179">VALUE(INDEX(_xlfn.TEXTSPLIT(P179, " "), 4))</f>
        <v>2014</v>
      </c>
      <c r="R179" s="1" t="str">
        <f t="shared" si="2"/>
        <v>Hyundai Veloster Turbo</v>
      </c>
      <c r="S179" s="1" t="str" cm="1">
        <f t="array" ref="S179">_xlfn.IFS(I179 &gt;= 40, "High", I179&gt;=20, "Medium", I179&lt;20, "Low")</f>
        <v>Medium</v>
      </c>
      <c r="T179" s="1" t="str" cm="1">
        <f t="array" ref="T179">_xlfn.IFS(O179&lt;18200, "Low", O179&lt;=50000, "Medium", O179&gt;50000, "High")</f>
        <v>Low</v>
      </c>
    </row>
    <row r="180" spans="1:20" x14ac:dyDescent="0.25">
      <c r="A180" s="2">
        <v>2013</v>
      </c>
      <c r="B180" s="1" t="s">
        <v>318</v>
      </c>
      <c r="C180" s="1" t="s">
        <v>319</v>
      </c>
      <c r="D180" s="1" t="s">
        <v>320</v>
      </c>
      <c r="E180" s="1" t="s">
        <v>319</v>
      </c>
      <c r="F180" s="1" t="s">
        <v>20</v>
      </c>
      <c r="G180" s="1" t="s">
        <v>404</v>
      </c>
      <c r="H180" s="1" t="s">
        <v>22</v>
      </c>
      <c r="I180" s="1">
        <v>42</v>
      </c>
      <c r="J180" s="1">
        <v>16338</v>
      </c>
      <c r="K180" s="1" t="s">
        <v>34</v>
      </c>
      <c r="L180" s="1" t="s">
        <v>24</v>
      </c>
      <c r="M180" s="1" t="s">
        <v>322</v>
      </c>
      <c r="N180" s="1">
        <v>25700</v>
      </c>
      <c r="O180" s="12">
        <v>25500</v>
      </c>
      <c r="P180" s="3" t="s">
        <v>46</v>
      </c>
      <c r="Q180" s="1" cm="1">
        <f t="array" ref="Q180">VALUE(INDEX(_xlfn.TEXTSPLIT(P180, " "), 4))</f>
        <v>2014</v>
      </c>
      <c r="R180" s="1" t="str">
        <f t="shared" si="2"/>
        <v>Infiniti G Coupe G37 Sport</v>
      </c>
      <c r="S180" s="1" t="str" cm="1">
        <f t="array" ref="S180">_xlfn.IFS(I180 &gt;= 40, "High", I180&gt;=20, "Medium", I180&lt;20, "Low")</f>
        <v>High</v>
      </c>
      <c r="T180" s="1" t="str" cm="1">
        <f t="array" ref="T180">_xlfn.IFS(O180&lt;18200, "Low", O180&lt;=50000, "Medium", O180&gt;50000, "High")</f>
        <v>Medium</v>
      </c>
    </row>
    <row r="181" spans="1:20" x14ac:dyDescent="0.25">
      <c r="A181" s="2">
        <v>2013</v>
      </c>
      <c r="B181" s="1" t="s">
        <v>98</v>
      </c>
      <c r="C181" s="1" t="s">
        <v>398</v>
      </c>
      <c r="D181" s="1" t="s">
        <v>348</v>
      </c>
      <c r="E181" s="1" t="s">
        <v>32</v>
      </c>
      <c r="F181" s="1" t="s">
        <v>20</v>
      </c>
      <c r="G181" s="1" t="s">
        <v>405</v>
      </c>
      <c r="H181" s="1" t="s">
        <v>22</v>
      </c>
      <c r="I181" s="1"/>
      <c r="J181" s="1">
        <v>47010</v>
      </c>
      <c r="K181" s="1" t="s">
        <v>91</v>
      </c>
      <c r="L181" s="1" t="s">
        <v>34</v>
      </c>
      <c r="M181" s="1" t="s">
        <v>406</v>
      </c>
      <c r="N181" s="1">
        <v>9275</v>
      </c>
      <c r="O181" s="12">
        <v>3500</v>
      </c>
      <c r="P181" s="3" t="s">
        <v>62</v>
      </c>
      <c r="Q181" s="1" cm="1">
        <f t="array" ref="Q181">VALUE(INDEX(_xlfn.TEXTSPLIT(P181, " "), 4))</f>
        <v>2014</v>
      </c>
      <c r="R181" s="1" t="str">
        <f t="shared" si="2"/>
        <v>Hyundai Accent GLS</v>
      </c>
      <c r="S181" s="1" t="str" cm="1">
        <f t="array" ref="S181">_xlfn.IFS(I181 &gt;= 40, "High", I181&gt;=20, "Medium", I181&lt;20, "Low")</f>
        <v>Low</v>
      </c>
      <c r="T181" s="1" t="str" cm="1">
        <f t="array" ref="T181">_xlfn.IFS(O181&lt;18200, "Low", O181&lt;=50000, "Medium", O181&gt;50000, "High")</f>
        <v>Low</v>
      </c>
    </row>
    <row r="182" spans="1:20" x14ac:dyDescent="0.25">
      <c r="A182" s="2">
        <v>2013</v>
      </c>
      <c r="B182" s="1" t="s">
        <v>98</v>
      </c>
      <c r="C182" s="1" t="s">
        <v>407</v>
      </c>
      <c r="D182" s="1" t="s">
        <v>87</v>
      </c>
      <c r="E182" s="1" t="s">
        <v>407</v>
      </c>
      <c r="F182" s="1" t="s">
        <v>20</v>
      </c>
      <c r="G182" s="1" t="s">
        <v>408</v>
      </c>
      <c r="H182" s="1" t="s">
        <v>22</v>
      </c>
      <c r="I182" s="1">
        <v>43</v>
      </c>
      <c r="J182" s="1">
        <v>11809</v>
      </c>
      <c r="K182" s="1" t="s">
        <v>24</v>
      </c>
      <c r="L182" s="1" t="s">
        <v>24</v>
      </c>
      <c r="M182" s="1" t="s">
        <v>343</v>
      </c>
      <c r="N182" s="1">
        <v>14600</v>
      </c>
      <c r="O182" s="12">
        <v>16100</v>
      </c>
      <c r="P182" s="3" t="s">
        <v>84</v>
      </c>
      <c r="Q182" s="1" cm="1">
        <f t="array" ref="Q182">VALUE(INDEX(_xlfn.TEXTSPLIT(P182, " "), 4))</f>
        <v>2014</v>
      </c>
      <c r="R182" s="1" t="str">
        <f t="shared" si="2"/>
        <v>Hyundai Elantra Coupe SE</v>
      </c>
      <c r="S182" s="1" t="str" cm="1">
        <f t="array" ref="S182">_xlfn.IFS(I182 &gt;= 40, "High", I182&gt;=20, "Medium", I182&lt;20, "Low")</f>
        <v>High</v>
      </c>
      <c r="T182" s="1" t="str" cm="1">
        <f t="array" ref="T182">_xlfn.IFS(O182&lt;18200, "Low", O182&lt;=50000, "Medium", O182&gt;50000, "High")</f>
        <v>Low</v>
      </c>
    </row>
    <row r="183" spans="1:20" x14ac:dyDescent="0.25">
      <c r="A183" s="2">
        <v>2013</v>
      </c>
      <c r="B183" s="1" t="s">
        <v>318</v>
      </c>
      <c r="C183" s="1" t="s">
        <v>319</v>
      </c>
      <c r="D183" s="1" t="s">
        <v>320</v>
      </c>
      <c r="E183" s="1" t="s">
        <v>319</v>
      </c>
      <c r="F183" s="1" t="s">
        <v>20</v>
      </c>
      <c r="G183" s="1" t="s">
        <v>409</v>
      </c>
      <c r="H183" s="1" t="s">
        <v>22</v>
      </c>
      <c r="I183" s="1">
        <v>42</v>
      </c>
      <c r="J183" s="1">
        <v>15131</v>
      </c>
      <c r="K183" s="1" t="s">
        <v>23</v>
      </c>
      <c r="L183" s="1" t="s">
        <v>24</v>
      </c>
      <c r="M183" s="1" t="s">
        <v>322</v>
      </c>
      <c r="N183" s="1">
        <v>25900</v>
      </c>
      <c r="O183" s="12">
        <v>26000</v>
      </c>
      <c r="P183" s="3" t="s">
        <v>46</v>
      </c>
      <c r="Q183" s="1" cm="1">
        <f t="array" ref="Q183">VALUE(INDEX(_xlfn.TEXTSPLIT(P183, " "), 4))</f>
        <v>2014</v>
      </c>
      <c r="R183" s="1" t="str">
        <f t="shared" si="2"/>
        <v>Infiniti G Coupe G37 Sport</v>
      </c>
      <c r="S183" s="1" t="str" cm="1">
        <f t="array" ref="S183">_xlfn.IFS(I183 &gt;= 40, "High", I183&gt;=20, "Medium", I183&lt;20, "Low")</f>
        <v>High</v>
      </c>
      <c r="T183" s="1" t="str" cm="1">
        <f t="array" ref="T183">_xlfn.IFS(O183&lt;18200, "Low", O183&lt;=50000, "Medium", O183&gt;50000, "High")</f>
        <v>Medium</v>
      </c>
    </row>
    <row r="184" spans="1:20" x14ac:dyDescent="0.25">
      <c r="A184" s="2">
        <v>2013</v>
      </c>
      <c r="B184" s="1" t="s">
        <v>318</v>
      </c>
      <c r="C184" s="1" t="s">
        <v>323</v>
      </c>
      <c r="D184" s="1" t="s">
        <v>324</v>
      </c>
      <c r="E184" s="1" t="s">
        <v>323</v>
      </c>
      <c r="F184" s="1" t="s">
        <v>20</v>
      </c>
      <c r="G184" s="1" t="s">
        <v>410</v>
      </c>
      <c r="H184" s="1" t="s">
        <v>22</v>
      </c>
      <c r="I184" s="1">
        <v>45</v>
      </c>
      <c r="J184" s="1">
        <v>28053</v>
      </c>
      <c r="K184" s="1" t="s">
        <v>24</v>
      </c>
      <c r="L184" s="1" t="s">
        <v>24</v>
      </c>
      <c r="M184" s="1" t="s">
        <v>322</v>
      </c>
      <c r="N184" s="1">
        <v>22300</v>
      </c>
      <c r="O184" s="12">
        <v>25000</v>
      </c>
      <c r="P184" s="3" t="s">
        <v>46</v>
      </c>
      <c r="Q184" s="1" cm="1">
        <f t="array" ref="Q184">VALUE(INDEX(_xlfn.TEXTSPLIT(P184, " "), 4))</f>
        <v>2014</v>
      </c>
      <c r="R184" s="1" t="str">
        <f t="shared" si="2"/>
        <v>Infiniti G Sedan G37 Journey</v>
      </c>
      <c r="S184" s="1" t="str" cm="1">
        <f t="array" ref="S184">_xlfn.IFS(I184 &gt;= 40, "High", I184&gt;=20, "Medium", I184&lt;20, "Low")</f>
        <v>High</v>
      </c>
      <c r="T184" s="1" t="str" cm="1">
        <f t="array" ref="T184">_xlfn.IFS(O184&lt;18200, "Low", O184&lt;=50000, "Medium", O184&gt;50000, "High")</f>
        <v>Medium</v>
      </c>
    </row>
    <row r="185" spans="1:20" x14ac:dyDescent="0.25">
      <c r="A185" s="2">
        <v>2013</v>
      </c>
      <c r="B185" s="1" t="s">
        <v>318</v>
      </c>
      <c r="C185" s="1" t="s">
        <v>323</v>
      </c>
      <c r="D185" s="1" t="s">
        <v>324</v>
      </c>
      <c r="E185" s="1" t="s">
        <v>323</v>
      </c>
      <c r="F185" s="1" t="s">
        <v>20</v>
      </c>
      <c r="G185" s="1" t="s">
        <v>411</v>
      </c>
      <c r="H185" s="1" t="s">
        <v>22</v>
      </c>
      <c r="I185" s="1">
        <v>41</v>
      </c>
      <c r="J185" s="1">
        <v>19587</v>
      </c>
      <c r="K185" s="1" t="s">
        <v>94</v>
      </c>
      <c r="L185" s="1" t="s">
        <v>34</v>
      </c>
      <c r="M185" s="1" t="s">
        <v>322</v>
      </c>
      <c r="N185" s="1">
        <v>23300</v>
      </c>
      <c r="O185" s="12">
        <v>23500</v>
      </c>
      <c r="P185" s="3" t="s">
        <v>46</v>
      </c>
      <c r="Q185" s="1" cm="1">
        <f t="array" ref="Q185">VALUE(INDEX(_xlfn.TEXTSPLIT(P185, " "), 4))</f>
        <v>2014</v>
      </c>
      <c r="R185" s="1" t="str">
        <f t="shared" si="2"/>
        <v>Infiniti G Sedan G37 Journey</v>
      </c>
      <c r="S185" s="1" t="str" cm="1">
        <f t="array" ref="S185">_xlfn.IFS(I185 &gt;= 40, "High", I185&gt;=20, "Medium", I185&lt;20, "Low")</f>
        <v>High</v>
      </c>
      <c r="T185" s="1" t="str" cm="1">
        <f t="array" ref="T185">_xlfn.IFS(O185&lt;18200, "Low", O185&lt;=50000, "Medium", O185&gt;50000, "High")</f>
        <v>Medium</v>
      </c>
    </row>
    <row r="186" spans="1:20" x14ac:dyDescent="0.25">
      <c r="A186" s="2">
        <v>2013</v>
      </c>
      <c r="B186" s="1" t="s">
        <v>318</v>
      </c>
      <c r="C186" s="1" t="s">
        <v>323</v>
      </c>
      <c r="D186" s="1" t="s">
        <v>324</v>
      </c>
      <c r="E186" s="1" t="s">
        <v>323</v>
      </c>
      <c r="F186" s="1" t="s">
        <v>20</v>
      </c>
      <c r="G186" s="1" t="s">
        <v>412</v>
      </c>
      <c r="H186" s="1" t="s">
        <v>22</v>
      </c>
      <c r="I186" s="1">
        <v>46</v>
      </c>
      <c r="J186" s="1">
        <v>20246</v>
      </c>
      <c r="K186" s="1" t="s">
        <v>34</v>
      </c>
      <c r="L186" s="1" t="s">
        <v>24</v>
      </c>
      <c r="M186" s="1" t="s">
        <v>322</v>
      </c>
      <c r="N186" s="1">
        <v>23200</v>
      </c>
      <c r="O186" s="12">
        <v>24750</v>
      </c>
      <c r="P186" s="3" t="s">
        <v>46</v>
      </c>
      <c r="Q186" s="1" cm="1">
        <f t="array" ref="Q186">VALUE(INDEX(_xlfn.TEXTSPLIT(P186, " "), 4))</f>
        <v>2014</v>
      </c>
      <c r="R186" s="1" t="str">
        <f t="shared" si="2"/>
        <v>Infiniti G Sedan G37 Journey</v>
      </c>
      <c r="S186" s="1" t="str" cm="1">
        <f t="array" ref="S186">_xlfn.IFS(I186 &gt;= 40, "High", I186&gt;=20, "Medium", I186&lt;20, "Low")</f>
        <v>High</v>
      </c>
      <c r="T186" s="1" t="str" cm="1">
        <f t="array" ref="T186">_xlfn.IFS(O186&lt;18200, "Low", O186&lt;=50000, "Medium", O186&gt;50000, "High")</f>
        <v>Medium</v>
      </c>
    </row>
    <row r="187" spans="1:20" x14ac:dyDescent="0.25">
      <c r="A187" s="2">
        <v>2013</v>
      </c>
      <c r="B187" s="1" t="s">
        <v>318</v>
      </c>
      <c r="C187" s="1" t="s">
        <v>323</v>
      </c>
      <c r="D187" s="1" t="s">
        <v>324</v>
      </c>
      <c r="E187" s="1" t="s">
        <v>323</v>
      </c>
      <c r="F187" s="1" t="s">
        <v>20</v>
      </c>
      <c r="G187" s="1" t="s">
        <v>413</v>
      </c>
      <c r="H187" s="1" t="s">
        <v>22</v>
      </c>
      <c r="I187" s="1">
        <v>41</v>
      </c>
      <c r="J187" s="1">
        <v>19957</v>
      </c>
      <c r="K187" s="1" t="s">
        <v>101</v>
      </c>
      <c r="L187" s="1" t="s">
        <v>28</v>
      </c>
      <c r="M187" s="1" t="s">
        <v>322</v>
      </c>
      <c r="N187" s="1">
        <v>23300</v>
      </c>
      <c r="O187" s="12">
        <v>21750</v>
      </c>
      <c r="P187" s="3" t="s">
        <v>46</v>
      </c>
      <c r="Q187" s="1" cm="1">
        <f t="array" ref="Q187">VALUE(INDEX(_xlfn.TEXTSPLIT(P187, " "), 4))</f>
        <v>2014</v>
      </c>
      <c r="R187" s="1" t="str">
        <f t="shared" si="2"/>
        <v>Infiniti G Sedan G37 Journey</v>
      </c>
      <c r="S187" s="1" t="str" cm="1">
        <f t="array" ref="S187">_xlfn.IFS(I187 &gt;= 40, "High", I187&gt;=20, "Medium", I187&lt;20, "Low")</f>
        <v>High</v>
      </c>
      <c r="T187" s="1" t="str" cm="1">
        <f t="array" ref="T187">_xlfn.IFS(O187&lt;18200, "Low", O187&lt;=50000, "Medium", O187&gt;50000, "High")</f>
        <v>Medium</v>
      </c>
    </row>
    <row r="188" spans="1:20" x14ac:dyDescent="0.25">
      <c r="A188" s="2">
        <v>2013</v>
      </c>
      <c r="B188" s="1" t="s">
        <v>318</v>
      </c>
      <c r="C188" s="1" t="s">
        <v>323</v>
      </c>
      <c r="D188" s="1" t="s">
        <v>324</v>
      </c>
      <c r="E188" s="1" t="s">
        <v>323</v>
      </c>
      <c r="F188" s="1" t="s">
        <v>20</v>
      </c>
      <c r="G188" s="1" t="s">
        <v>414</v>
      </c>
      <c r="H188" s="1" t="s">
        <v>22</v>
      </c>
      <c r="I188" s="1">
        <v>37</v>
      </c>
      <c r="J188" s="1">
        <v>17337</v>
      </c>
      <c r="K188" s="1" t="s">
        <v>23</v>
      </c>
      <c r="L188" s="1" t="s">
        <v>24</v>
      </c>
      <c r="M188" s="1" t="s">
        <v>322</v>
      </c>
      <c r="N188" s="1">
        <v>23600</v>
      </c>
      <c r="O188" s="12">
        <v>20250</v>
      </c>
      <c r="P188" s="3" t="s">
        <v>251</v>
      </c>
      <c r="Q188" s="1" cm="1">
        <f t="array" ref="Q188">VALUE(INDEX(_xlfn.TEXTSPLIT(P188, " "), 4))</f>
        <v>2014</v>
      </c>
      <c r="R188" s="1" t="str">
        <f t="shared" si="2"/>
        <v>Infiniti G Sedan G37 Journey</v>
      </c>
      <c r="S188" s="1" t="str" cm="1">
        <f t="array" ref="S188">_xlfn.IFS(I188 &gt;= 40, "High", I188&gt;=20, "Medium", I188&lt;20, "Low")</f>
        <v>Medium</v>
      </c>
      <c r="T188" s="1" t="str" cm="1">
        <f t="array" ref="T188">_xlfn.IFS(O188&lt;18200, "Low", O188&lt;=50000, "Medium", O188&gt;50000, "High")</f>
        <v>Medium</v>
      </c>
    </row>
    <row r="189" spans="1:20" x14ac:dyDescent="0.25">
      <c r="A189" s="2">
        <v>2013</v>
      </c>
      <c r="B189" s="1" t="s">
        <v>98</v>
      </c>
      <c r="C189" s="1" t="s">
        <v>99</v>
      </c>
      <c r="D189" s="1" t="s">
        <v>348</v>
      </c>
      <c r="E189" s="1" t="s">
        <v>32</v>
      </c>
      <c r="F189" s="1" t="s">
        <v>20</v>
      </c>
      <c r="G189" s="1" t="s">
        <v>415</v>
      </c>
      <c r="H189" s="1" t="s">
        <v>22</v>
      </c>
      <c r="I189" s="1">
        <v>1</v>
      </c>
      <c r="J189" s="1">
        <v>48510</v>
      </c>
      <c r="K189" s="1" t="s">
        <v>23</v>
      </c>
      <c r="L189" s="1" t="s">
        <v>82</v>
      </c>
      <c r="M189" s="1" t="s">
        <v>406</v>
      </c>
      <c r="N189" s="1">
        <v>11350</v>
      </c>
      <c r="O189" s="12">
        <v>6500</v>
      </c>
      <c r="P189" s="3" t="s">
        <v>62</v>
      </c>
      <c r="Q189" s="1" cm="1">
        <f t="array" ref="Q189">VALUE(INDEX(_xlfn.TEXTSPLIT(P189, " "), 4))</f>
        <v>2014</v>
      </c>
      <c r="R189" s="1" t="str">
        <f t="shared" si="2"/>
        <v>Hyundai Sonata GLS</v>
      </c>
      <c r="S189" s="1" t="str" cm="1">
        <f t="array" ref="S189">_xlfn.IFS(I189 &gt;= 40, "High", I189&gt;=20, "Medium", I189&lt;20, "Low")</f>
        <v>Low</v>
      </c>
      <c r="T189" s="1" t="str" cm="1">
        <f t="array" ref="T189">_xlfn.IFS(O189&lt;18200, "Low", O189&lt;=50000, "Medium", O189&gt;50000, "High")</f>
        <v>Low</v>
      </c>
    </row>
    <row r="190" spans="1:20" x14ac:dyDescent="0.25">
      <c r="A190" s="2">
        <v>2013</v>
      </c>
      <c r="B190" s="1" t="s">
        <v>318</v>
      </c>
      <c r="C190" s="1" t="s">
        <v>323</v>
      </c>
      <c r="D190" s="1" t="s">
        <v>324</v>
      </c>
      <c r="E190" s="1" t="s">
        <v>323</v>
      </c>
      <c r="F190" s="1" t="s">
        <v>20</v>
      </c>
      <c r="G190" s="1" t="s">
        <v>416</v>
      </c>
      <c r="H190" s="1" t="s">
        <v>22</v>
      </c>
      <c r="I190" s="1">
        <v>36</v>
      </c>
      <c r="J190" s="1">
        <v>23104</v>
      </c>
      <c r="K190" s="1" t="s">
        <v>94</v>
      </c>
      <c r="L190" s="1" t="s">
        <v>24</v>
      </c>
      <c r="M190" s="1" t="s">
        <v>322</v>
      </c>
      <c r="N190" s="1">
        <v>22900</v>
      </c>
      <c r="O190" s="12">
        <v>22750</v>
      </c>
      <c r="P190" s="3" t="s">
        <v>46</v>
      </c>
      <c r="Q190" s="1" cm="1">
        <f t="array" ref="Q190">VALUE(INDEX(_xlfn.TEXTSPLIT(P190, " "), 4))</f>
        <v>2014</v>
      </c>
      <c r="R190" s="1" t="str">
        <f t="shared" si="2"/>
        <v>Infiniti G Sedan G37 Journey</v>
      </c>
      <c r="S190" s="1" t="str" cm="1">
        <f t="array" ref="S190">_xlfn.IFS(I190 &gt;= 40, "High", I190&gt;=20, "Medium", I190&lt;20, "Low")</f>
        <v>Medium</v>
      </c>
      <c r="T190" s="1" t="str" cm="1">
        <f t="array" ref="T190">_xlfn.IFS(O190&lt;18200, "Low", O190&lt;=50000, "Medium", O190&gt;50000, "High")</f>
        <v>Medium</v>
      </c>
    </row>
    <row r="191" spans="1:20" x14ac:dyDescent="0.25">
      <c r="A191" s="2">
        <v>2013</v>
      </c>
      <c r="B191" s="1" t="s">
        <v>318</v>
      </c>
      <c r="C191" s="1" t="s">
        <v>323</v>
      </c>
      <c r="D191" s="1" t="s">
        <v>324</v>
      </c>
      <c r="E191" s="1" t="s">
        <v>323</v>
      </c>
      <c r="F191" s="1" t="s">
        <v>20</v>
      </c>
      <c r="G191" s="1" t="s">
        <v>417</v>
      </c>
      <c r="H191" s="1" t="s">
        <v>22</v>
      </c>
      <c r="I191" s="1">
        <v>46</v>
      </c>
      <c r="J191" s="1">
        <v>5017</v>
      </c>
      <c r="K191" s="1" t="s">
        <v>23</v>
      </c>
      <c r="L191" s="1" t="s">
        <v>28</v>
      </c>
      <c r="M191" s="1" t="s">
        <v>322</v>
      </c>
      <c r="N191" s="1">
        <v>25100</v>
      </c>
      <c r="O191" s="12">
        <v>23500</v>
      </c>
      <c r="P191" s="3" t="s">
        <v>46</v>
      </c>
      <c r="Q191" s="1" cm="1">
        <f t="array" ref="Q191">VALUE(INDEX(_xlfn.TEXTSPLIT(P191, " "), 4))</f>
        <v>2014</v>
      </c>
      <c r="R191" s="1" t="str">
        <f t="shared" si="2"/>
        <v>Infiniti G Sedan G37 Journey</v>
      </c>
      <c r="S191" s="1" t="str" cm="1">
        <f t="array" ref="S191">_xlfn.IFS(I191 &gt;= 40, "High", I191&gt;=20, "Medium", I191&lt;20, "Low")</f>
        <v>High</v>
      </c>
      <c r="T191" s="1" t="str" cm="1">
        <f t="array" ref="T191">_xlfn.IFS(O191&lt;18200, "Low", O191&lt;=50000, "Medium", O191&gt;50000, "High")</f>
        <v>Medium</v>
      </c>
    </row>
    <row r="192" spans="1:20" x14ac:dyDescent="0.25">
      <c r="A192" s="2">
        <v>2013</v>
      </c>
      <c r="B192" s="1" t="s">
        <v>318</v>
      </c>
      <c r="C192" s="1" t="s">
        <v>323</v>
      </c>
      <c r="D192" s="1" t="s">
        <v>324</v>
      </c>
      <c r="E192" s="1" t="s">
        <v>323</v>
      </c>
      <c r="F192" s="1" t="s">
        <v>20</v>
      </c>
      <c r="G192" s="1" t="s">
        <v>418</v>
      </c>
      <c r="H192" s="1" t="s">
        <v>22</v>
      </c>
      <c r="I192" s="1">
        <v>22</v>
      </c>
      <c r="J192" s="1">
        <v>24054</v>
      </c>
      <c r="K192" s="1" t="s">
        <v>34</v>
      </c>
      <c r="L192" s="1" t="s">
        <v>24</v>
      </c>
      <c r="M192" s="1" t="s">
        <v>322</v>
      </c>
      <c r="N192" s="1">
        <v>22900</v>
      </c>
      <c r="O192" s="12">
        <v>18750</v>
      </c>
      <c r="P192" s="3" t="s">
        <v>251</v>
      </c>
      <c r="Q192" s="1" cm="1">
        <f t="array" ref="Q192">VALUE(INDEX(_xlfn.TEXTSPLIT(P192, " "), 4))</f>
        <v>2014</v>
      </c>
      <c r="R192" s="1" t="str">
        <f t="shared" si="2"/>
        <v>Infiniti G Sedan G37 Journey</v>
      </c>
      <c r="S192" s="1" t="str" cm="1">
        <f t="array" ref="S192">_xlfn.IFS(I192 &gt;= 40, "High", I192&gt;=20, "Medium", I192&lt;20, "Low")</f>
        <v>Medium</v>
      </c>
      <c r="T192" s="1" t="str" cm="1">
        <f t="array" ref="T192">_xlfn.IFS(O192&lt;18200, "Low", O192&lt;=50000, "Medium", O192&gt;50000, "High")</f>
        <v>Medium</v>
      </c>
    </row>
    <row r="193" spans="1:20" x14ac:dyDescent="0.25">
      <c r="A193" s="2">
        <v>2013</v>
      </c>
      <c r="B193" s="1" t="s">
        <v>98</v>
      </c>
      <c r="C193" s="1" t="s">
        <v>99</v>
      </c>
      <c r="D193" s="1" t="s">
        <v>348</v>
      </c>
      <c r="E193" s="1" t="s">
        <v>32</v>
      </c>
      <c r="F193" s="1" t="s">
        <v>20</v>
      </c>
      <c r="G193" s="1" t="s">
        <v>419</v>
      </c>
      <c r="H193" s="1" t="s">
        <v>22</v>
      </c>
      <c r="I193" s="1">
        <v>37</v>
      </c>
      <c r="J193" s="1">
        <v>36194</v>
      </c>
      <c r="K193" s="1" t="s">
        <v>91</v>
      </c>
      <c r="L193" s="1" t="s">
        <v>34</v>
      </c>
      <c r="M193" s="1" t="s">
        <v>95</v>
      </c>
      <c r="N193" s="1">
        <v>12150</v>
      </c>
      <c r="O193" s="12">
        <v>13200</v>
      </c>
      <c r="P193" s="3" t="s">
        <v>57</v>
      </c>
      <c r="Q193" s="1" cm="1">
        <f t="array" ref="Q193">VALUE(INDEX(_xlfn.TEXTSPLIT(P193, " "), 4))</f>
        <v>2014</v>
      </c>
      <c r="R193" s="1" t="str">
        <f t="shared" si="2"/>
        <v>Hyundai Sonata GLS</v>
      </c>
      <c r="S193" s="1" t="str" cm="1">
        <f t="array" ref="S193">_xlfn.IFS(I193 &gt;= 40, "High", I193&gt;=20, "Medium", I193&lt;20, "Low")</f>
        <v>Medium</v>
      </c>
      <c r="T193" s="1" t="str" cm="1">
        <f t="array" ref="T193">_xlfn.IFS(O193&lt;18200, "Low", O193&lt;=50000, "Medium", O193&gt;50000, "High")</f>
        <v>Low</v>
      </c>
    </row>
    <row r="194" spans="1:20" x14ac:dyDescent="0.25">
      <c r="A194" s="2">
        <v>2013</v>
      </c>
      <c r="B194" s="1" t="s">
        <v>318</v>
      </c>
      <c r="C194" s="1" t="s">
        <v>323</v>
      </c>
      <c r="D194" s="1" t="s">
        <v>324</v>
      </c>
      <c r="E194" s="1" t="s">
        <v>323</v>
      </c>
      <c r="F194" s="1" t="s">
        <v>20</v>
      </c>
      <c r="G194" s="1" t="s">
        <v>420</v>
      </c>
      <c r="H194" s="1" t="s">
        <v>22</v>
      </c>
      <c r="I194" s="1">
        <v>26</v>
      </c>
      <c r="J194" s="1">
        <v>14264</v>
      </c>
      <c r="K194" s="1" t="s">
        <v>23</v>
      </c>
      <c r="L194" s="1" t="s">
        <v>82</v>
      </c>
      <c r="M194" s="1" t="s">
        <v>322</v>
      </c>
      <c r="N194" s="1">
        <v>23900</v>
      </c>
      <c r="O194" s="12">
        <v>20750</v>
      </c>
      <c r="P194" s="3" t="s">
        <v>251</v>
      </c>
      <c r="Q194" s="1" cm="1">
        <f t="array" ref="Q194">VALUE(INDEX(_xlfn.TEXTSPLIT(P194, " "), 4))</f>
        <v>2014</v>
      </c>
      <c r="R194" s="1" t="str">
        <f t="shared" si="2"/>
        <v>Infiniti G Sedan G37 Journey</v>
      </c>
      <c r="S194" s="1" t="str" cm="1">
        <f t="array" ref="S194">_xlfn.IFS(I194 &gt;= 40, "High", I194&gt;=20, "Medium", I194&lt;20, "Low")</f>
        <v>Medium</v>
      </c>
      <c r="T194" s="1" t="str" cm="1">
        <f t="array" ref="T194">_xlfn.IFS(O194&lt;18200, "Low", O194&lt;=50000, "Medium", O194&gt;50000, "High")</f>
        <v>Medium</v>
      </c>
    </row>
    <row r="195" spans="1:20" x14ac:dyDescent="0.25">
      <c r="A195" s="2">
        <v>2013</v>
      </c>
      <c r="B195" s="1" t="s">
        <v>98</v>
      </c>
      <c r="C195" s="1" t="s">
        <v>363</v>
      </c>
      <c r="D195" s="1" t="s">
        <v>337</v>
      </c>
      <c r="E195" s="1" t="s">
        <v>32</v>
      </c>
      <c r="F195" s="1" t="s">
        <v>20</v>
      </c>
      <c r="G195" s="1" t="s">
        <v>421</v>
      </c>
      <c r="H195" s="1" t="s">
        <v>22</v>
      </c>
      <c r="I195" s="1">
        <v>47</v>
      </c>
      <c r="J195" s="1">
        <v>8595</v>
      </c>
      <c r="K195" s="1" t="s">
        <v>91</v>
      </c>
      <c r="L195" s="1" t="s">
        <v>34</v>
      </c>
      <c r="M195" s="1" t="s">
        <v>343</v>
      </c>
      <c r="N195" s="1">
        <v>19100</v>
      </c>
      <c r="O195" s="12">
        <v>18500</v>
      </c>
      <c r="P195" s="3" t="s">
        <v>84</v>
      </c>
      <c r="Q195" s="1" cm="1">
        <f t="array" ref="Q195">VALUE(INDEX(_xlfn.TEXTSPLIT(P195, " "), 4))</f>
        <v>2014</v>
      </c>
      <c r="R195" s="1" t="str">
        <f t="shared" ref="R195:R258" si="3">_xlfn.TEXTJOIN(" ", TRUE, B195, C195, D195)</f>
        <v>Hyundai Sonata Hybrid Limited</v>
      </c>
      <c r="S195" s="1" t="str" cm="1">
        <f t="array" ref="S195">_xlfn.IFS(I195 &gt;= 40, "High", I195&gt;=20, "Medium", I195&lt;20, "Low")</f>
        <v>High</v>
      </c>
      <c r="T195" s="1" t="str" cm="1">
        <f t="array" ref="T195">_xlfn.IFS(O195&lt;18200, "Low", O195&lt;=50000, "Medium", O195&gt;50000, "High")</f>
        <v>Medium</v>
      </c>
    </row>
    <row r="196" spans="1:20" x14ac:dyDescent="0.25">
      <c r="A196" s="2">
        <v>2013</v>
      </c>
      <c r="B196" s="1" t="s">
        <v>98</v>
      </c>
      <c r="C196" s="1" t="s">
        <v>398</v>
      </c>
      <c r="D196" s="1" t="s">
        <v>422</v>
      </c>
      <c r="E196" s="1" t="s">
        <v>227</v>
      </c>
      <c r="F196" s="1" t="s">
        <v>20</v>
      </c>
      <c r="G196" s="1" t="s">
        <v>423</v>
      </c>
      <c r="H196" s="1" t="s">
        <v>22</v>
      </c>
      <c r="I196" s="1">
        <v>46</v>
      </c>
      <c r="J196" s="1">
        <v>9927</v>
      </c>
      <c r="K196" s="1" t="s">
        <v>24</v>
      </c>
      <c r="L196" s="1" t="s">
        <v>24</v>
      </c>
      <c r="M196" s="1" t="s">
        <v>343</v>
      </c>
      <c r="N196" s="1">
        <v>10800</v>
      </c>
      <c r="O196" s="12">
        <v>11300</v>
      </c>
      <c r="P196" s="3" t="s">
        <v>84</v>
      </c>
      <c r="Q196" s="1" cm="1">
        <f t="array" ref="Q196">VALUE(INDEX(_xlfn.TEXTSPLIT(P196, " "), 4))</f>
        <v>2014</v>
      </c>
      <c r="R196" s="1" t="str">
        <f t="shared" si="3"/>
        <v>Hyundai Accent GS</v>
      </c>
      <c r="S196" s="1" t="str" cm="1">
        <f t="array" ref="S196">_xlfn.IFS(I196 &gt;= 40, "High", I196&gt;=20, "Medium", I196&lt;20, "Low")</f>
        <v>High</v>
      </c>
      <c r="T196" s="1" t="str" cm="1">
        <f t="array" ref="T196">_xlfn.IFS(O196&lt;18200, "Low", O196&lt;=50000, "Medium", O196&gt;50000, "High")</f>
        <v>Low</v>
      </c>
    </row>
    <row r="197" spans="1:20" x14ac:dyDescent="0.25">
      <c r="A197" s="2">
        <v>2013</v>
      </c>
      <c r="B197" s="1" t="s">
        <v>98</v>
      </c>
      <c r="C197" s="1" t="s">
        <v>219</v>
      </c>
      <c r="D197" s="1" t="s">
        <v>348</v>
      </c>
      <c r="E197" s="1" t="s">
        <v>32</v>
      </c>
      <c r="F197" s="1" t="s">
        <v>20</v>
      </c>
      <c r="G197" s="1" t="s">
        <v>424</v>
      </c>
      <c r="H197" s="1" t="s">
        <v>22</v>
      </c>
      <c r="I197" s="1">
        <v>35</v>
      </c>
      <c r="J197" s="1">
        <v>37759</v>
      </c>
      <c r="K197" s="1" t="s">
        <v>28</v>
      </c>
      <c r="L197" s="1" t="s">
        <v>28</v>
      </c>
      <c r="M197" s="1" t="s">
        <v>182</v>
      </c>
      <c r="N197" s="1">
        <v>11400</v>
      </c>
      <c r="O197" s="12">
        <v>11800</v>
      </c>
      <c r="P197" s="3" t="s">
        <v>26</v>
      </c>
      <c r="Q197" s="1" cm="1">
        <f t="array" ref="Q197">VALUE(INDEX(_xlfn.TEXTSPLIT(P197, " "), 4))</f>
        <v>2014</v>
      </c>
      <c r="R197" s="1" t="str">
        <f t="shared" si="3"/>
        <v>Hyundai Elantra GLS</v>
      </c>
      <c r="S197" s="1" t="str" cm="1">
        <f t="array" ref="S197">_xlfn.IFS(I197 &gt;= 40, "High", I197&gt;=20, "Medium", I197&lt;20, "Low")</f>
        <v>Medium</v>
      </c>
      <c r="T197" s="1" t="str" cm="1">
        <f t="array" ref="T197">_xlfn.IFS(O197&lt;18200, "Low", O197&lt;=50000, "Medium", O197&gt;50000, "High")</f>
        <v>Low</v>
      </c>
    </row>
    <row r="198" spans="1:20" x14ac:dyDescent="0.25">
      <c r="A198" s="2">
        <v>2013</v>
      </c>
      <c r="B198" s="1" t="s">
        <v>318</v>
      </c>
      <c r="C198" s="1" t="s">
        <v>323</v>
      </c>
      <c r="D198" s="1" t="s">
        <v>324</v>
      </c>
      <c r="E198" s="1" t="s">
        <v>323</v>
      </c>
      <c r="F198" s="1" t="s">
        <v>20</v>
      </c>
      <c r="G198" s="1" t="s">
        <v>425</v>
      </c>
      <c r="H198" s="1" t="s">
        <v>22</v>
      </c>
      <c r="I198" s="1">
        <v>43</v>
      </c>
      <c r="J198" s="1">
        <v>17232</v>
      </c>
      <c r="K198" s="1" t="s">
        <v>23</v>
      </c>
      <c r="L198" s="1" t="s">
        <v>101</v>
      </c>
      <c r="M198" s="1" t="s">
        <v>322</v>
      </c>
      <c r="N198" s="1">
        <v>23600</v>
      </c>
      <c r="O198" s="12">
        <v>24500</v>
      </c>
      <c r="P198" s="3" t="s">
        <v>46</v>
      </c>
      <c r="Q198" s="1" cm="1">
        <f t="array" ref="Q198">VALUE(INDEX(_xlfn.TEXTSPLIT(P198, " "), 4))</f>
        <v>2014</v>
      </c>
      <c r="R198" s="1" t="str">
        <f t="shared" si="3"/>
        <v>Infiniti G Sedan G37 Journey</v>
      </c>
      <c r="S198" s="1" t="str" cm="1">
        <f t="array" ref="S198">_xlfn.IFS(I198 &gt;= 40, "High", I198&gt;=20, "Medium", I198&lt;20, "Low")</f>
        <v>High</v>
      </c>
      <c r="T198" s="1" t="str" cm="1">
        <f t="array" ref="T198">_xlfn.IFS(O198&lt;18200, "Low", O198&lt;=50000, "Medium", O198&gt;50000, "High")</f>
        <v>Medium</v>
      </c>
    </row>
    <row r="199" spans="1:20" x14ac:dyDescent="0.25">
      <c r="A199" s="2">
        <v>2013</v>
      </c>
      <c r="B199" s="1" t="s">
        <v>318</v>
      </c>
      <c r="C199" s="1" t="s">
        <v>331</v>
      </c>
      <c r="D199" s="1" t="s">
        <v>332</v>
      </c>
      <c r="E199" s="1" t="s">
        <v>19</v>
      </c>
      <c r="F199" s="1" t="s">
        <v>20</v>
      </c>
      <c r="G199" s="1" t="s">
        <v>426</v>
      </c>
      <c r="H199" s="1" t="s">
        <v>22</v>
      </c>
      <c r="I199" s="1">
        <v>41</v>
      </c>
      <c r="J199" s="1">
        <v>40087</v>
      </c>
      <c r="K199" s="1" t="s">
        <v>34</v>
      </c>
      <c r="L199" s="1" t="s">
        <v>24</v>
      </c>
      <c r="M199" s="1" t="s">
        <v>335</v>
      </c>
      <c r="N199" s="1">
        <v>27700</v>
      </c>
      <c r="O199" s="12">
        <v>27250</v>
      </c>
      <c r="P199" s="3" t="s">
        <v>251</v>
      </c>
      <c r="Q199" s="1" cm="1">
        <f t="array" ref="Q199">VALUE(INDEX(_xlfn.TEXTSPLIT(P199, " "), 4))</f>
        <v>2014</v>
      </c>
      <c r="R199" s="1" t="str">
        <f t="shared" si="3"/>
        <v>Infiniti FX FX37</v>
      </c>
      <c r="S199" s="1" t="str" cm="1">
        <f t="array" ref="S199">_xlfn.IFS(I199 &gt;= 40, "High", I199&gt;=20, "Medium", I199&lt;20, "Low")</f>
        <v>High</v>
      </c>
      <c r="T199" s="1" t="str" cm="1">
        <f t="array" ref="T199">_xlfn.IFS(O199&lt;18200, "Low", O199&lt;=50000, "Medium", O199&gt;50000, "High")</f>
        <v>Medium</v>
      </c>
    </row>
    <row r="200" spans="1:20" x14ac:dyDescent="0.25">
      <c r="A200" s="2">
        <v>2013</v>
      </c>
      <c r="B200" s="1" t="s">
        <v>98</v>
      </c>
      <c r="C200" s="1" t="s">
        <v>219</v>
      </c>
      <c r="D200" s="1" t="s">
        <v>348</v>
      </c>
      <c r="E200" s="1" t="s">
        <v>32</v>
      </c>
      <c r="F200" s="1" t="s">
        <v>20</v>
      </c>
      <c r="G200" s="1" t="s">
        <v>427</v>
      </c>
      <c r="H200" s="1" t="s">
        <v>22</v>
      </c>
      <c r="I200" s="1">
        <v>1</v>
      </c>
      <c r="J200" s="1">
        <v>25960</v>
      </c>
      <c r="K200" s="1" t="s">
        <v>34</v>
      </c>
      <c r="L200" s="1" t="s">
        <v>34</v>
      </c>
      <c r="M200" s="1" t="s">
        <v>51</v>
      </c>
      <c r="N200" s="1">
        <v>12100</v>
      </c>
      <c r="O200" s="12">
        <v>8800</v>
      </c>
      <c r="P200" s="3" t="s">
        <v>84</v>
      </c>
      <c r="Q200" s="1" cm="1">
        <f t="array" ref="Q200">VALUE(INDEX(_xlfn.TEXTSPLIT(P200, " "), 4))</f>
        <v>2014</v>
      </c>
      <c r="R200" s="1" t="str">
        <f t="shared" si="3"/>
        <v>Hyundai Elantra GLS</v>
      </c>
      <c r="S200" s="1" t="str" cm="1">
        <f t="array" ref="S200">_xlfn.IFS(I200 &gt;= 40, "High", I200&gt;=20, "Medium", I200&lt;20, "Low")</f>
        <v>Low</v>
      </c>
      <c r="T200" s="1" t="str" cm="1">
        <f t="array" ref="T200">_xlfn.IFS(O200&lt;18200, "Low", O200&lt;=50000, "Medium", O200&gt;50000, "High")</f>
        <v>Low</v>
      </c>
    </row>
    <row r="201" spans="1:20" x14ac:dyDescent="0.25">
      <c r="A201" s="2">
        <v>2013</v>
      </c>
      <c r="B201" s="1" t="s">
        <v>318</v>
      </c>
      <c r="C201" s="1" t="s">
        <v>323</v>
      </c>
      <c r="D201" s="1" t="s">
        <v>324</v>
      </c>
      <c r="E201" s="1" t="s">
        <v>323</v>
      </c>
      <c r="F201" s="1" t="s">
        <v>20</v>
      </c>
      <c r="G201" s="1" t="s">
        <v>428</v>
      </c>
      <c r="H201" s="1" t="s">
        <v>22</v>
      </c>
      <c r="I201" s="1">
        <v>35</v>
      </c>
      <c r="J201" s="1">
        <v>25132</v>
      </c>
      <c r="K201" s="1" t="s">
        <v>23</v>
      </c>
      <c r="L201" s="1" t="s">
        <v>24</v>
      </c>
      <c r="M201" s="1" t="s">
        <v>322</v>
      </c>
      <c r="N201" s="1">
        <v>22600</v>
      </c>
      <c r="O201" s="12">
        <v>23500</v>
      </c>
      <c r="P201" s="3" t="s">
        <v>46</v>
      </c>
      <c r="Q201" s="1" cm="1">
        <f t="array" ref="Q201">VALUE(INDEX(_xlfn.TEXTSPLIT(P201, " "), 4))</f>
        <v>2014</v>
      </c>
      <c r="R201" s="1" t="str">
        <f t="shared" si="3"/>
        <v>Infiniti G Sedan G37 Journey</v>
      </c>
      <c r="S201" s="1" t="str" cm="1">
        <f t="array" ref="S201">_xlfn.IFS(I201 &gt;= 40, "High", I201&gt;=20, "Medium", I201&lt;20, "Low")</f>
        <v>Medium</v>
      </c>
      <c r="T201" s="1" t="str" cm="1">
        <f t="array" ref="T201">_xlfn.IFS(O201&lt;18200, "Low", O201&lt;=50000, "Medium", O201&gt;50000, "High")</f>
        <v>Medium</v>
      </c>
    </row>
    <row r="202" spans="1:20" x14ac:dyDescent="0.25">
      <c r="A202" s="2">
        <v>2013</v>
      </c>
      <c r="B202" s="1" t="s">
        <v>318</v>
      </c>
      <c r="C202" s="1" t="s">
        <v>323</v>
      </c>
      <c r="D202" s="1" t="s">
        <v>324</v>
      </c>
      <c r="E202" s="1" t="s">
        <v>323</v>
      </c>
      <c r="F202" s="1" t="s">
        <v>20</v>
      </c>
      <c r="G202" s="1" t="s">
        <v>429</v>
      </c>
      <c r="H202" s="1" t="s">
        <v>22</v>
      </c>
      <c r="I202" s="1">
        <v>43</v>
      </c>
      <c r="J202" s="1">
        <v>14887</v>
      </c>
      <c r="K202" s="1" t="s">
        <v>34</v>
      </c>
      <c r="L202" s="1" t="s">
        <v>24</v>
      </c>
      <c r="M202" s="1" t="s">
        <v>322</v>
      </c>
      <c r="N202" s="1">
        <v>23900</v>
      </c>
      <c r="O202" s="12">
        <v>24500</v>
      </c>
      <c r="P202" s="3" t="s">
        <v>46</v>
      </c>
      <c r="Q202" s="1" cm="1">
        <f t="array" ref="Q202">VALUE(INDEX(_xlfn.TEXTSPLIT(P202, " "), 4))</f>
        <v>2014</v>
      </c>
      <c r="R202" s="1" t="str">
        <f t="shared" si="3"/>
        <v>Infiniti G Sedan G37 Journey</v>
      </c>
      <c r="S202" s="1" t="str" cm="1">
        <f t="array" ref="S202">_xlfn.IFS(I202 &gt;= 40, "High", I202&gt;=20, "Medium", I202&lt;20, "Low")</f>
        <v>High</v>
      </c>
      <c r="T202" s="1" t="str" cm="1">
        <f t="array" ref="T202">_xlfn.IFS(O202&lt;18200, "Low", O202&lt;=50000, "Medium", O202&gt;50000, "High")</f>
        <v>Medium</v>
      </c>
    </row>
    <row r="203" spans="1:20" x14ac:dyDescent="0.25">
      <c r="A203" s="2">
        <v>2013</v>
      </c>
      <c r="B203" s="1" t="s">
        <v>98</v>
      </c>
      <c r="C203" s="1" t="s">
        <v>398</v>
      </c>
      <c r="D203" s="1" t="s">
        <v>348</v>
      </c>
      <c r="E203" s="1" t="s">
        <v>32</v>
      </c>
      <c r="F203" s="1" t="s">
        <v>20</v>
      </c>
      <c r="G203" s="1" t="s">
        <v>430</v>
      </c>
      <c r="H203" s="1" t="s">
        <v>22</v>
      </c>
      <c r="I203" s="1">
        <v>36</v>
      </c>
      <c r="J203" s="1">
        <v>41841</v>
      </c>
      <c r="K203" s="1" t="s">
        <v>34</v>
      </c>
      <c r="L203" s="1" t="s">
        <v>28</v>
      </c>
      <c r="M203" s="1" t="s">
        <v>431</v>
      </c>
      <c r="N203" s="1">
        <v>9425</v>
      </c>
      <c r="O203" s="12">
        <v>9400</v>
      </c>
      <c r="P203" s="3" t="s">
        <v>26</v>
      </c>
      <c r="Q203" s="1" cm="1">
        <f t="array" ref="Q203">VALUE(INDEX(_xlfn.TEXTSPLIT(P203, " "), 4))</f>
        <v>2014</v>
      </c>
      <c r="R203" s="1" t="str">
        <f t="shared" si="3"/>
        <v>Hyundai Accent GLS</v>
      </c>
      <c r="S203" s="1" t="str" cm="1">
        <f t="array" ref="S203">_xlfn.IFS(I203 &gt;= 40, "High", I203&gt;=20, "Medium", I203&lt;20, "Low")</f>
        <v>Medium</v>
      </c>
      <c r="T203" s="1" t="str" cm="1">
        <f t="array" ref="T203">_xlfn.IFS(O203&lt;18200, "Low", O203&lt;=50000, "Medium", O203&gt;50000, "High")</f>
        <v>Low</v>
      </c>
    </row>
    <row r="204" spans="1:20" x14ac:dyDescent="0.25">
      <c r="A204" s="2">
        <v>2013</v>
      </c>
      <c r="B204" s="1" t="s">
        <v>98</v>
      </c>
      <c r="C204" s="1" t="s">
        <v>432</v>
      </c>
      <c r="D204" s="1" t="s">
        <v>54</v>
      </c>
      <c r="E204" s="1" t="s">
        <v>32</v>
      </c>
      <c r="F204" s="1" t="s">
        <v>20</v>
      </c>
      <c r="G204" s="1" t="s">
        <v>433</v>
      </c>
      <c r="H204" s="1" t="s">
        <v>22</v>
      </c>
      <c r="I204" s="1">
        <v>45</v>
      </c>
      <c r="J204" s="1">
        <v>34566</v>
      </c>
      <c r="K204" s="1" t="s">
        <v>91</v>
      </c>
      <c r="L204" s="1" t="s">
        <v>24</v>
      </c>
      <c r="M204" s="1" t="s">
        <v>343</v>
      </c>
      <c r="N204" s="1">
        <v>20000</v>
      </c>
      <c r="O204" s="12">
        <v>20300</v>
      </c>
      <c r="P204" s="3" t="s">
        <v>84</v>
      </c>
      <c r="Q204" s="1" cm="1">
        <f t="array" ref="Q204">VALUE(INDEX(_xlfn.TEXTSPLIT(P204, " "), 4))</f>
        <v>2014</v>
      </c>
      <c r="R204" s="1" t="str">
        <f t="shared" si="3"/>
        <v>Hyundai Azera Base</v>
      </c>
      <c r="S204" s="1" t="str" cm="1">
        <f t="array" ref="S204">_xlfn.IFS(I204 &gt;= 40, "High", I204&gt;=20, "Medium", I204&lt;20, "Low")</f>
        <v>High</v>
      </c>
      <c r="T204" s="1" t="str" cm="1">
        <f t="array" ref="T204">_xlfn.IFS(O204&lt;18200, "Low", O204&lt;=50000, "Medium", O204&gt;50000, "High")</f>
        <v>Medium</v>
      </c>
    </row>
    <row r="205" spans="1:20" x14ac:dyDescent="0.25">
      <c r="A205" s="2">
        <v>2013</v>
      </c>
      <c r="B205" s="1" t="s">
        <v>98</v>
      </c>
      <c r="C205" s="1" t="s">
        <v>336</v>
      </c>
      <c r="D205" s="1" t="s">
        <v>392</v>
      </c>
      <c r="E205" s="1" t="s">
        <v>19</v>
      </c>
      <c r="F205" s="1" t="s">
        <v>20</v>
      </c>
      <c r="G205" s="1" t="s">
        <v>434</v>
      </c>
      <c r="H205" s="1" t="s">
        <v>22</v>
      </c>
      <c r="I205" s="1">
        <v>5</v>
      </c>
      <c r="J205" s="1">
        <v>10747</v>
      </c>
      <c r="K205" s="1" t="s">
        <v>24</v>
      </c>
      <c r="L205" s="1" t="s">
        <v>24</v>
      </c>
      <c r="M205" s="1" t="s">
        <v>343</v>
      </c>
      <c r="N205" s="1">
        <v>19850</v>
      </c>
      <c r="O205" s="12">
        <v>25800</v>
      </c>
      <c r="P205" s="3" t="s">
        <v>84</v>
      </c>
      <c r="Q205" s="1" cm="1">
        <f t="array" ref="Q205">VALUE(INDEX(_xlfn.TEXTSPLIT(P205, " "), 4))</f>
        <v>2014</v>
      </c>
      <c r="R205" s="1" t="str">
        <f t="shared" si="3"/>
        <v>Hyundai Santa Fe Sport 2.0T</v>
      </c>
      <c r="S205" s="1" t="str" cm="1">
        <f t="array" ref="S205">_xlfn.IFS(I205 &gt;= 40, "High", I205&gt;=20, "Medium", I205&lt;20, "Low")</f>
        <v>Low</v>
      </c>
      <c r="T205" s="1" t="str" cm="1">
        <f t="array" ref="T205">_xlfn.IFS(O205&lt;18200, "Low", O205&lt;=50000, "Medium", O205&gt;50000, "High")</f>
        <v>Medium</v>
      </c>
    </row>
    <row r="206" spans="1:20" x14ac:dyDescent="0.25">
      <c r="A206" s="2">
        <v>2013</v>
      </c>
      <c r="B206" s="1" t="s">
        <v>98</v>
      </c>
      <c r="C206" s="1" t="s">
        <v>219</v>
      </c>
      <c r="D206" s="1" t="s">
        <v>348</v>
      </c>
      <c r="E206" s="1" t="s">
        <v>32</v>
      </c>
      <c r="F206" s="1" t="s">
        <v>20</v>
      </c>
      <c r="G206" s="1" t="s">
        <v>435</v>
      </c>
      <c r="H206" s="1" t="s">
        <v>22</v>
      </c>
      <c r="I206" s="1">
        <v>1</v>
      </c>
      <c r="J206" s="1">
        <v>42798</v>
      </c>
      <c r="K206" s="1" t="s">
        <v>34</v>
      </c>
      <c r="L206" s="1" t="s">
        <v>34</v>
      </c>
      <c r="M206" s="1" t="s">
        <v>436</v>
      </c>
      <c r="N206" s="1">
        <v>11100</v>
      </c>
      <c r="O206" s="12">
        <v>7600</v>
      </c>
      <c r="P206" s="3" t="s">
        <v>84</v>
      </c>
      <c r="Q206" s="1" cm="1">
        <f t="array" ref="Q206">VALUE(INDEX(_xlfn.TEXTSPLIT(P206, " "), 4))</f>
        <v>2014</v>
      </c>
      <c r="R206" s="1" t="str">
        <f t="shared" si="3"/>
        <v>Hyundai Elantra GLS</v>
      </c>
      <c r="S206" s="1" t="str" cm="1">
        <f t="array" ref="S206">_xlfn.IFS(I206 &gt;= 40, "High", I206&gt;=20, "Medium", I206&lt;20, "Low")</f>
        <v>Low</v>
      </c>
      <c r="T206" s="1" t="str" cm="1">
        <f t="array" ref="T206">_xlfn.IFS(O206&lt;18200, "Low", O206&lt;=50000, "Medium", O206&gt;50000, "High")</f>
        <v>Low</v>
      </c>
    </row>
    <row r="207" spans="1:20" x14ac:dyDescent="0.25">
      <c r="A207" s="2">
        <v>2013</v>
      </c>
      <c r="B207" s="1" t="s">
        <v>98</v>
      </c>
      <c r="C207" s="1" t="s">
        <v>363</v>
      </c>
      <c r="D207" s="1" t="s">
        <v>54</v>
      </c>
      <c r="E207" s="1" t="s">
        <v>32</v>
      </c>
      <c r="F207" s="1" t="s">
        <v>20</v>
      </c>
      <c r="G207" s="1" t="s">
        <v>437</v>
      </c>
      <c r="H207" s="1" t="s">
        <v>22</v>
      </c>
      <c r="I207" s="1">
        <v>44</v>
      </c>
      <c r="J207" s="1">
        <v>16684</v>
      </c>
      <c r="K207" s="1" t="s">
        <v>23</v>
      </c>
      <c r="L207" s="1" t="s">
        <v>82</v>
      </c>
      <c r="M207" s="1" t="s">
        <v>343</v>
      </c>
      <c r="N207" s="1">
        <v>14900</v>
      </c>
      <c r="O207" s="12">
        <v>14800</v>
      </c>
      <c r="P207" s="3" t="s">
        <v>84</v>
      </c>
      <c r="Q207" s="1" cm="1">
        <f t="array" ref="Q207">VALUE(INDEX(_xlfn.TEXTSPLIT(P207, " "), 4))</f>
        <v>2014</v>
      </c>
      <c r="R207" s="1" t="str">
        <f t="shared" si="3"/>
        <v>Hyundai Sonata Hybrid Base</v>
      </c>
      <c r="S207" s="1" t="str" cm="1">
        <f t="array" ref="S207">_xlfn.IFS(I207 &gt;= 40, "High", I207&gt;=20, "Medium", I207&lt;20, "Low")</f>
        <v>High</v>
      </c>
      <c r="T207" s="1" t="str" cm="1">
        <f t="array" ref="T207">_xlfn.IFS(O207&lt;18200, "Low", O207&lt;=50000, "Medium", O207&gt;50000, "High")</f>
        <v>Low</v>
      </c>
    </row>
    <row r="208" spans="1:20" x14ac:dyDescent="0.25">
      <c r="A208" s="2">
        <v>2013</v>
      </c>
      <c r="B208" s="1" t="s">
        <v>318</v>
      </c>
      <c r="C208" s="1" t="s">
        <v>323</v>
      </c>
      <c r="D208" s="1" t="s">
        <v>324</v>
      </c>
      <c r="E208" s="1" t="s">
        <v>323</v>
      </c>
      <c r="F208" s="1" t="s">
        <v>20</v>
      </c>
      <c r="G208" s="1" t="s">
        <v>438</v>
      </c>
      <c r="H208" s="1" t="s">
        <v>22</v>
      </c>
      <c r="I208" s="1">
        <v>19</v>
      </c>
      <c r="J208" s="1">
        <v>18420</v>
      </c>
      <c r="K208" s="1" t="s">
        <v>34</v>
      </c>
      <c r="L208" s="1" t="s">
        <v>28</v>
      </c>
      <c r="M208" s="1" t="s">
        <v>322</v>
      </c>
      <c r="N208" s="1">
        <v>23700</v>
      </c>
      <c r="O208" s="12">
        <v>18250</v>
      </c>
      <c r="P208" s="3" t="s">
        <v>26</v>
      </c>
      <c r="Q208" s="1" cm="1">
        <f t="array" ref="Q208">VALUE(INDEX(_xlfn.TEXTSPLIT(P208, " "), 4))</f>
        <v>2014</v>
      </c>
      <c r="R208" s="1" t="str">
        <f t="shared" si="3"/>
        <v>Infiniti G Sedan G37 Journey</v>
      </c>
      <c r="S208" s="1" t="str" cm="1">
        <f t="array" ref="S208">_xlfn.IFS(I208 &gt;= 40, "High", I208&gt;=20, "Medium", I208&lt;20, "Low")</f>
        <v>Low</v>
      </c>
      <c r="T208" s="1" t="str" cm="1">
        <f t="array" ref="T208">_xlfn.IFS(O208&lt;18200, "Low", O208&lt;=50000, "Medium", O208&gt;50000, "High")</f>
        <v>Medium</v>
      </c>
    </row>
    <row r="209" spans="1:20" x14ac:dyDescent="0.25">
      <c r="A209" s="2">
        <v>2013</v>
      </c>
      <c r="B209" s="1" t="s">
        <v>98</v>
      </c>
      <c r="C209" s="1" t="s">
        <v>219</v>
      </c>
      <c r="D209" s="1" t="s">
        <v>348</v>
      </c>
      <c r="E209" s="1" t="s">
        <v>32</v>
      </c>
      <c r="F209" s="1" t="s">
        <v>20</v>
      </c>
      <c r="G209" s="1" t="s">
        <v>439</v>
      </c>
      <c r="H209" s="1" t="s">
        <v>22</v>
      </c>
      <c r="I209" s="1">
        <v>2</v>
      </c>
      <c r="J209" s="1">
        <v>35824</v>
      </c>
      <c r="K209" s="1" t="s">
        <v>34</v>
      </c>
      <c r="L209" s="1" t="s">
        <v>34</v>
      </c>
      <c r="M209" s="1" t="s">
        <v>51</v>
      </c>
      <c r="N209" s="1">
        <v>11500</v>
      </c>
      <c r="O209" s="12">
        <v>8700</v>
      </c>
      <c r="P209" s="3" t="s">
        <v>68</v>
      </c>
      <c r="Q209" s="1" cm="1">
        <f t="array" ref="Q209">VALUE(INDEX(_xlfn.TEXTSPLIT(P209, " "), 4))</f>
        <v>2014</v>
      </c>
      <c r="R209" s="1" t="str">
        <f t="shared" si="3"/>
        <v>Hyundai Elantra GLS</v>
      </c>
      <c r="S209" s="1" t="str" cm="1">
        <f t="array" ref="S209">_xlfn.IFS(I209 &gt;= 40, "High", I209&gt;=20, "Medium", I209&lt;20, "Low")</f>
        <v>Low</v>
      </c>
      <c r="T209" s="1" t="str" cm="1">
        <f t="array" ref="T209">_xlfn.IFS(O209&lt;18200, "Low", O209&lt;=50000, "Medium", O209&gt;50000, "High")</f>
        <v>Low</v>
      </c>
    </row>
    <row r="210" spans="1:20" x14ac:dyDescent="0.25">
      <c r="A210" s="2">
        <v>2013</v>
      </c>
      <c r="B210" s="1" t="s">
        <v>318</v>
      </c>
      <c r="C210" s="1" t="s">
        <v>319</v>
      </c>
      <c r="D210" s="1" t="s">
        <v>320</v>
      </c>
      <c r="E210" s="1" t="s">
        <v>319</v>
      </c>
      <c r="F210" s="1" t="s">
        <v>20</v>
      </c>
      <c r="G210" s="1" t="s">
        <v>440</v>
      </c>
      <c r="H210" s="1" t="s">
        <v>22</v>
      </c>
      <c r="I210" s="1">
        <v>41</v>
      </c>
      <c r="J210" s="1">
        <v>17090</v>
      </c>
      <c r="K210" s="1" t="s">
        <v>24</v>
      </c>
      <c r="L210" s="1" t="s">
        <v>24</v>
      </c>
      <c r="M210" s="1" t="s">
        <v>322</v>
      </c>
      <c r="N210" s="1">
        <v>25600</v>
      </c>
      <c r="O210" s="12">
        <v>21500</v>
      </c>
      <c r="P210" s="3" t="s">
        <v>46</v>
      </c>
      <c r="Q210" s="1" cm="1">
        <f t="array" ref="Q210">VALUE(INDEX(_xlfn.TEXTSPLIT(P210, " "), 4))</f>
        <v>2014</v>
      </c>
      <c r="R210" s="1" t="str">
        <f t="shared" si="3"/>
        <v>Infiniti G Coupe G37 Sport</v>
      </c>
      <c r="S210" s="1" t="str" cm="1">
        <f t="array" ref="S210">_xlfn.IFS(I210 &gt;= 40, "High", I210&gt;=20, "Medium", I210&lt;20, "Low")</f>
        <v>High</v>
      </c>
      <c r="T210" s="1" t="str" cm="1">
        <f t="array" ref="T210">_xlfn.IFS(O210&lt;18200, "Low", O210&lt;=50000, "Medium", O210&gt;50000, "High")</f>
        <v>Medium</v>
      </c>
    </row>
    <row r="211" spans="1:20" x14ac:dyDescent="0.25">
      <c r="A211" s="2">
        <v>2013</v>
      </c>
      <c r="B211" s="1" t="s">
        <v>318</v>
      </c>
      <c r="C211" s="1" t="s">
        <v>319</v>
      </c>
      <c r="D211" s="1" t="s">
        <v>320</v>
      </c>
      <c r="E211" s="1" t="s">
        <v>319</v>
      </c>
      <c r="F211" s="1" t="s">
        <v>20</v>
      </c>
      <c r="G211" s="1" t="s">
        <v>441</v>
      </c>
      <c r="H211" s="1" t="s">
        <v>22</v>
      </c>
      <c r="I211" s="1">
        <v>26</v>
      </c>
      <c r="J211" s="1">
        <v>12735</v>
      </c>
      <c r="K211" s="1" t="s">
        <v>24</v>
      </c>
      <c r="L211" s="1" t="s">
        <v>24</v>
      </c>
      <c r="M211" s="1" t="s">
        <v>322</v>
      </c>
      <c r="N211" s="1">
        <v>26300</v>
      </c>
      <c r="O211" s="12">
        <v>22500</v>
      </c>
      <c r="P211" s="3" t="s">
        <v>26</v>
      </c>
      <c r="Q211" s="1" cm="1">
        <f t="array" ref="Q211">VALUE(INDEX(_xlfn.TEXTSPLIT(P211, " "), 4))</f>
        <v>2014</v>
      </c>
      <c r="R211" s="1" t="str">
        <f t="shared" si="3"/>
        <v>Infiniti G Coupe G37 Sport</v>
      </c>
      <c r="S211" s="1" t="str" cm="1">
        <f t="array" ref="S211">_xlfn.IFS(I211 &gt;= 40, "High", I211&gt;=20, "Medium", I211&lt;20, "Low")</f>
        <v>Medium</v>
      </c>
      <c r="T211" s="1" t="str" cm="1">
        <f t="array" ref="T211">_xlfn.IFS(O211&lt;18200, "Low", O211&lt;=50000, "Medium", O211&gt;50000, "High")</f>
        <v>Medium</v>
      </c>
    </row>
    <row r="212" spans="1:20" x14ac:dyDescent="0.25">
      <c r="A212" s="2">
        <v>2013</v>
      </c>
      <c r="B212" s="1" t="s">
        <v>318</v>
      </c>
      <c r="C212" s="1" t="s">
        <v>323</v>
      </c>
      <c r="D212" s="1" t="s">
        <v>324</v>
      </c>
      <c r="E212" s="1" t="s">
        <v>323</v>
      </c>
      <c r="F212" s="1" t="s">
        <v>20</v>
      </c>
      <c r="G212" s="1" t="s">
        <v>442</v>
      </c>
      <c r="H212" s="1" t="s">
        <v>22</v>
      </c>
      <c r="I212" s="1">
        <v>43</v>
      </c>
      <c r="J212" s="1">
        <v>24031</v>
      </c>
      <c r="K212" s="1" t="s">
        <v>94</v>
      </c>
      <c r="L212" s="1" t="s">
        <v>24</v>
      </c>
      <c r="M212" s="1" t="s">
        <v>322</v>
      </c>
      <c r="N212" s="1">
        <v>22800</v>
      </c>
      <c r="O212" s="12">
        <v>20500</v>
      </c>
      <c r="P212" s="3" t="s">
        <v>46</v>
      </c>
      <c r="Q212" s="1" cm="1">
        <f t="array" ref="Q212">VALUE(INDEX(_xlfn.TEXTSPLIT(P212, " "), 4))</f>
        <v>2014</v>
      </c>
      <c r="R212" s="1" t="str">
        <f t="shared" si="3"/>
        <v>Infiniti G Sedan G37 Journey</v>
      </c>
      <c r="S212" s="1" t="str" cm="1">
        <f t="array" ref="S212">_xlfn.IFS(I212 &gt;= 40, "High", I212&gt;=20, "Medium", I212&lt;20, "Low")</f>
        <v>High</v>
      </c>
      <c r="T212" s="1" t="str" cm="1">
        <f t="array" ref="T212">_xlfn.IFS(O212&lt;18200, "Low", O212&lt;=50000, "Medium", O212&gt;50000, "High")</f>
        <v>Medium</v>
      </c>
    </row>
    <row r="213" spans="1:20" x14ac:dyDescent="0.25">
      <c r="A213" s="2">
        <v>2013</v>
      </c>
      <c r="B213" s="1" t="s">
        <v>318</v>
      </c>
      <c r="C213" s="1" t="s">
        <v>323</v>
      </c>
      <c r="D213" s="1" t="s">
        <v>324</v>
      </c>
      <c r="E213" s="1" t="s">
        <v>323</v>
      </c>
      <c r="F213" s="1" t="s">
        <v>20</v>
      </c>
      <c r="G213" s="1" t="s">
        <v>443</v>
      </c>
      <c r="H213" s="1" t="s">
        <v>22</v>
      </c>
      <c r="I213" s="1">
        <v>37</v>
      </c>
      <c r="J213" s="1">
        <v>29907</v>
      </c>
      <c r="K213" s="1" t="s">
        <v>34</v>
      </c>
      <c r="L213" s="1" t="s">
        <v>24</v>
      </c>
      <c r="M213" s="1" t="s">
        <v>322</v>
      </c>
      <c r="N213" s="1">
        <v>21400</v>
      </c>
      <c r="O213" s="12">
        <v>21000</v>
      </c>
      <c r="P213" s="3" t="s">
        <v>36</v>
      </c>
      <c r="Q213" s="1" cm="1">
        <f t="array" ref="Q213">VALUE(INDEX(_xlfn.TEXTSPLIT(P213, " "), 4))</f>
        <v>2015</v>
      </c>
      <c r="R213" s="1" t="str">
        <f t="shared" si="3"/>
        <v>Infiniti G Sedan G37 Journey</v>
      </c>
      <c r="S213" s="1" t="str" cm="1">
        <f t="array" ref="S213">_xlfn.IFS(I213 &gt;= 40, "High", I213&gt;=20, "Medium", I213&lt;20, "Low")</f>
        <v>Medium</v>
      </c>
      <c r="T213" s="1" t="str" cm="1">
        <f t="array" ref="T213">_xlfn.IFS(O213&lt;18200, "Low", O213&lt;=50000, "Medium", O213&gt;50000, "High")</f>
        <v>Medium</v>
      </c>
    </row>
    <row r="214" spans="1:20" x14ac:dyDescent="0.25">
      <c r="A214" s="2">
        <v>2013</v>
      </c>
      <c r="B214" s="1" t="s">
        <v>98</v>
      </c>
      <c r="C214" s="1" t="s">
        <v>444</v>
      </c>
      <c r="D214" s="1" t="s">
        <v>348</v>
      </c>
      <c r="E214" s="1" t="s">
        <v>19</v>
      </c>
      <c r="F214" s="1" t="s">
        <v>20</v>
      </c>
      <c r="G214" s="1" t="s">
        <v>445</v>
      </c>
      <c r="H214" s="1" t="s">
        <v>22</v>
      </c>
      <c r="I214" s="1">
        <v>42</v>
      </c>
      <c r="J214" s="1">
        <v>19109</v>
      </c>
      <c r="K214" s="1" t="s">
        <v>73</v>
      </c>
      <c r="L214" s="1" t="s">
        <v>24</v>
      </c>
      <c r="M214" s="1" t="s">
        <v>343</v>
      </c>
      <c r="N214" s="1">
        <v>16450</v>
      </c>
      <c r="O214" s="12">
        <v>17500</v>
      </c>
      <c r="P214" s="3" t="s">
        <v>84</v>
      </c>
      <c r="Q214" s="1" cm="1">
        <f t="array" ref="Q214">VALUE(INDEX(_xlfn.TEXTSPLIT(P214, " "), 4))</f>
        <v>2014</v>
      </c>
      <c r="R214" s="1" t="str">
        <f t="shared" si="3"/>
        <v>Hyundai Tucson GLS</v>
      </c>
      <c r="S214" s="1" t="str" cm="1">
        <f t="array" ref="S214">_xlfn.IFS(I214 &gt;= 40, "High", I214&gt;=20, "Medium", I214&lt;20, "Low")</f>
        <v>High</v>
      </c>
      <c r="T214" s="1" t="str" cm="1">
        <f t="array" ref="T214">_xlfn.IFS(O214&lt;18200, "Low", O214&lt;=50000, "Medium", O214&gt;50000, "High")</f>
        <v>Low</v>
      </c>
    </row>
    <row r="215" spans="1:20" x14ac:dyDescent="0.25">
      <c r="A215" s="2">
        <v>2013</v>
      </c>
      <c r="B215" s="1" t="s">
        <v>318</v>
      </c>
      <c r="C215" s="1" t="s">
        <v>323</v>
      </c>
      <c r="D215" s="1" t="s">
        <v>324</v>
      </c>
      <c r="E215" s="1" t="s">
        <v>323</v>
      </c>
      <c r="F215" s="1" t="s">
        <v>20</v>
      </c>
      <c r="G215" s="1" t="s">
        <v>446</v>
      </c>
      <c r="H215" s="1" t="s">
        <v>22</v>
      </c>
      <c r="I215" s="1">
        <v>43</v>
      </c>
      <c r="J215" s="1">
        <v>26396</v>
      </c>
      <c r="K215" s="1" t="s">
        <v>34</v>
      </c>
      <c r="L215" s="1" t="s">
        <v>24</v>
      </c>
      <c r="M215" s="1" t="s">
        <v>322</v>
      </c>
      <c r="N215" s="1">
        <v>22500</v>
      </c>
      <c r="O215" s="12">
        <v>23750</v>
      </c>
      <c r="P215" s="3" t="s">
        <v>46</v>
      </c>
      <c r="Q215" s="1" cm="1">
        <f t="array" ref="Q215">VALUE(INDEX(_xlfn.TEXTSPLIT(P215, " "), 4))</f>
        <v>2014</v>
      </c>
      <c r="R215" s="1" t="str">
        <f t="shared" si="3"/>
        <v>Infiniti G Sedan G37 Journey</v>
      </c>
      <c r="S215" s="1" t="str" cm="1">
        <f t="array" ref="S215">_xlfn.IFS(I215 &gt;= 40, "High", I215&gt;=20, "Medium", I215&lt;20, "Low")</f>
        <v>High</v>
      </c>
      <c r="T215" s="1" t="str" cm="1">
        <f t="array" ref="T215">_xlfn.IFS(O215&lt;18200, "Low", O215&lt;=50000, "Medium", O215&gt;50000, "High")</f>
        <v>Medium</v>
      </c>
    </row>
    <row r="216" spans="1:20" x14ac:dyDescent="0.25">
      <c r="A216" s="2">
        <v>2013</v>
      </c>
      <c r="B216" s="1" t="s">
        <v>318</v>
      </c>
      <c r="C216" s="1" t="s">
        <v>323</v>
      </c>
      <c r="D216" s="1" t="s">
        <v>324</v>
      </c>
      <c r="E216" s="1" t="s">
        <v>323</v>
      </c>
      <c r="F216" s="1" t="s">
        <v>20</v>
      </c>
      <c r="G216" s="1" t="s">
        <v>447</v>
      </c>
      <c r="H216" s="1" t="s">
        <v>22</v>
      </c>
      <c r="I216" s="1">
        <v>21</v>
      </c>
      <c r="J216" s="1">
        <v>23507</v>
      </c>
      <c r="K216" s="1" t="s">
        <v>34</v>
      </c>
      <c r="L216" s="1" t="s">
        <v>24</v>
      </c>
      <c r="M216" s="1" t="s">
        <v>322</v>
      </c>
      <c r="N216" s="1">
        <v>23000</v>
      </c>
      <c r="O216" s="12">
        <v>21000</v>
      </c>
      <c r="P216" s="3" t="s">
        <v>57</v>
      </c>
      <c r="Q216" s="1" cm="1">
        <f t="array" ref="Q216">VALUE(INDEX(_xlfn.TEXTSPLIT(P216, " "), 4))</f>
        <v>2014</v>
      </c>
      <c r="R216" s="1" t="str">
        <f t="shared" si="3"/>
        <v>Infiniti G Sedan G37 Journey</v>
      </c>
      <c r="S216" s="1" t="str" cm="1">
        <f t="array" ref="S216">_xlfn.IFS(I216 &gt;= 40, "High", I216&gt;=20, "Medium", I216&lt;20, "Low")</f>
        <v>Medium</v>
      </c>
      <c r="T216" s="1" t="str" cm="1">
        <f t="array" ref="T216">_xlfn.IFS(O216&lt;18200, "Low", O216&lt;=50000, "Medium", O216&gt;50000, "High")</f>
        <v>Medium</v>
      </c>
    </row>
    <row r="217" spans="1:20" x14ac:dyDescent="0.25">
      <c r="A217" s="2">
        <v>2013</v>
      </c>
      <c r="B217" s="1" t="s">
        <v>98</v>
      </c>
      <c r="C217" s="1" t="s">
        <v>99</v>
      </c>
      <c r="D217" s="1" t="s">
        <v>348</v>
      </c>
      <c r="E217" s="1" t="s">
        <v>32</v>
      </c>
      <c r="F217" s="1" t="s">
        <v>20</v>
      </c>
      <c r="G217" s="1" t="s">
        <v>448</v>
      </c>
      <c r="H217" s="1" t="s">
        <v>22</v>
      </c>
      <c r="I217" s="1">
        <v>38</v>
      </c>
      <c r="J217" s="1">
        <v>34745</v>
      </c>
      <c r="K217" s="1" t="s">
        <v>23</v>
      </c>
      <c r="L217" s="1" t="s">
        <v>82</v>
      </c>
      <c r="M217" s="1" t="s">
        <v>182</v>
      </c>
      <c r="N217" s="1">
        <v>12250</v>
      </c>
      <c r="O217" s="12">
        <v>12700</v>
      </c>
      <c r="P217" s="3" t="s">
        <v>26</v>
      </c>
      <c r="Q217" s="1" cm="1">
        <f t="array" ref="Q217">VALUE(INDEX(_xlfn.TEXTSPLIT(P217, " "), 4))</f>
        <v>2014</v>
      </c>
      <c r="R217" s="1" t="str">
        <f t="shared" si="3"/>
        <v>Hyundai Sonata GLS</v>
      </c>
      <c r="S217" s="1" t="str" cm="1">
        <f t="array" ref="S217">_xlfn.IFS(I217 &gt;= 40, "High", I217&gt;=20, "Medium", I217&lt;20, "Low")</f>
        <v>Medium</v>
      </c>
      <c r="T217" s="1" t="str" cm="1">
        <f t="array" ref="T217">_xlfn.IFS(O217&lt;18200, "Low", O217&lt;=50000, "Medium", O217&gt;50000, "High")</f>
        <v>Low</v>
      </c>
    </row>
    <row r="218" spans="1:20" x14ac:dyDescent="0.25">
      <c r="A218" s="2">
        <v>2013</v>
      </c>
      <c r="B218" s="1" t="s">
        <v>98</v>
      </c>
      <c r="C218" s="1" t="s">
        <v>219</v>
      </c>
      <c r="D218" s="1" t="s">
        <v>337</v>
      </c>
      <c r="E218" s="1" t="s">
        <v>32</v>
      </c>
      <c r="F218" s="1" t="s">
        <v>20</v>
      </c>
      <c r="G218" s="1" t="s">
        <v>449</v>
      </c>
      <c r="H218" s="1" t="s">
        <v>22</v>
      </c>
      <c r="I218" s="1">
        <v>48</v>
      </c>
      <c r="J218" s="1">
        <v>10564</v>
      </c>
      <c r="K218" s="1" t="s">
        <v>24</v>
      </c>
      <c r="L218" s="1" t="s">
        <v>34</v>
      </c>
      <c r="M218" s="1" t="s">
        <v>343</v>
      </c>
      <c r="N218" s="1">
        <v>15350</v>
      </c>
      <c r="O218" s="12">
        <v>16500</v>
      </c>
      <c r="P218" s="3" t="s">
        <v>84</v>
      </c>
      <c r="Q218" s="1" cm="1">
        <f t="array" ref="Q218">VALUE(INDEX(_xlfn.TEXTSPLIT(P218, " "), 4))</f>
        <v>2014</v>
      </c>
      <c r="R218" s="1" t="str">
        <f t="shared" si="3"/>
        <v>Hyundai Elantra Limited</v>
      </c>
      <c r="S218" s="1" t="str" cm="1">
        <f t="array" ref="S218">_xlfn.IFS(I218 &gt;= 40, "High", I218&gt;=20, "Medium", I218&lt;20, "Low")</f>
        <v>High</v>
      </c>
      <c r="T218" s="1" t="str" cm="1">
        <f t="array" ref="T218">_xlfn.IFS(O218&lt;18200, "Low", O218&lt;=50000, "Medium", O218&gt;50000, "High")</f>
        <v>Low</v>
      </c>
    </row>
    <row r="219" spans="1:20" x14ac:dyDescent="0.25">
      <c r="A219" s="2">
        <v>2013</v>
      </c>
      <c r="B219" s="1" t="s">
        <v>98</v>
      </c>
      <c r="C219" s="1" t="s">
        <v>432</v>
      </c>
      <c r="D219" s="1" t="s">
        <v>54</v>
      </c>
      <c r="E219" s="1" t="s">
        <v>32</v>
      </c>
      <c r="F219" s="1" t="s">
        <v>20</v>
      </c>
      <c r="G219" s="1" t="s">
        <v>450</v>
      </c>
      <c r="H219" s="1" t="s">
        <v>22</v>
      </c>
      <c r="I219" s="1">
        <v>47</v>
      </c>
      <c r="J219" s="1">
        <v>16132</v>
      </c>
      <c r="K219" s="1" t="s">
        <v>24</v>
      </c>
      <c r="L219" s="1" t="s">
        <v>24</v>
      </c>
      <c r="M219" s="1" t="s">
        <v>343</v>
      </c>
      <c r="N219" s="1">
        <v>21200</v>
      </c>
      <c r="O219" s="12">
        <v>21400</v>
      </c>
      <c r="P219" s="3" t="s">
        <v>84</v>
      </c>
      <c r="Q219" s="1" cm="1">
        <f t="array" ref="Q219">VALUE(INDEX(_xlfn.TEXTSPLIT(P219, " "), 4))</f>
        <v>2014</v>
      </c>
      <c r="R219" s="1" t="str">
        <f t="shared" si="3"/>
        <v>Hyundai Azera Base</v>
      </c>
      <c r="S219" s="1" t="str" cm="1">
        <f t="array" ref="S219">_xlfn.IFS(I219 &gt;= 40, "High", I219&gt;=20, "Medium", I219&lt;20, "Low")</f>
        <v>High</v>
      </c>
      <c r="T219" s="1" t="str" cm="1">
        <f t="array" ref="T219">_xlfn.IFS(O219&lt;18200, "Low", O219&lt;=50000, "Medium", O219&gt;50000, "High")</f>
        <v>Medium</v>
      </c>
    </row>
    <row r="220" spans="1:20" x14ac:dyDescent="0.25">
      <c r="A220" s="2">
        <v>2013</v>
      </c>
      <c r="B220" s="1" t="s">
        <v>318</v>
      </c>
      <c r="C220" s="1" t="s">
        <v>323</v>
      </c>
      <c r="D220" s="1" t="s">
        <v>324</v>
      </c>
      <c r="E220" s="1" t="s">
        <v>323</v>
      </c>
      <c r="F220" s="1" t="s">
        <v>20</v>
      </c>
      <c r="G220" s="1" t="s">
        <v>451</v>
      </c>
      <c r="H220" s="1" t="s">
        <v>22</v>
      </c>
      <c r="I220" s="1">
        <v>47</v>
      </c>
      <c r="J220" s="1">
        <v>16854</v>
      </c>
      <c r="K220" s="1" t="s">
        <v>34</v>
      </c>
      <c r="L220" s="1" t="s">
        <v>34</v>
      </c>
      <c r="M220" s="1" t="s">
        <v>322</v>
      </c>
      <c r="N220" s="1">
        <v>23600</v>
      </c>
      <c r="O220" s="12">
        <v>25750</v>
      </c>
      <c r="P220" s="3" t="s">
        <v>46</v>
      </c>
      <c r="Q220" s="1" cm="1">
        <f t="array" ref="Q220">VALUE(INDEX(_xlfn.TEXTSPLIT(P220, " "), 4))</f>
        <v>2014</v>
      </c>
      <c r="R220" s="1" t="str">
        <f t="shared" si="3"/>
        <v>Infiniti G Sedan G37 Journey</v>
      </c>
      <c r="S220" s="1" t="str" cm="1">
        <f t="array" ref="S220">_xlfn.IFS(I220 &gt;= 40, "High", I220&gt;=20, "Medium", I220&lt;20, "Low")</f>
        <v>High</v>
      </c>
      <c r="T220" s="1" t="str" cm="1">
        <f t="array" ref="T220">_xlfn.IFS(O220&lt;18200, "Low", O220&lt;=50000, "Medium", O220&gt;50000, "High")</f>
        <v>Medium</v>
      </c>
    </row>
    <row r="221" spans="1:20" x14ac:dyDescent="0.25">
      <c r="A221" s="2">
        <v>2013</v>
      </c>
      <c r="B221" s="1" t="s">
        <v>318</v>
      </c>
      <c r="C221" s="1" t="s">
        <v>323</v>
      </c>
      <c r="D221" s="1" t="s">
        <v>324</v>
      </c>
      <c r="E221" s="1" t="s">
        <v>323</v>
      </c>
      <c r="F221" s="1" t="s">
        <v>20</v>
      </c>
      <c r="G221" s="1" t="s">
        <v>452</v>
      </c>
      <c r="H221" s="1" t="s">
        <v>22</v>
      </c>
      <c r="I221" s="1">
        <v>44</v>
      </c>
      <c r="J221" s="1">
        <v>19551</v>
      </c>
      <c r="K221" s="1" t="s">
        <v>23</v>
      </c>
      <c r="L221" s="1" t="s">
        <v>24</v>
      </c>
      <c r="M221" s="1" t="s">
        <v>322</v>
      </c>
      <c r="N221" s="1">
        <v>23300</v>
      </c>
      <c r="O221" s="12">
        <v>25000</v>
      </c>
      <c r="P221" s="3" t="s">
        <v>57</v>
      </c>
      <c r="Q221" s="1" cm="1">
        <f t="array" ref="Q221">VALUE(INDEX(_xlfn.TEXTSPLIT(P221, " "), 4))</f>
        <v>2014</v>
      </c>
      <c r="R221" s="1" t="str">
        <f t="shared" si="3"/>
        <v>Infiniti G Sedan G37 Journey</v>
      </c>
      <c r="S221" s="1" t="str" cm="1">
        <f t="array" ref="S221">_xlfn.IFS(I221 &gt;= 40, "High", I221&gt;=20, "Medium", I221&lt;20, "Low")</f>
        <v>High</v>
      </c>
      <c r="T221" s="1" t="str" cm="1">
        <f t="array" ref="T221">_xlfn.IFS(O221&lt;18200, "Low", O221&lt;=50000, "Medium", O221&gt;50000, "High")</f>
        <v>Medium</v>
      </c>
    </row>
    <row r="222" spans="1:20" x14ac:dyDescent="0.25">
      <c r="A222" s="2">
        <v>2013</v>
      </c>
      <c r="B222" s="1" t="s">
        <v>318</v>
      </c>
      <c r="C222" s="1" t="s">
        <v>323</v>
      </c>
      <c r="D222" s="1" t="s">
        <v>324</v>
      </c>
      <c r="E222" s="1" t="s">
        <v>323</v>
      </c>
      <c r="F222" s="1" t="s">
        <v>20</v>
      </c>
      <c r="G222" s="1" t="s">
        <v>453</v>
      </c>
      <c r="H222" s="1" t="s">
        <v>22</v>
      </c>
      <c r="I222" s="1">
        <v>44</v>
      </c>
      <c r="J222" s="1">
        <v>14486</v>
      </c>
      <c r="K222" s="1" t="s">
        <v>132</v>
      </c>
      <c r="L222" s="1" t="s">
        <v>24</v>
      </c>
      <c r="M222" s="1" t="s">
        <v>322</v>
      </c>
      <c r="N222" s="1">
        <v>23900</v>
      </c>
      <c r="O222" s="12">
        <v>22000</v>
      </c>
      <c r="P222" s="3" t="s">
        <v>46</v>
      </c>
      <c r="Q222" s="1" cm="1">
        <f t="array" ref="Q222">VALUE(INDEX(_xlfn.TEXTSPLIT(P222, " "), 4))</f>
        <v>2014</v>
      </c>
      <c r="R222" s="1" t="str">
        <f t="shared" si="3"/>
        <v>Infiniti G Sedan G37 Journey</v>
      </c>
      <c r="S222" s="1" t="str" cm="1">
        <f t="array" ref="S222">_xlfn.IFS(I222 &gt;= 40, "High", I222&gt;=20, "Medium", I222&lt;20, "Low")</f>
        <v>High</v>
      </c>
      <c r="T222" s="1" t="str" cm="1">
        <f t="array" ref="T222">_xlfn.IFS(O222&lt;18200, "Low", O222&lt;=50000, "Medium", O222&gt;50000, "High")</f>
        <v>Medium</v>
      </c>
    </row>
    <row r="223" spans="1:20" x14ac:dyDescent="0.25">
      <c r="A223" s="2">
        <v>2013</v>
      </c>
      <c r="B223" s="1" t="s">
        <v>98</v>
      </c>
      <c r="C223" s="1" t="s">
        <v>363</v>
      </c>
      <c r="D223" s="1" t="s">
        <v>337</v>
      </c>
      <c r="E223" s="1" t="s">
        <v>32</v>
      </c>
      <c r="F223" s="1" t="s">
        <v>20</v>
      </c>
      <c r="G223" s="1" t="s">
        <v>454</v>
      </c>
      <c r="H223" s="1" t="s">
        <v>22</v>
      </c>
      <c r="I223" s="1">
        <v>42</v>
      </c>
      <c r="J223" s="1">
        <v>17831</v>
      </c>
      <c r="K223" s="1" t="s">
        <v>23</v>
      </c>
      <c r="L223" s="1" t="s">
        <v>28</v>
      </c>
      <c r="M223" s="1" t="s">
        <v>343</v>
      </c>
      <c r="N223" s="1">
        <v>17750</v>
      </c>
      <c r="O223" s="12">
        <v>18200</v>
      </c>
      <c r="P223" s="3" t="s">
        <v>84</v>
      </c>
      <c r="Q223" s="1" cm="1">
        <f t="array" ref="Q223">VALUE(INDEX(_xlfn.TEXTSPLIT(P223, " "), 4))</f>
        <v>2014</v>
      </c>
      <c r="R223" s="1" t="str">
        <f t="shared" si="3"/>
        <v>Hyundai Sonata Hybrid Limited</v>
      </c>
      <c r="S223" s="1" t="str" cm="1">
        <f t="array" ref="S223">_xlfn.IFS(I223 &gt;= 40, "High", I223&gt;=20, "Medium", I223&lt;20, "Low")</f>
        <v>High</v>
      </c>
      <c r="T223" s="1" t="str" cm="1">
        <f t="array" ref="T223">_xlfn.IFS(O223&lt;18200, "Low", O223&lt;=50000, "Medium", O223&gt;50000, "High")</f>
        <v>Medium</v>
      </c>
    </row>
    <row r="224" spans="1:20" x14ac:dyDescent="0.25">
      <c r="A224" s="2">
        <v>2013</v>
      </c>
      <c r="B224" s="1" t="s">
        <v>318</v>
      </c>
      <c r="C224" s="1" t="s">
        <v>323</v>
      </c>
      <c r="D224" s="1" t="s">
        <v>324</v>
      </c>
      <c r="E224" s="1" t="s">
        <v>323</v>
      </c>
      <c r="F224" s="1" t="s">
        <v>20</v>
      </c>
      <c r="G224" s="1" t="s">
        <v>455</v>
      </c>
      <c r="H224" s="1" t="s">
        <v>22</v>
      </c>
      <c r="I224" s="1">
        <v>27</v>
      </c>
      <c r="J224" s="1">
        <v>26792</v>
      </c>
      <c r="K224" s="1" t="s">
        <v>34</v>
      </c>
      <c r="L224" s="1" t="s">
        <v>34</v>
      </c>
      <c r="M224" s="1" t="s">
        <v>322</v>
      </c>
      <c r="N224" s="1">
        <v>22600</v>
      </c>
      <c r="O224" s="12">
        <v>18000</v>
      </c>
      <c r="P224" s="3" t="s">
        <v>26</v>
      </c>
      <c r="Q224" s="1" cm="1">
        <f t="array" ref="Q224">VALUE(INDEX(_xlfn.TEXTSPLIT(P224, " "), 4))</f>
        <v>2014</v>
      </c>
      <c r="R224" s="1" t="str">
        <f t="shared" si="3"/>
        <v>Infiniti G Sedan G37 Journey</v>
      </c>
      <c r="S224" s="1" t="str" cm="1">
        <f t="array" ref="S224">_xlfn.IFS(I224 &gt;= 40, "High", I224&gt;=20, "Medium", I224&lt;20, "Low")</f>
        <v>Medium</v>
      </c>
      <c r="T224" s="1" t="str" cm="1">
        <f t="array" ref="T224">_xlfn.IFS(O224&lt;18200, "Low", O224&lt;=50000, "Medium", O224&gt;50000, "High")</f>
        <v>Low</v>
      </c>
    </row>
    <row r="225" spans="1:20" x14ac:dyDescent="0.25">
      <c r="A225" s="2">
        <v>2013</v>
      </c>
      <c r="B225" s="1" t="s">
        <v>98</v>
      </c>
      <c r="C225" s="1" t="s">
        <v>432</v>
      </c>
      <c r="D225" s="1" t="s">
        <v>54</v>
      </c>
      <c r="E225" s="1" t="s">
        <v>32</v>
      </c>
      <c r="F225" s="1" t="s">
        <v>20</v>
      </c>
      <c r="G225" s="1" t="s">
        <v>456</v>
      </c>
      <c r="H225" s="1" t="s">
        <v>22</v>
      </c>
      <c r="I225" s="1">
        <v>43</v>
      </c>
      <c r="J225" s="1">
        <v>19152</v>
      </c>
      <c r="K225" s="1" t="s">
        <v>91</v>
      </c>
      <c r="L225" s="1" t="s">
        <v>28</v>
      </c>
      <c r="M225" s="1" t="s">
        <v>343</v>
      </c>
      <c r="N225" s="1">
        <v>21000</v>
      </c>
      <c r="O225" s="12">
        <v>22200</v>
      </c>
      <c r="P225" s="3" t="s">
        <v>84</v>
      </c>
      <c r="Q225" s="1" cm="1">
        <f t="array" ref="Q225">VALUE(INDEX(_xlfn.TEXTSPLIT(P225, " "), 4))</f>
        <v>2014</v>
      </c>
      <c r="R225" s="1" t="str">
        <f t="shared" si="3"/>
        <v>Hyundai Azera Base</v>
      </c>
      <c r="S225" s="1" t="str" cm="1">
        <f t="array" ref="S225">_xlfn.IFS(I225 &gt;= 40, "High", I225&gt;=20, "Medium", I225&lt;20, "Low")</f>
        <v>High</v>
      </c>
      <c r="T225" s="1" t="str" cm="1">
        <f t="array" ref="T225">_xlfn.IFS(O225&lt;18200, "Low", O225&lt;=50000, "Medium", O225&gt;50000, "High")</f>
        <v>Medium</v>
      </c>
    </row>
    <row r="226" spans="1:20" x14ac:dyDescent="0.25">
      <c r="A226" s="2">
        <v>2013</v>
      </c>
      <c r="B226" s="1" t="s">
        <v>318</v>
      </c>
      <c r="C226" s="1" t="s">
        <v>319</v>
      </c>
      <c r="D226" s="1" t="s">
        <v>320</v>
      </c>
      <c r="E226" s="1" t="s">
        <v>319</v>
      </c>
      <c r="F226" s="1" t="s">
        <v>20</v>
      </c>
      <c r="G226" s="1" t="s">
        <v>457</v>
      </c>
      <c r="H226" s="1" t="s">
        <v>22</v>
      </c>
      <c r="I226" s="1">
        <v>44</v>
      </c>
      <c r="J226" s="1">
        <v>19492</v>
      </c>
      <c r="K226" s="1" t="s">
        <v>23</v>
      </c>
      <c r="L226" s="1" t="s">
        <v>24</v>
      </c>
      <c r="M226" s="1" t="s">
        <v>322</v>
      </c>
      <c r="N226" s="1">
        <v>25300</v>
      </c>
      <c r="O226" s="12">
        <v>26250</v>
      </c>
      <c r="P226" s="3" t="s">
        <v>46</v>
      </c>
      <c r="Q226" s="1" cm="1">
        <f t="array" ref="Q226">VALUE(INDEX(_xlfn.TEXTSPLIT(P226, " "), 4))</f>
        <v>2014</v>
      </c>
      <c r="R226" s="1" t="str">
        <f t="shared" si="3"/>
        <v>Infiniti G Coupe G37 Sport</v>
      </c>
      <c r="S226" s="1" t="str" cm="1">
        <f t="array" ref="S226">_xlfn.IFS(I226 &gt;= 40, "High", I226&gt;=20, "Medium", I226&lt;20, "Low")</f>
        <v>High</v>
      </c>
      <c r="T226" s="1" t="str" cm="1">
        <f t="array" ref="T226">_xlfn.IFS(O226&lt;18200, "Low", O226&lt;=50000, "Medium", O226&gt;50000, "High")</f>
        <v>Medium</v>
      </c>
    </row>
    <row r="227" spans="1:20" x14ac:dyDescent="0.25">
      <c r="A227" s="2">
        <v>2013</v>
      </c>
      <c r="B227" s="1" t="s">
        <v>98</v>
      </c>
      <c r="C227" s="1" t="s">
        <v>99</v>
      </c>
      <c r="D227" s="1" t="s">
        <v>348</v>
      </c>
      <c r="E227" s="1" t="s">
        <v>32</v>
      </c>
      <c r="F227" s="1" t="s">
        <v>20</v>
      </c>
      <c r="G227" s="1" t="s">
        <v>458</v>
      </c>
      <c r="H227" s="1" t="s">
        <v>22</v>
      </c>
      <c r="I227" s="1">
        <v>34</v>
      </c>
      <c r="J227" s="1">
        <v>50160</v>
      </c>
      <c r="K227" s="1" t="s">
        <v>94</v>
      </c>
      <c r="L227" s="1" t="s">
        <v>34</v>
      </c>
      <c r="M227" s="1" t="s">
        <v>95</v>
      </c>
      <c r="N227" s="1">
        <v>11500</v>
      </c>
      <c r="O227" s="12">
        <v>11900</v>
      </c>
      <c r="P227" s="3" t="s">
        <v>459</v>
      </c>
      <c r="Q227" s="1" cm="1">
        <f t="array" ref="Q227">VALUE(INDEX(_xlfn.TEXTSPLIT(P227, " "), 4))</f>
        <v>2014</v>
      </c>
      <c r="R227" s="1" t="str">
        <f t="shared" si="3"/>
        <v>Hyundai Sonata GLS</v>
      </c>
      <c r="S227" s="1" t="str" cm="1">
        <f t="array" ref="S227">_xlfn.IFS(I227 &gt;= 40, "High", I227&gt;=20, "Medium", I227&lt;20, "Low")</f>
        <v>Medium</v>
      </c>
      <c r="T227" s="1" t="str" cm="1">
        <f t="array" ref="T227">_xlfn.IFS(O227&lt;18200, "Low", O227&lt;=50000, "Medium", O227&gt;50000, "High")</f>
        <v>Low</v>
      </c>
    </row>
    <row r="228" spans="1:20" x14ac:dyDescent="0.25">
      <c r="A228" s="2">
        <v>2013</v>
      </c>
      <c r="B228" s="1" t="s">
        <v>318</v>
      </c>
      <c r="C228" s="1" t="s">
        <v>323</v>
      </c>
      <c r="D228" s="1" t="s">
        <v>324</v>
      </c>
      <c r="E228" s="1" t="s">
        <v>323</v>
      </c>
      <c r="F228" s="1" t="s">
        <v>20</v>
      </c>
      <c r="G228" s="1" t="s">
        <v>460</v>
      </c>
      <c r="H228" s="1" t="s">
        <v>22</v>
      </c>
      <c r="I228" s="1">
        <v>45</v>
      </c>
      <c r="J228" s="1">
        <v>19368</v>
      </c>
      <c r="K228" s="1" t="s">
        <v>23</v>
      </c>
      <c r="L228" s="1" t="s">
        <v>24</v>
      </c>
      <c r="M228" s="1" t="s">
        <v>322</v>
      </c>
      <c r="N228" s="1">
        <v>23300</v>
      </c>
      <c r="O228" s="12">
        <v>23000</v>
      </c>
      <c r="P228" s="3" t="s">
        <v>46</v>
      </c>
      <c r="Q228" s="1" cm="1">
        <f t="array" ref="Q228">VALUE(INDEX(_xlfn.TEXTSPLIT(P228, " "), 4))</f>
        <v>2014</v>
      </c>
      <c r="R228" s="1" t="str">
        <f t="shared" si="3"/>
        <v>Infiniti G Sedan G37 Journey</v>
      </c>
      <c r="S228" s="1" t="str" cm="1">
        <f t="array" ref="S228">_xlfn.IFS(I228 &gt;= 40, "High", I228&gt;=20, "Medium", I228&lt;20, "Low")</f>
        <v>High</v>
      </c>
      <c r="T228" s="1" t="str" cm="1">
        <f t="array" ref="T228">_xlfn.IFS(O228&lt;18200, "Low", O228&lt;=50000, "Medium", O228&gt;50000, "High")</f>
        <v>Medium</v>
      </c>
    </row>
    <row r="229" spans="1:20" x14ac:dyDescent="0.25">
      <c r="A229" s="2">
        <v>2013</v>
      </c>
      <c r="B229" s="1" t="s">
        <v>98</v>
      </c>
      <c r="C229" s="1" t="s">
        <v>340</v>
      </c>
      <c r="D229" s="1" t="s">
        <v>341</v>
      </c>
      <c r="E229" s="1" t="s">
        <v>32</v>
      </c>
      <c r="F229" s="1" t="s">
        <v>20</v>
      </c>
      <c r="G229" s="1" t="s">
        <v>461</v>
      </c>
      <c r="H229" s="1" t="s">
        <v>22</v>
      </c>
      <c r="I229" s="1">
        <v>39</v>
      </c>
      <c r="J229" s="1">
        <v>12154</v>
      </c>
      <c r="K229" s="1" t="s">
        <v>23</v>
      </c>
      <c r="L229" s="1" t="s">
        <v>24</v>
      </c>
      <c r="M229" s="1" t="s">
        <v>343</v>
      </c>
      <c r="N229" s="1">
        <v>27900</v>
      </c>
      <c r="O229" s="12">
        <v>27500</v>
      </c>
      <c r="P229" s="3" t="s">
        <v>84</v>
      </c>
      <c r="Q229" s="1" cm="1">
        <f t="array" ref="Q229">VALUE(INDEX(_xlfn.TEXTSPLIT(P229, " "), 4))</f>
        <v>2014</v>
      </c>
      <c r="R229" s="1" t="str">
        <f t="shared" si="3"/>
        <v>Hyundai Genesis 5.0 R-Spec</v>
      </c>
      <c r="S229" s="1" t="str" cm="1">
        <f t="array" ref="S229">_xlfn.IFS(I229 &gt;= 40, "High", I229&gt;=20, "Medium", I229&lt;20, "Low")</f>
        <v>Medium</v>
      </c>
      <c r="T229" s="1" t="str" cm="1">
        <f t="array" ref="T229">_xlfn.IFS(O229&lt;18200, "Low", O229&lt;=50000, "Medium", O229&gt;50000, "High")</f>
        <v>Medium</v>
      </c>
    </row>
    <row r="230" spans="1:20" x14ac:dyDescent="0.25">
      <c r="A230" s="2">
        <v>2013</v>
      </c>
      <c r="B230" s="1" t="s">
        <v>98</v>
      </c>
      <c r="C230" s="1" t="s">
        <v>344</v>
      </c>
      <c r="D230" s="1" t="s">
        <v>462</v>
      </c>
      <c r="E230" s="1" t="s">
        <v>32</v>
      </c>
      <c r="F230" s="1" t="s">
        <v>20</v>
      </c>
      <c r="G230" s="1" t="s">
        <v>463</v>
      </c>
      <c r="H230" s="1" t="s">
        <v>22</v>
      </c>
      <c r="I230" s="1">
        <v>43</v>
      </c>
      <c r="J230" s="1">
        <v>11566</v>
      </c>
      <c r="K230" s="1" t="s">
        <v>23</v>
      </c>
      <c r="L230" s="1" t="s">
        <v>28</v>
      </c>
      <c r="M230" s="1" t="s">
        <v>339</v>
      </c>
      <c r="N230" s="1">
        <v>36800</v>
      </c>
      <c r="O230" s="12">
        <v>25000</v>
      </c>
      <c r="P230" s="3" t="s">
        <v>84</v>
      </c>
      <c r="Q230" s="1" cm="1">
        <f t="array" ref="Q230">VALUE(INDEX(_xlfn.TEXTSPLIT(P230, " "), 4))</f>
        <v>2014</v>
      </c>
      <c r="R230" s="1" t="str">
        <f t="shared" si="3"/>
        <v>Hyundai Equus Ultimate</v>
      </c>
      <c r="S230" s="1" t="str" cm="1">
        <f t="array" ref="S230">_xlfn.IFS(I230 &gt;= 40, "High", I230&gt;=20, "Medium", I230&lt;20, "Low")</f>
        <v>High</v>
      </c>
      <c r="T230" s="1" t="str" cm="1">
        <f t="array" ref="T230">_xlfn.IFS(O230&lt;18200, "Low", O230&lt;=50000, "Medium", O230&gt;50000, "High")</f>
        <v>Medium</v>
      </c>
    </row>
    <row r="231" spans="1:20" x14ac:dyDescent="0.25">
      <c r="A231" s="2">
        <v>2013</v>
      </c>
      <c r="B231" s="1" t="s">
        <v>318</v>
      </c>
      <c r="C231" s="1" t="s">
        <v>323</v>
      </c>
      <c r="D231" s="1" t="s">
        <v>324</v>
      </c>
      <c r="E231" s="1" t="s">
        <v>323</v>
      </c>
      <c r="F231" s="1" t="s">
        <v>20</v>
      </c>
      <c r="G231" s="1" t="s">
        <v>464</v>
      </c>
      <c r="H231" s="1" t="s">
        <v>22</v>
      </c>
      <c r="I231" s="1">
        <v>47</v>
      </c>
      <c r="J231" s="1">
        <v>25635</v>
      </c>
      <c r="K231" s="1" t="s">
        <v>23</v>
      </c>
      <c r="L231" s="1" t="s">
        <v>28</v>
      </c>
      <c r="M231" s="1" t="s">
        <v>322</v>
      </c>
      <c r="N231" s="1">
        <v>22600</v>
      </c>
      <c r="O231" s="12">
        <v>26500</v>
      </c>
      <c r="P231" s="3" t="s">
        <v>46</v>
      </c>
      <c r="Q231" s="1" cm="1">
        <f t="array" ref="Q231">VALUE(INDEX(_xlfn.TEXTSPLIT(P231, " "), 4))</f>
        <v>2014</v>
      </c>
      <c r="R231" s="1" t="str">
        <f t="shared" si="3"/>
        <v>Infiniti G Sedan G37 Journey</v>
      </c>
      <c r="S231" s="1" t="str" cm="1">
        <f t="array" ref="S231">_xlfn.IFS(I231 &gt;= 40, "High", I231&gt;=20, "Medium", I231&lt;20, "Low")</f>
        <v>High</v>
      </c>
      <c r="T231" s="1" t="str" cm="1">
        <f t="array" ref="T231">_xlfn.IFS(O231&lt;18200, "Low", O231&lt;=50000, "Medium", O231&gt;50000, "High")</f>
        <v>Medium</v>
      </c>
    </row>
    <row r="232" spans="1:20" x14ac:dyDescent="0.25">
      <c r="A232" s="2">
        <v>2013</v>
      </c>
      <c r="B232" s="1" t="s">
        <v>98</v>
      </c>
      <c r="C232" s="1" t="s">
        <v>99</v>
      </c>
      <c r="D232" s="1" t="s">
        <v>348</v>
      </c>
      <c r="E232" s="1" t="s">
        <v>32</v>
      </c>
      <c r="F232" s="1" t="s">
        <v>20</v>
      </c>
      <c r="G232" s="1" t="s">
        <v>465</v>
      </c>
      <c r="H232" s="1" t="s">
        <v>22</v>
      </c>
      <c r="I232" s="1">
        <v>37</v>
      </c>
      <c r="J232" s="1">
        <v>39062</v>
      </c>
      <c r="K232" s="1" t="s">
        <v>94</v>
      </c>
      <c r="L232" s="1" t="s">
        <v>34</v>
      </c>
      <c r="M232" s="1" t="s">
        <v>182</v>
      </c>
      <c r="N232" s="1">
        <v>12000</v>
      </c>
      <c r="O232" s="12">
        <v>12200</v>
      </c>
      <c r="P232" s="3" t="s">
        <v>270</v>
      </c>
      <c r="Q232" s="1" cm="1">
        <f t="array" ref="Q232">VALUE(INDEX(_xlfn.TEXTSPLIT(P232, " "), 4))</f>
        <v>2014</v>
      </c>
      <c r="R232" s="1" t="str">
        <f t="shared" si="3"/>
        <v>Hyundai Sonata GLS</v>
      </c>
      <c r="S232" s="1" t="str" cm="1">
        <f t="array" ref="S232">_xlfn.IFS(I232 &gt;= 40, "High", I232&gt;=20, "Medium", I232&lt;20, "Low")</f>
        <v>Medium</v>
      </c>
      <c r="T232" s="1" t="str" cm="1">
        <f t="array" ref="T232">_xlfn.IFS(O232&lt;18200, "Low", O232&lt;=50000, "Medium", O232&gt;50000, "High")</f>
        <v>Low</v>
      </c>
    </row>
    <row r="233" spans="1:20" x14ac:dyDescent="0.25">
      <c r="A233" s="2">
        <v>2013</v>
      </c>
      <c r="B233" s="1" t="s">
        <v>98</v>
      </c>
      <c r="C233" s="1" t="s">
        <v>219</v>
      </c>
      <c r="D233" s="1" t="s">
        <v>348</v>
      </c>
      <c r="E233" s="1" t="s">
        <v>32</v>
      </c>
      <c r="F233" s="1" t="s">
        <v>20</v>
      </c>
      <c r="G233" s="1" t="s">
        <v>466</v>
      </c>
      <c r="H233" s="1" t="s">
        <v>22</v>
      </c>
      <c r="I233" s="1">
        <v>2</v>
      </c>
      <c r="J233" s="1">
        <v>29006</v>
      </c>
      <c r="K233" s="1" t="s">
        <v>34</v>
      </c>
      <c r="L233" s="1" t="s">
        <v>34</v>
      </c>
      <c r="M233" s="1" t="s">
        <v>51</v>
      </c>
      <c r="N233" s="1">
        <v>11900</v>
      </c>
      <c r="O233" s="12">
        <v>8700</v>
      </c>
      <c r="P233" s="3" t="s">
        <v>84</v>
      </c>
      <c r="Q233" s="1" cm="1">
        <f t="array" ref="Q233">VALUE(INDEX(_xlfn.TEXTSPLIT(P233, " "), 4))</f>
        <v>2014</v>
      </c>
      <c r="R233" s="1" t="str">
        <f t="shared" si="3"/>
        <v>Hyundai Elantra GLS</v>
      </c>
      <c r="S233" s="1" t="str" cm="1">
        <f t="array" ref="S233">_xlfn.IFS(I233 &gt;= 40, "High", I233&gt;=20, "Medium", I233&lt;20, "Low")</f>
        <v>Low</v>
      </c>
      <c r="T233" s="1" t="str" cm="1">
        <f t="array" ref="T233">_xlfn.IFS(O233&lt;18200, "Low", O233&lt;=50000, "Medium", O233&gt;50000, "High")</f>
        <v>Low</v>
      </c>
    </row>
    <row r="234" spans="1:20" x14ac:dyDescent="0.25">
      <c r="A234" s="2">
        <v>2013</v>
      </c>
      <c r="B234" s="1" t="s">
        <v>98</v>
      </c>
      <c r="C234" s="1" t="s">
        <v>219</v>
      </c>
      <c r="D234" s="1" t="s">
        <v>348</v>
      </c>
      <c r="E234" s="1" t="s">
        <v>32</v>
      </c>
      <c r="F234" s="1" t="s">
        <v>20</v>
      </c>
      <c r="G234" s="1" t="s">
        <v>467</v>
      </c>
      <c r="H234" s="1" t="s">
        <v>22</v>
      </c>
      <c r="I234" s="1">
        <v>48</v>
      </c>
      <c r="J234" s="1">
        <v>8559</v>
      </c>
      <c r="K234" s="1" t="s">
        <v>73</v>
      </c>
      <c r="L234" s="1" t="s">
        <v>28</v>
      </c>
      <c r="M234" s="1" t="s">
        <v>339</v>
      </c>
      <c r="N234" s="1">
        <v>13150</v>
      </c>
      <c r="O234" s="12">
        <v>10800</v>
      </c>
      <c r="P234" s="3" t="s">
        <v>84</v>
      </c>
      <c r="Q234" s="1" cm="1">
        <f t="array" ref="Q234">VALUE(INDEX(_xlfn.TEXTSPLIT(P234, " "), 4))</f>
        <v>2014</v>
      </c>
      <c r="R234" s="1" t="str">
        <f t="shared" si="3"/>
        <v>Hyundai Elantra GLS</v>
      </c>
      <c r="S234" s="1" t="str" cm="1">
        <f t="array" ref="S234">_xlfn.IFS(I234 &gt;= 40, "High", I234&gt;=20, "Medium", I234&lt;20, "Low")</f>
        <v>High</v>
      </c>
      <c r="T234" s="1" t="str" cm="1">
        <f t="array" ref="T234">_xlfn.IFS(O234&lt;18200, "Low", O234&lt;=50000, "Medium", O234&gt;50000, "High")</f>
        <v>Low</v>
      </c>
    </row>
    <row r="235" spans="1:20" x14ac:dyDescent="0.25">
      <c r="A235" s="2">
        <v>2013</v>
      </c>
      <c r="B235" s="1" t="s">
        <v>318</v>
      </c>
      <c r="C235" s="1" t="s">
        <v>323</v>
      </c>
      <c r="D235" s="1" t="s">
        <v>324</v>
      </c>
      <c r="E235" s="1" t="s">
        <v>323</v>
      </c>
      <c r="F235" s="1" t="s">
        <v>20</v>
      </c>
      <c r="G235" s="1" t="s">
        <v>468</v>
      </c>
      <c r="H235" s="1" t="s">
        <v>22</v>
      </c>
      <c r="I235" s="1">
        <v>39</v>
      </c>
      <c r="J235" s="1">
        <v>26907</v>
      </c>
      <c r="K235" s="1" t="s">
        <v>34</v>
      </c>
      <c r="L235" s="1" t="s">
        <v>24</v>
      </c>
      <c r="M235" s="1" t="s">
        <v>322</v>
      </c>
      <c r="N235" s="1">
        <v>22400</v>
      </c>
      <c r="O235" s="12">
        <v>21750</v>
      </c>
      <c r="P235" s="3" t="s">
        <v>46</v>
      </c>
      <c r="Q235" s="1" cm="1">
        <f t="array" ref="Q235">VALUE(INDEX(_xlfn.TEXTSPLIT(P235, " "), 4))</f>
        <v>2014</v>
      </c>
      <c r="R235" s="1" t="str">
        <f t="shared" si="3"/>
        <v>Infiniti G Sedan G37 Journey</v>
      </c>
      <c r="S235" s="1" t="str" cm="1">
        <f t="array" ref="S235">_xlfn.IFS(I235 &gt;= 40, "High", I235&gt;=20, "Medium", I235&lt;20, "Low")</f>
        <v>Medium</v>
      </c>
      <c r="T235" s="1" t="str" cm="1">
        <f t="array" ref="T235">_xlfn.IFS(O235&lt;18200, "Low", O235&lt;=50000, "Medium", O235&gt;50000, "High")</f>
        <v>Medium</v>
      </c>
    </row>
    <row r="236" spans="1:20" x14ac:dyDescent="0.25">
      <c r="A236" s="2">
        <v>2013</v>
      </c>
      <c r="B236" s="1" t="s">
        <v>318</v>
      </c>
      <c r="C236" s="1" t="s">
        <v>323</v>
      </c>
      <c r="D236" s="1" t="s">
        <v>324</v>
      </c>
      <c r="E236" s="1" t="s">
        <v>323</v>
      </c>
      <c r="F236" s="1" t="s">
        <v>20</v>
      </c>
      <c r="G236" s="1" t="s">
        <v>469</v>
      </c>
      <c r="H236" s="1" t="s">
        <v>22</v>
      </c>
      <c r="I236" s="1">
        <v>34</v>
      </c>
      <c r="J236" s="1">
        <v>14765</v>
      </c>
      <c r="K236" s="1" t="s">
        <v>34</v>
      </c>
      <c r="L236" s="1" t="s">
        <v>24</v>
      </c>
      <c r="M236" s="1" t="s">
        <v>322</v>
      </c>
      <c r="N236" s="1">
        <v>23900</v>
      </c>
      <c r="O236" s="12">
        <v>23500</v>
      </c>
      <c r="P236" s="3" t="s">
        <v>46</v>
      </c>
      <c r="Q236" s="1" cm="1">
        <f t="array" ref="Q236">VALUE(INDEX(_xlfn.TEXTSPLIT(P236, " "), 4))</f>
        <v>2014</v>
      </c>
      <c r="R236" s="1" t="str">
        <f t="shared" si="3"/>
        <v>Infiniti G Sedan G37 Journey</v>
      </c>
      <c r="S236" s="1" t="str" cm="1">
        <f t="array" ref="S236">_xlfn.IFS(I236 &gt;= 40, "High", I236&gt;=20, "Medium", I236&lt;20, "Low")</f>
        <v>Medium</v>
      </c>
      <c r="T236" s="1" t="str" cm="1">
        <f t="array" ref="T236">_xlfn.IFS(O236&lt;18200, "Low", O236&lt;=50000, "Medium", O236&gt;50000, "High")</f>
        <v>Medium</v>
      </c>
    </row>
    <row r="237" spans="1:20" x14ac:dyDescent="0.25">
      <c r="A237" s="2">
        <v>2013</v>
      </c>
      <c r="B237" s="1" t="s">
        <v>318</v>
      </c>
      <c r="C237" s="1" t="s">
        <v>323</v>
      </c>
      <c r="D237" s="1" t="s">
        <v>324</v>
      </c>
      <c r="E237" s="1" t="s">
        <v>323</v>
      </c>
      <c r="F237" s="1" t="s">
        <v>20</v>
      </c>
      <c r="G237" s="1" t="s">
        <v>470</v>
      </c>
      <c r="H237" s="1" t="s">
        <v>22</v>
      </c>
      <c r="I237" s="1">
        <v>43</v>
      </c>
      <c r="J237" s="1">
        <v>18673</v>
      </c>
      <c r="K237" s="1" t="s">
        <v>34</v>
      </c>
      <c r="L237" s="1" t="s">
        <v>34</v>
      </c>
      <c r="M237" s="1" t="s">
        <v>322</v>
      </c>
      <c r="N237" s="1">
        <v>23400</v>
      </c>
      <c r="O237" s="12">
        <v>22000</v>
      </c>
      <c r="P237" s="3" t="s">
        <v>46</v>
      </c>
      <c r="Q237" s="1" cm="1">
        <f t="array" ref="Q237">VALUE(INDEX(_xlfn.TEXTSPLIT(P237, " "), 4))</f>
        <v>2014</v>
      </c>
      <c r="R237" s="1" t="str">
        <f t="shared" si="3"/>
        <v>Infiniti G Sedan G37 Journey</v>
      </c>
      <c r="S237" s="1" t="str" cm="1">
        <f t="array" ref="S237">_xlfn.IFS(I237 &gt;= 40, "High", I237&gt;=20, "Medium", I237&lt;20, "Low")</f>
        <v>High</v>
      </c>
      <c r="T237" s="1" t="str" cm="1">
        <f t="array" ref="T237">_xlfn.IFS(O237&lt;18200, "Low", O237&lt;=50000, "Medium", O237&gt;50000, "High")</f>
        <v>Medium</v>
      </c>
    </row>
    <row r="238" spans="1:20" x14ac:dyDescent="0.25">
      <c r="A238" s="2">
        <v>2013</v>
      </c>
      <c r="B238" s="1" t="s">
        <v>98</v>
      </c>
      <c r="C238" s="1" t="s">
        <v>219</v>
      </c>
      <c r="D238" s="1" t="s">
        <v>348</v>
      </c>
      <c r="E238" s="1" t="s">
        <v>32</v>
      </c>
      <c r="F238" s="1" t="s">
        <v>20</v>
      </c>
      <c r="G238" s="1" t="s">
        <v>471</v>
      </c>
      <c r="H238" s="1" t="s">
        <v>22</v>
      </c>
      <c r="I238" s="1"/>
      <c r="J238" s="1">
        <v>37279</v>
      </c>
      <c r="K238" s="1" t="s">
        <v>73</v>
      </c>
      <c r="L238" s="1" t="s">
        <v>28</v>
      </c>
      <c r="M238" s="1" t="s">
        <v>51</v>
      </c>
      <c r="N238" s="1">
        <v>11400</v>
      </c>
      <c r="O238" s="12">
        <v>4500</v>
      </c>
      <c r="P238" s="3" t="s">
        <v>62</v>
      </c>
      <c r="Q238" s="1" cm="1">
        <f t="array" ref="Q238">VALUE(INDEX(_xlfn.TEXTSPLIT(P238, " "), 4))</f>
        <v>2014</v>
      </c>
      <c r="R238" s="1" t="str">
        <f t="shared" si="3"/>
        <v>Hyundai Elantra GLS</v>
      </c>
      <c r="S238" s="1" t="str" cm="1">
        <f t="array" ref="S238">_xlfn.IFS(I238 &gt;= 40, "High", I238&gt;=20, "Medium", I238&lt;20, "Low")</f>
        <v>Low</v>
      </c>
      <c r="T238" s="1" t="str" cm="1">
        <f t="array" ref="T238">_xlfn.IFS(O238&lt;18200, "Low", O238&lt;=50000, "Medium", O238&gt;50000, "High")</f>
        <v>Low</v>
      </c>
    </row>
    <row r="239" spans="1:20" x14ac:dyDescent="0.25">
      <c r="A239" s="2">
        <v>2013</v>
      </c>
      <c r="B239" s="1" t="s">
        <v>318</v>
      </c>
      <c r="C239" s="1" t="s">
        <v>323</v>
      </c>
      <c r="D239" s="1" t="s">
        <v>324</v>
      </c>
      <c r="E239" s="1" t="s">
        <v>323</v>
      </c>
      <c r="F239" s="1" t="s">
        <v>20</v>
      </c>
      <c r="G239" s="1" t="s">
        <v>472</v>
      </c>
      <c r="H239" s="1" t="s">
        <v>22</v>
      </c>
      <c r="I239" s="1">
        <v>37</v>
      </c>
      <c r="J239" s="1">
        <v>20707</v>
      </c>
      <c r="K239" s="1" t="s">
        <v>23</v>
      </c>
      <c r="L239" s="1" t="s">
        <v>24</v>
      </c>
      <c r="M239" s="1" t="s">
        <v>322</v>
      </c>
      <c r="N239" s="1">
        <v>23200</v>
      </c>
      <c r="O239" s="12">
        <v>23500</v>
      </c>
      <c r="P239" s="3" t="s">
        <v>251</v>
      </c>
      <c r="Q239" s="1" cm="1">
        <f t="array" ref="Q239">VALUE(INDEX(_xlfn.TEXTSPLIT(P239, " "), 4))</f>
        <v>2014</v>
      </c>
      <c r="R239" s="1" t="str">
        <f t="shared" si="3"/>
        <v>Infiniti G Sedan G37 Journey</v>
      </c>
      <c r="S239" s="1" t="str" cm="1">
        <f t="array" ref="S239">_xlfn.IFS(I239 &gt;= 40, "High", I239&gt;=20, "Medium", I239&lt;20, "Low")</f>
        <v>Medium</v>
      </c>
      <c r="T239" s="1" t="str" cm="1">
        <f t="array" ref="T239">_xlfn.IFS(O239&lt;18200, "Low", O239&lt;=50000, "Medium", O239&gt;50000, "High")</f>
        <v>Medium</v>
      </c>
    </row>
    <row r="240" spans="1:20" x14ac:dyDescent="0.25">
      <c r="A240" s="2">
        <v>2013</v>
      </c>
      <c r="B240" s="1" t="s">
        <v>98</v>
      </c>
      <c r="C240" s="1" t="s">
        <v>401</v>
      </c>
      <c r="D240" s="1" t="s">
        <v>402</v>
      </c>
      <c r="E240" s="1" t="s">
        <v>227</v>
      </c>
      <c r="F240" s="1" t="s">
        <v>20</v>
      </c>
      <c r="G240" s="1" t="s">
        <v>473</v>
      </c>
      <c r="H240" s="1" t="s">
        <v>22</v>
      </c>
      <c r="I240" s="1">
        <v>42</v>
      </c>
      <c r="J240" s="1">
        <v>8467</v>
      </c>
      <c r="K240" s="1" t="s">
        <v>24</v>
      </c>
      <c r="L240" s="1" t="s">
        <v>24</v>
      </c>
      <c r="M240" s="1" t="s">
        <v>343</v>
      </c>
      <c r="N240" s="1">
        <v>15050</v>
      </c>
      <c r="O240" s="12">
        <v>16300</v>
      </c>
      <c r="P240" s="3" t="s">
        <v>84</v>
      </c>
      <c r="Q240" s="1" cm="1">
        <f t="array" ref="Q240">VALUE(INDEX(_xlfn.TEXTSPLIT(P240, " "), 4))</f>
        <v>2014</v>
      </c>
      <c r="R240" s="1" t="str">
        <f t="shared" si="3"/>
        <v>Hyundai Veloster Turbo</v>
      </c>
      <c r="S240" s="1" t="str" cm="1">
        <f t="array" ref="S240">_xlfn.IFS(I240 &gt;= 40, "High", I240&gt;=20, "Medium", I240&lt;20, "Low")</f>
        <v>High</v>
      </c>
      <c r="T240" s="1" t="str" cm="1">
        <f t="array" ref="T240">_xlfn.IFS(O240&lt;18200, "Low", O240&lt;=50000, "Medium", O240&gt;50000, "High")</f>
        <v>Low</v>
      </c>
    </row>
    <row r="241" spans="1:20" x14ac:dyDescent="0.25">
      <c r="A241" s="2">
        <v>2013</v>
      </c>
      <c r="B241" s="1" t="s">
        <v>318</v>
      </c>
      <c r="C241" s="1" t="s">
        <v>323</v>
      </c>
      <c r="D241" s="1" t="s">
        <v>324</v>
      </c>
      <c r="E241" s="1" t="s">
        <v>323</v>
      </c>
      <c r="F241" s="1" t="s">
        <v>20</v>
      </c>
      <c r="G241" s="1" t="s">
        <v>474</v>
      </c>
      <c r="H241" s="1" t="s">
        <v>22</v>
      </c>
      <c r="I241" s="1">
        <v>44</v>
      </c>
      <c r="J241" s="1">
        <v>16009</v>
      </c>
      <c r="K241" s="1" t="s">
        <v>34</v>
      </c>
      <c r="L241" s="1" t="s">
        <v>24</v>
      </c>
      <c r="M241" s="1" t="s">
        <v>322</v>
      </c>
      <c r="N241" s="1">
        <v>23700</v>
      </c>
      <c r="O241" s="12">
        <v>22750</v>
      </c>
      <c r="P241" s="3" t="s">
        <v>46</v>
      </c>
      <c r="Q241" s="1" cm="1">
        <f t="array" ref="Q241">VALUE(INDEX(_xlfn.TEXTSPLIT(P241, " "), 4))</f>
        <v>2014</v>
      </c>
      <c r="R241" s="1" t="str">
        <f t="shared" si="3"/>
        <v>Infiniti G Sedan G37 Journey</v>
      </c>
      <c r="S241" s="1" t="str" cm="1">
        <f t="array" ref="S241">_xlfn.IFS(I241 &gt;= 40, "High", I241&gt;=20, "Medium", I241&lt;20, "Low")</f>
        <v>High</v>
      </c>
      <c r="T241" s="1" t="str" cm="1">
        <f t="array" ref="T241">_xlfn.IFS(O241&lt;18200, "Low", O241&lt;=50000, "Medium", O241&gt;50000, "High")</f>
        <v>Medium</v>
      </c>
    </row>
    <row r="242" spans="1:20" x14ac:dyDescent="0.25">
      <c r="A242" s="2">
        <v>2013</v>
      </c>
      <c r="B242" s="1" t="s">
        <v>318</v>
      </c>
      <c r="C242" s="1" t="s">
        <v>323</v>
      </c>
      <c r="D242" s="1" t="s">
        <v>324</v>
      </c>
      <c r="E242" s="1" t="s">
        <v>323</v>
      </c>
      <c r="F242" s="1" t="s">
        <v>20</v>
      </c>
      <c r="G242" s="1" t="s">
        <v>475</v>
      </c>
      <c r="H242" s="1" t="s">
        <v>22</v>
      </c>
      <c r="I242" s="1">
        <v>4</v>
      </c>
      <c r="J242" s="1">
        <v>15260</v>
      </c>
      <c r="K242" s="1" t="s">
        <v>91</v>
      </c>
      <c r="L242" s="1" t="s">
        <v>24</v>
      </c>
      <c r="M242" s="1" t="s">
        <v>322</v>
      </c>
      <c r="N242" s="1">
        <v>23800</v>
      </c>
      <c r="O242" s="12">
        <v>24500</v>
      </c>
      <c r="P242" s="3" t="s">
        <v>46</v>
      </c>
      <c r="Q242" s="1" cm="1">
        <f t="array" ref="Q242">VALUE(INDEX(_xlfn.TEXTSPLIT(P242, " "), 4))</f>
        <v>2014</v>
      </c>
      <c r="R242" s="1" t="str">
        <f t="shared" si="3"/>
        <v>Infiniti G Sedan G37 Journey</v>
      </c>
      <c r="S242" s="1" t="str" cm="1">
        <f t="array" ref="S242">_xlfn.IFS(I242 &gt;= 40, "High", I242&gt;=20, "Medium", I242&lt;20, "Low")</f>
        <v>Low</v>
      </c>
      <c r="T242" s="1" t="str" cm="1">
        <f t="array" ref="T242">_xlfn.IFS(O242&lt;18200, "Low", O242&lt;=50000, "Medium", O242&gt;50000, "High")</f>
        <v>Medium</v>
      </c>
    </row>
    <row r="243" spans="1:20" x14ac:dyDescent="0.25">
      <c r="A243" s="2">
        <v>2013</v>
      </c>
      <c r="B243" s="1" t="s">
        <v>98</v>
      </c>
      <c r="C243" s="1" t="s">
        <v>363</v>
      </c>
      <c r="D243" s="1" t="s">
        <v>54</v>
      </c>
      <c r="E243" s="1" t="s">
        <v>32</v>
      </c>
      <c r="F243" s="1" t="s">
        <v>20</v>
      </c>
      <c r="G243" s="1" t="s">
        <v>476</v>
      </c>
      <c r="H243" s="1" t="s">
        <v>22</v>
      </c>
      <c r="I243" s="1">
        <v>44</v>
      </c>
      <c r="J243" s="1">
        <v>9539</v>
      </c>
      <c r="K243" s="1" t="s">
        <v>91</v>
      </c>
      <c r="L243" s="1" t="s">
        <v>34</v>
      </c>
      <c r="M243" s="1" t="s">
        <v>343</v>
      </c>
      <c r="N243" s="1">
        <v>15450</v>
      </c>
      <c r="O243" s="12">
        <v>14900</v>
      </c>
      <c r="P243" s="3" t="s">
        <v>84</v>
      </c>
      <c r="Q243" s="1" cm="1">
        <f t="array" ref="Q243">VALUE(INDEX(_xlfn.TEXTSPLIT(P243, " "), 4))</f>
        <v>2014</v>
      </c>
      <c r="R243" s="1" t="str">
        <f t="shared" si="3"/>
        <v>Hyundai Sonata Hybrid Base</v>
      </c>
      <c r="S243" s="1" t="str" cm="1">
        <f t="array" ref="S243">_xlfn.IFS(I243 &gt;= 40, "High", I243&gt;=20, "Medium", I243&lt;20, "Low")</f>
        <v>High</v>
      </c>
      <c r="T243" s="1" t="str" cm="1">
        <f t="array" ref="T243">_xlfn.IFS(O243&lt;18200, "Low", O243&lt;=50000, "Medium", O243&gt;50000, "High")</f>
        <v>Low</v>
      </c>
    </row>
    <row r="244" spans="1:20" x14ac:dyDescent="0.25">
      <c r="A244" s="2">
        <v>2013</v>
      </c>
      <c r="B244" s="1" t="s">
        <v>318</v>
      </c>
      <c r="C244" s="1" t="s">
        <v>323</v>
      </c>
      <c r="D244" s="1" t="s">
        <v>324</v>
      </c>
      <c r="E244" s="1" t="s">
        <v>323</v>
      </c>
      <c r="F244" s="1" t="s">
        <v>20</v>
      </c>
      <c r="G244" s="1" t="s">
        <v>477</v>
      </c>
      <c r="H244" s="1" t="s">
        <v>22</v>
      </c>
      <c r="I244" s="1">
        <v>36</v>
      </c>
      <c r="J244" s="1">
        <v>20976</v>
      </c>
      <c r="K244" s="1" t="s">
        <v>24</v>
      </c>
      <c r="L244" s="1" t="s">
        <v>24</v>
      </c>
      <c r="M244" s="1" t="s">
        <v>322</v>
      </c>
      <c r="N244" s="1">
        <v>23100</v>
      </c>
      <c r="O244" s="12">
        <v>21000</v>
      </c>
      <c r="P244" s="3" t="s">
        <v>46</v>
      </c>
      <c r="Q244" s="1" cm="1">
        <f t="array" ref="Q244">VALUE(INDEX(_xlfn.TEXTSPLIT(P244, " "), 4))</f>
        <v>2014</v>
      </c>
      <c r="R244" s="1" t="str">
        <f t="shared" si="3"/>
        <v>Infiniti G Sedan G37 Journey</v>
      </c>
      <c r="S244" s="1" t="str" cm="1">
        <f t="array" ref="S244">_xlfn.IFS(I244 &gt;= 40, "High", I244&gt;=20, "Medium", I244&lt;20, "Low")</f>
        <v>Medium</v>
      </c>
      <c r="T244" s="1" t="str" cm="1">
        <f t="array" ref="T244">_xlfn.IFS(O244&lt;18200, "Low", O244&lt;=50000, "Medium", O244&gt;50000, "High")</f>
        <v>Medium</v>
      </c>
    </row>
    <row r="245" spans="1:20" x14ac:dyDescent="0.25">
      <c r="A245" s="2">
        <v>2013</v>
      </c>
      <c r="B245" s="1" t="s">
        <v>318</v>
      </c>
      <c r="C245" s="1" t="s">
        <v>323</v>
      </c>
      <c r="D245" s="1" t="s">
        <v>324</v>
      </c>
      <c r="E245" s="1" t="s">
        <v>323</v>
      </c>
      <c r="F245" s="1" t="s">
        <v>20</v>
      </c>
      <c r="G245" s="1" t="s">
        <v>478</v>
      </c>
      <c r="H245" s="1" t="s">
        <v>22</v>
      </c>
      <c r="I245" s="1">
        <v>46</v>
      </c>
      <c r="J245" s="1">
        <v>22294</v>
      </c>
      <c r="K245" s="1" t="s">
        <v>24</v>
      </c>
      <c r="L245" s="1" t="s">
        <v>24</v>
      </c>
      <c r="M245" s="1" t="s">
        <v>322</v>
      </c>
      <c r="N245" s="1">
        <v>23000</v>
      </c>
      <c r="O245" s="12">
        <v>24750</v>
      </c>
      <c r="P245" s="3" t="s">
        <v>46</v>
      </c>
      <c r="Q245" s="1" cm="1">
        <f t="array" ref="Q245">VALUE(INDEX(_xlfn.TEXTSPLIT(P245, " "), 4))</f>
        <v>2014</v>
      </c>
      <c r="R245" s="1" t="str">
        <f t="shared" si="3"/>
        <v>Infiniti G Sedan G37 Journey</v>
      </c>
      <c r="S245" s="1" t="str" cm="1">
        <f t="array" ref="S245">_xlfn.IFS(I245 &gt;= 40, "High", I245&gt;=20, "Medium", I245&lt;20, "Low")</f>
        <v>High</v>
      </c>
      <c r="T245" s="1" t="str" cm="1">
        <f t="array" ref="T245">_xlfn.IFS(O245&lt;18200, "Low", O245&lt;=50000, "Medium", O245&gt;50000, "High")</f>
        <v>Medium</v>
      </c>
    </row>
    <row r="246" spans="1:20" x14ac:dyDescent="0.25">
      <c r="A246" s="2">
        <v>2013</v>
      </c>
      <c r="B246" s="1" t="s">
        <v>98</v>
      </c>
      <c r="C246" s="1" t="s">
        <v>99</v>
      </c>
      <c r="D246" s="1" t="s">
        <v>348</v>
      </c>
      <c r="E246" s="1" t="s">
        <v>32</v>
      </c>
      <c r="F246" s="1" t="s">
        <v>20</v>
      </c>
      <c r="G246" s="1" t="s">
        <v>479</v>
      </c>
      <c r="H246" s="1" t="s">
        <v>22</v>
      </c>
      <c r="I246" s="1">
        <v>2</v>
      </c>
      <c r="J246" s="1">
        <v>44135</v>
      </c>
      <c r="K246" s="1" t="s">
        <v>34</v>
      </c>
      <c r="L246" s="1" t="s">
        <v>34</v>
      </c>
      <c r="M246" s="1" t="s">
        <v>436</v>
      </c>
      <c r="N246" s="1">
        <v>11650</v>
      </c>
      <c r="O246" s="12">
        <v>8400</v>
      </c>
      <c r="P246" s="3" t="s">
        <v>84</v>
      </c>
      <c r="Q246" s="1" cm="1">
        <f t="array" ref="Q246">VALUE(INDEX(_xlfn.TEXTSPLIT(P246, " "), 4))</f>
        <v>2014</v>
      </c>
      <c r="R246" s="1" t="str">
        <f t="shared" si="3"/>
        <v>Hyundai Sonata GLS</v>
      </c>
      <c r="S246" s="1" t="str" cm="1">
        <f t="array" ref="S246">_xlfn.IFS(I246 &gt;= 40, "High", I246&gt;=20, "Medium", I246&lt;20, "Low")</f>
        <v>Low</v>
      </c>
      <c r="T246" s="1" t="str" cm="1">
        <f t="array" ref="T246">_xlfn.IFS(O246&lt;18200, "Low", O246&lt;=50000, "Medium", O246&gt;50000, "High")</f>
        <v>Low</v>
      </c>
    </row>
    <row r="247" spans="1:20" x14ac:dyDescent="0.25">
      <c r="A247" s="2">
        <v>2013</v>
      </c>
      <c r="B247" s="1" t="s">
        <v>318</v>
      </c>
      <c r="C247" s="1" t="s">
        <v>319</v>
      </c>
      <c r="D247" s="1" t="s">
        <v>320</v>
      </c>
      <c r="E247" s="1" t="s">
        <v>319</v>
      </c>
      <c r="F247" s="1" t="s">
        <v>20</v>
      </c>
      <c r="G247" s="1" t="s">
        <v>480</v>
      </c>
      <c r="H247" s="1" t="s">
        <v>22</v>
      </c>
      <c r="I247" s="1">
        <v>4</v>
      </c>
      <c r="J247" s="1">
        <v>30556</v>
      </c>
      <c r="K247" s="1" t="s">
        <v>34</v>
      </c>
      <c r="L247" s="1" t="s">
        <v>24</v>
      </c>
      <c r="M247" s="1" t="s">
        <v>322</v>
      </c>
      <c r="N247" s="1">
        <v>23900</v>
      </c>
      <c r="O247" s="12">
        <v>23500</v>
      </c>
      <c r="P247" s="3" t="s">
        <v>46</v>
      </c>
      <c r="Q247" s="1" cm="1">
        <f t="array" ref="Q247">VALUE(INDEX(_xlfn.TEXTSPLIT(P247, " "), 4))</f>
        <v>2014</v>
      </c>
      <c r="R247" s="1" t="str">
        <f t="shared" si="3"/>
        <v>Infiniti G Coupe G37 Sport</v>
      </c>
      <c r="S247" s="1" t="str" cm="1">
        <f t="array" ref="S247">_xlfn.IFS(I247 &gt;= 40, "High", I247&gt;=20, "Medium", I247&lt;20, "Low")</f>
        <v>Low</v>
      </c>
      <c r="T247" s="1" t="str" cm="1">
        <f t="array" ref="T247">_xlfn.IFS(O247&lt;18200, "Low", O247&lt;=50000, "Medium", O247&gt;50000, "High")</f>
        <v>Medium</v>
      </c>
    </row>
    <row r="248" spans="1:20" x14ac:dyDescent="0.25">
      <c r="A248" s="2">
        <v>2013</v>
      </c>
      <c r="B248" s="1" t="s">
        <v>318</v>
      </c>
      <c r="C248" s="1" t="s">
        <v>323</v>
      </c>
      <c r="D248" s="1" t="s">
        <v>324</v>
      </c>
      <c r="E248" s="1" t="s">
        <v>323</v>
      </c>
      <c r="F248" s="1" t="s">
        <v>20</v>
      </c>
      <c r="G248" s="1" t="s">
        <v>481</v>
      </c>
      <c r="H248" s="1" t="s">
        <v>22</v>
      </c>
      <c r="I248" s="1">
        <v>41</v>
      </c>
      <c r="J248" s="1">
        <v>29731</v>
      </c>
      <c r="K248" s="1" t="s">
        <v>23</v>
      </c>
      <c r="L248" s="1" t="s">
        <v>28</v>
      </c>
      <c r="M248" s="1" t="s">
        <v>322</v>
      </c>
      <c r="N248" s="1">
        <v>22100</v>
      </c>
      <c r="O248" s="12">
        <v>21000</v>
      </c>
      <c r="P248" s="3" t="s">
        <v>46</v>
      </c>
      <c r="Q248" s="1" cm="1">
        <f t="array" ref="Q248">VALUE(INDEX(_xlfn.TEXTSPLIT(P248, " "), 4))</f>
        <v>2014</v>
      </c>
      <c r="R248" s="1" t="str">
        <f t="shared" si="3"/>
        <v>Infiniti G Sedan G37 Journey</v>
      </c>
      <c r="S248" s="1" t="str" cm="1">
        <f t="array" ref="S248">_xlfn.IFS(I248 &gt;= 40, "High", I248&gt;=20, "Medium", I248&lt;20, "Low")</f>
        <v>High</v>
      </c>
      <c r="T248" s="1" t="str" cm="1">
        <f t="array" ref="T248">_xlfn.IFS(O248&lt;18200, "Low", O248&lt;=50000, "Medium", O248&gt;50000, "High")</f>
        <v>Medium</v>
      </c>
    </row>
    <row r="249" spans="1:20" x14ac:dyDescent="0.25">
      <c r="A249" s="2">
        <v>2013</v>
      </c>
      <c r="B249" s="1" t="s">
        <v>98</v>
      </c>
      <c r="C249" s="1" t="s">
        <v>219</v>
      </c>
      <c r="D249" s="1" t="s">
        <v>348</v>
      </c>
      <c r="E249" s="1" t="s">
        <v>32</v>
      </c>
      <c r="F249" s="1" t="s">
        <v>20</v>
      </c>
      <c r="G249" s="1" t="s">
        <v>482</v>
      </c>
      <c r="H249" s="1" t="s">
        <v>22</v>
      </c>
      <c r="I249" s="1">
        <v>1</v>
      </c>
      <c r="J249" s="1">
        <v>36957</v>
      </c>
      <c r="K249" s="1" t="s">
        <v>73</v>
      </c>
      <c r="L249" s="1" t="s">
        <v>28</v>
      </c>
      <c r="M249" s="1" t="s">
        <v>51</v>
      </c>
      <c r="N249" s="1">
        <v>11400</v>
      </c>
      <c r="O249" s="12">
        <v>9400</v>
      </c>
      <c r="P249" s="3" t="s">
        <v>280</v>
      </c>
      <c r="Q249" s="1" cm="1">
        <f t="array" ref="Q249">VALUE(INDEX(_xlfn.TEXTSPLIT(P249, " "), 4))</f>
        <v>2014</v>
      </c>
      <c r="R249" s="1" t="str">
        <f t="shared" si="3"/>
        <v>Hyundai Elantra GLS</v>
      </c>
      <c r="S249" s="1" t="str" cm="1">
        <f t="array" ref="S249">_xlfn.IFS(I249 &gt;= 40, "High", I249&gt;=20, "Medium", I249&lt;20, "Low")</f>
        <v>Low</v>
      </c>
      <c r="T249" s="1" t="str" cm="1">
        <f t="array" ref="T249">_xlfn.IFS(O249&lt;18200, "Low", O249&lt;=50000, "Medium", O249&gt;50000, "High")</f>
        <v>Low</v>
      </c>
    </row>
    <row r="250" spans="1:20" x14ac:dyDescent="0.25">
      <c r="A250" s="2">
        <v>2013</v>
      </c>
      <c r="B250" s="1" t="s">
        <v>318</v>
      </c>
      <c r="C250" s="1" t="s">
        <v>319</v>
      </c>
      <c r="D250" s="1" t="s">
        <v>320</v>
      </c>
      <c r="E250" s="1" t="s">
        <v>319</v>
      </c>
      <c r="F250" s="1" t="s">
        <v>20</v>
      </c>
      <c r="G250" s="1" t="s">
        <v>483</v>
      </c>
      <c r="H250" s="1" t="s">
        <v>22</v>
      </c>
      <c r="I250" s="1">
        <v>44</v>
      </c>
      <c r="J250" s="1">
        <v>13321</v>
      </c>
      <c r="K250" s="1" t="s">
        <v>23</v>
      </c>
      <c r="L250" s="1" t="s">
        <v>34</v>
      </c>
      <c r="M250" s="1" t="s">
        <v>322</v>
      </c>
      <c r="N250" s="1">
        <v>26100</v>
      </c>
      <c r="O250" s="12">
        <v>26000</v>
      </c>
      <c r="P250" s="3" t="s">
        <v>46</v>
      </c>
      <c r="Q250" s="1" cm="1">
        <f t="array" ref="Q250">VALUE(INDEX(_xlfn.TEXTSPLIT(P250, " "), 4))</f>
        <v>2014</v>
      </c>
      <c r="R250" s="1" t="str">
        <f t="shared" si="3"/>
        <v>Infiniti G Coupe G37 Sport</v>
      </c>
      <c r="S250" s="1" t="str" cm="1">
        <f t="array" ref="S250">_xlfn.IFS(I250 &gt;= 40, "High", I250&gt;=20, "Medium", I250&lt;20, "Low")</f>
        <v>High</v>
      </c>
      <c r="T250" s="1" t="str" cm="1">
        <f t="array" ref="T250">_xlfn.IFS(O250&lt;18200, "Low", O250&lt;=50000, "Medium", O250&gt;50000, "High")</f>
        <v>Medium</v>
      </c>
    </row>
    <row r="251" spans="1:20" x14ac:dyDescent="0.25">
      <c r="A251" s="2">
        <v>2013</v>
      </c>
      <c r="B251" s="1" t="s">
        <v>98</v>
      </c>
      <c r="C251" s="1" t="s">
        <v>432</v>
      </c>
      <c r="D251" s="1" t="s">
        <v>54</v>
      </c>
      <c r="E251" s="1" t="s">
        <v>32</v>
      </c>
      <c r="F251" s="1" t="s">
        <v>20</v>
      </c>
      <c r="G251" s="1" t="s">
        <v>484</v>
      </c>
      <c r="H251" s="1" t="s">
        <v>22</v>
      </c>
      <c r="I251" s="1">
        <v>36</v>
      </c>
      <c r="J251" s="1">
        <v>6552</v>
      </c>
      <c r="K251" s="1" t="s">
        <v>24</v>
      </c>
      <c r="L251" s="1" t="s">
        <v>24</v>
      </c>
      <c r="M251" s="1" t="s">
        <v>343</v>
      </c>
      <c r="N251" s="1">
        <v>21800</v>
      </c>
      <c r="O251" s="12">
        <v>21400</v>
      </c>
      <c r="P251" s="3" t="s">
        <v>84</v>
      </c>
      <c r="Q251" s="1" cm="1">
        <f t="array" ref="Q251">VALUE(INDEX(_xlfn.TEXTSPLIT(P251, " "), 4))</f>
        <v>2014</v>
      </c>
      <c r="R251" s="1" t="str">
        <f t="shared" si="3"/>
        <v>Hyundai Azera Base</v>
      </c>
      <c r="S251" s="1" t="str" cm="1">
        <f t="array" ref="S251">_xlfn.IFS(I251 &gt;= 40, "High", I251&gt;=20, "Medium", I251&lt;20, "Low")</f>
        <v>Medium</v>
      </c>
      <c r="T251" s="1" t="str" cm="1">
        <f t="array" ref="T251">_xlfn.IFS(O251&lt;18200, "Low", O251&lt;=50000, "Medium", O251&gt;50000, "High")</f>
        <v>Medium</v>
      </c>
    </row>
    <row r="252" spans="1:20" x14ac:dyDescent="0.25">
      <c r="A252" s="2">
        <v>2013</v>
      </c>
      <c r="B252" s="1" t="s">
        <v>98</v>
      </c>
      <c r="C252" s="1" t="s">
        <v>363</v>
      </c>
      <c r="D252" s="1" t="s">
        <v>337</v>
      </c>
      <c r="E252" s="1" t="s">
        <v>32</v>
      </c>
      <c r="F252" s="1" t="s">
        <v>20</v>
      </c>
      <c r="G252" s="1" t="s">
        <v>485</v>
      </c>
      <c r="H252" s="1" t="s">
        <v>22</v>
      </c>
      <c r="I252" s="1">
        <v>43</v>
      </c>
      <c r="J252" s="1">
        <v>22143</v>
      </c>
      <c r="K252" s="1" t="s">
        <v>73</v>
      </c>
      <c r="L252" s="1" t="s">
        <v>28</v>
      </c>
      <c r="M252" s="1" t="s">
        <v>343</v>
      </c>
      <c r="N252" s="1">
        <v>17150</v>
      </c>
      <c r="O252" s="12">
        <v>17100</v>
      </c>
      <c r="P252" s="3" t="s">
        <v>84</v>
      </c>
      <c r="Q252" s="1" cm="1">
        <f t="array" ref="Q252">VALUE(INDEX(_xlfn.TEXTSPLIT(P252, " "), 4))</f>
        <v>2014</v>
      </c>
      <c r="R252" s="1" t="str">
        <f t="shared" si="3"/>
        <v>Hyundai Sonata Hybrid Limited</v>
      </c>
      <c r="S252" s="1" t="str" cm="1">
        <f t="array" ref="S252">_xlfn.IFS(I252 &gt;= 40, "High", I252&gt;=20, "Medium", I252&lt;20, "Low")</f>
        <v>High</v>
      </c>
      <c r="T252" s="1" t="str" cm="1">
        <f t="array" ref="T252">_xlfn.IFS(O252&lt;18200, "Low", O252&lt;=50000, "Medium", O252&gt;50000, "High")</f>
        <v>Low</v>
      </c>
    </row>
    <row r="253" spans="1:20" x14ac:dyDescent="0.25">
      <c r="A253" s="2">
        <v>2013</v>
      </c>
      <c r="B253" s="1" t="s">
        <v>318</v>
      </c>
      <c r="C253" s="1" t="s">
        <v>323</v>
      </c>
      <c r="D253" s="1" t="s">
        <v>324</v>
      </c>
      <c r="E253" s="1" t="s">
        <v>323</v>
      </c>
      <c r="F253" s="1" t="s">
        <v>20</v>
      </c>
      <c r="G253" s="1" t="s">
        <v>486</v>
      </c>
      <c r="H253" s="1" t="s">
        <v>22</v>
      </c>
      <c r="I253" s="1">
        <v>45</v>
      </c>
      <c r="J253" s="1">
        <v>23420</v>
      </c>
      <c r="K253" s="1" t="s">
        <v>34</v>
      </c>
      <c r="L253" s="1" t="s">
        <v>24</v>
      </c>
      <c r="M253" s="1" t="s">
        <v>322</v>
      </c>
      <c r="N253" s="1">
        <v>22800</v>
      </c>
      <c r="O253" s="12">
        <v>22250</v>
      </c>
      <c r="P253" s="3" t="s">
        <v>46</v>
      </c>
      <c r="Q253" s="1" cm="1">
        <f t="array" ref="Q253">VALUE(INDEX(_xlfn.TEXTSPLIT(P253, " "), 4))</f>
        <v>2014</v>
      </c>
      <c r="R253" s="1" t="str">
        <f t="shared" si="3"/>
        <v>Infiniti G Sedan G37 Journey</v>
      </c>
      <c r="S253" s="1" t="str" cm="1">
        <f t="array" ref="S253">_xlfn.IFS(I253 &gt;= 40, "High", I253&gt;=20, "Medium", I253&lt;20, "Low")</f>
        <v>High</v>
      </c>
      <c r="T253" s="1" t="str" cm="1">
        <f t="array" ref="T253">_xlfn.IFS(O253&lt;18200, "Low", O253&lt;=50000, "Medium", O253&gt;50000, "High")</f>
        <v>Medium</v>
      </c>
    </row>
    <row r="254" spans="1:20" x14ac:dyDescent="0.25">
      <c r="A254" s="2">
        <v>2013</v>
      </c>
      <c r="B254" s="1" t="s">
        <v>98</v>
      </c>
      <c r="C254" s="1" t="s">
        <v>398</v>
      </c>
      <c r="D254" s="1" t="s">
        <v>348</v>
      </c>
      <c r="E254" s="1" t="s">
        <v>32</v>
      </c>
      <c r="F254" s="1" t="s">
        <v>20</v>
      </c>
      <c r="G254" s="1" t="s">
        <v>487</v>
      </c>
      <c r="H254" s="1" t="s">
        <v>22</v>
      </c>
      <c r="I254" s="1">
        <v>2</v>
      </c>
      <c r="J254" s="1">
        <v>33078</v>
      </c>
      <c r="K254" s="1" t="s">
        <v>23</v>
      </c>
      <c r="L254" s="1" t="s">
        <v>28</v>
      </c>
      <c r="M254" s="1" t="s">
        <v>51</v>
      </c>
      <c r="N254" s="1">
        <v>9675</v>
      </c>
      <c r="O254" s="12">
        <v>7800</v>
      </c>
      <c r="P254" s="3" t="s">
        <v>84</v>
      </c>
      <c r="Q254" s="1" cm="1">
        <f t="array" ref="Q254">VALUE(INDEX(_xlfn.TEXTSPLIT(P254, " "), 4))</f>
        <v>2014</v>
      </c>
      <c r="R254" s="1" t="str">
        <f t="shared" si="3"/>
        <v>Hyundai Accent GLS</v>
      </c>
      <c r="S254" s="1" t="str" cm="1">
        <f t="array" ref="S254">_xlfn.IFS(I254 &gt;= 40, "High", I254&gt;=20, "Medium", I254&lt;20, "Low")</f>
        <v>Low</v>
      </c>
      <c r="T254" s="1" t="str" cm="1">
        <f t="array" ref="T254">_xlfn.IFS(O254&lt;18200, "Low", O254&lt;=50000, "Medium", O254&gt;50000, "High")</f>
        <v>Low</v>
      </c>
    </row>
    <row r="255" spans="1:20" x14ac:dyDescent="0.25">
      <c r="A255" s="2">
        <v>2013</v>
      </c>
      <c r="B255" s="1" t="s">
        <v>318</v>
      </c>
      <c r="C255" s="1" t="s">
        <v>323</v>
      </c>
      <c r="D255" s="1" t="s">
        <v>324</v>
      </c>
      <c r="E255" s="1" t="s">
        <v>323</v>
      </c>
      <c r="F255" s="1" t="s">
        <v>20</v>
      </c>
      <c r="G255" s="1" t="s">
        <v>488</v>
      </c>
      <c r="H255" s="1" t="s">
        <v>22</v>
      </c>
      <c r="I255" s="1">
        <v>32</v>
      </c>
      <c r="J255" s="1">
        <v>28875</v>
      </c>
      <c r="K255" s="1" t="s">
        <v>34</v>
      </c>
      <c r="L255" s="1" t="s">
        <v>24</v>
      </c>
      <c r="M255" s="1" t="s">
        <v>322</v>
      </c>
      <c r="N255" s="1">
        <v>22200</v>
      </c>
      <c r="O255" s="12">
        <v>21000</v>
      </c>
      <c r="P255" s="3" t="s">
        <v>46</v>
      </c>
      <c r="Q255" s="1" cm="1">
        <f t="array" ref="Q255">VALUE(INDEX(_xlfn.TEXTSPLIT(P255, " "), 4))</f>
        <v>2014</v>
      </c>
      <c r="R255" s="1" t="str">
        <f t="shared" si="3"/>
        <v>Infiniti G Sedan G37 Journey</v>
      </c>
      <c r="S255" s="1" t="str" cm="1">
        <f t="array" ref="S255">_xlfn.IFS(I255 &gt;= 40, "High", I255&gt;=20, "Medium", I255&lt;20, "Low")</f>
        <v>Medium</v>
      </c>
      <c r="T255" s="1" t="str" cm="1">
        <f t="array" ref="T255">_xlfn.IFS(O255&lt;18200, "Low", O255&lt;=50000, "Medium", O255&gt;50000, "High")</f>
        <v>Medium</v>
      </c>
    </row>
    <row r="256" spans="1:20" x14ac:dyDescent="0.25">
      <c r="A256" s="2">
        <v>2013</v>
      </c>
      <c r="B256" s="1" t="s">
        <v>98</v>
      </c>
      <c r="C256" s="1" t="s">
        <v>398</v>
      </c>
      <c r="D256" s="1" t="s">
        <v>87</v>
      </c>
      <c r="E256" s="1" t="s">
        <v>227</v>
      </c>
      <c r="F256" s="1" t="s">
        <v>20</v>
      </c>
      <c r="G256" s="1" t="s">
        <v>489</v>
      </c>
      <c r="H256" s="1" t="s">
        <v>22</v>
      </c>
      <c r="I256" s="1">
        <v>49</v>
      </c>
      <c r="J256" s="1">
        <v>6747</v>
      </c>
      <c r="K256" s="1" t="s">
        <v>34</v>
      </c>
      <c r="L256" s="1" t="s">
        <v>24</v>
      </c>
      <c r="M256" s="1" t="s">
        <v>343</v>
      </c>
      <c r="N256" s="1">
        <v>11300</v>
      </c>
      <c r="O256" s="12">
        <v>11900</v>
      </c>
      <c r="P256" s="3" t="s">
        <v>84</v>
      </c>
      <c r="Q256" s="1" cm="1">
        <f t="array" ref="Q256">VALUE(INDEX(_xlfn.TEXTSPLIT(P256, " "), 4))</f>
        <v>2014</v>
      </c>
      <c r="R256" s="1" t="str">
        <f t="shared" si="3"/>
        <v>Hyundai Accent SE</v>
      </c>
      <c r="S256" s="1" t="str" cm="1">
        <f t="array" ref="S256">_xlfn.IFS(I256 &gt;= 40, "High", I256&gt;=20, "Medium", I256&lt;20, "Low")</f>
        <v>High</v>
      </c>
      <c r="T256" s="1" t="str" cm="1">
        <f t="array" ref="T256">_xlfn.IFS(O256&lt;18200, "Low", O256&lt;=50000, "Medium", O256&gt;50000, "High")</f>
        <v>Low</v>
      </c>
    </row>
    <row r="257" spans="1:20" x14ac:dyDescent="0.25">
      <c r="A257" s="2">
        <v>2013</v>
      </c>
      <c r="B257" s="1" t="s">
        <v>98</v>
      </c>
      <c r="C257" s="1" t="s">
        <v>219</v>
      </c>
      <c r="D257" s="1" t="s">
        <v>348</v>
      </c>
      <c r="E257" s="1" t="s">
        <v>32</v>
      </c>
      <c r="F257" s="1" t="s">
        <v>20</v>
      </c>
      <c r="G257" s="1" t="s">
        <v>490</v>
      </c>
      <c r="H257" s="1" t="s">
        <v>22</v>
      </c>
      <c r="I257" s="1">
        <v>44</v>
      </c>
      <c r="J257" s="1">
        <v>38170</v>
      </c>
      <c r="K257" s="1" t="s">
        <v>34</v>
      </c>
      <c r="L257" s="1" t="s">
        <v>28</v>
      </c>
      <c r="M257" s="1" t="s">
        <v>142</v>
      </c>
      <c r="N257" s="1">
        <v>11350</v>
      </c>
      <c r="O257" s="12">
        <v>11600</v>
      </c>
      <c r="P257" s="3" t="s">
        <v>26</v>
      </c>
      <c r="Q257" s="1" cm="1">
        <f t="array" ref="Q257">VALUE(INDEX(_xlfn.TEXTSPLIT(P257, " "), 4))</f>
        <v>2014</v>
      </c>
      <c r="R257" s="1" t="str">
        <f t="shared" si="3"/>
        <v>Hyundai Elantra GLS</v>
      </c>
      <c r="S257" s="1" t="str" cm="1">
        <f t="array" ref="S257">_xlfn.IFS(I257 &gt;= 40, "High", I257&gt;=20, "Medium", I257&lt;20, "Low")</f>
        <v>High</v>
      </c>
      <c r="T257" s="1" t="str" cm="1">
        <f t="array" ref="T257">_xlfn.IFS(O257&lt;18200, "Low", O257&lt;=50000, "Medium", O257&gt;50000, "High")</f>
        <v>Low</v>
      </c>
    </row>
    <row r="258" spans="1:20" x14ac:dyDescent="0.25">
      <c r="A258" s="2">
        <v>2013</v>
      </c>
      <c r="B258" s="1" t="s">
        <v>318</v>
      </c>
      <c r="C258" s="1" t="s">
        <v>323</v>
      </c>
      <c r="D258" s="1" t="s">
        <v>324</v>
      </c>
      <c r="E258" s="1" t="s">
        <v>323</v>
      </c>
      <c r="F258" s="1" t="s">
        <v>20</v>
      </c>
      <c r="G258" s="1" t="s">
        <v>491</v>
      </c>
      <c r="H258" s="1" t="s">
        <v>22</v>
      </c>
      <c r="I258" s="1">
        <v>44</v>
      </c>
      <c r="J258" s="1">
        <v>23156</v>
      </c>
      <c r="K258" s="1" t="s">
        <v>23</v>
      </c>
      <c r="L258" s="1" t="s">
        <v>24</v>
      </c>
      <c r="M258" s="1" t="s">
        <v>322</v>
      </c>
      <c r="N258" s="1">
        <v>23100</v>
      </c>
      <c r="O258" s="12">
        <v>23000</v>
      </c>
      <c r="P258" s="3" t="s">
        <v>57</v>
      </c>
      <c r="Q258" s="1" cm="1">
        <f t="array" ref="Q258">VALUE(INDEX(_xlfn.TEXTSPLIT(P258, " "), 4))</f>
        <v>2014</v>
      </c>
      <c r="R258" s="1" t="str">
        <f t="shared" si="3"/>
        <v>Infiniti G Sedan G37 Journey</v>
      </c>
      <c r="S258" s="1" t="str" cm="1">
        <f t="array" ref="S258">_xlfn.IFS(I258 &gt;= 40, "High", I258&gt;=20, "Medium", I258&lt;20, "Low")</f>
        <v>High</v>
      </c>
      <c r="T258" s="1" t="str" cm="1">
        <f t="array" ref="T258">_xlfn.IFS(O258&lt;18200, "Low", O258&lt;=50000, "Medium", O258&gt;50000, "High")</f>
        <v>Medium</v>
      </c>
    </row>
    <row r="259" spans="1:20" x14ac:dyDescent="0.25">
      <c r="A259" s="2">
        <v>2013</v>
      </c>
      <c r="B259" s="1" t="s">
        <v>98</v>
      </c>
      <c r="C259" s="1" t="s">
        <v>99</v>
      </c>
      <c r="D259" s="1" t="s">
        <v>348</v>
      </c>
      <c r="E259" s="1" t="s">
        <v>32</v>
      </c>
      <c r="F259" s="1" t="s">
        <v>20</v>
      </c>
      <c r="G259" s="1" t="s">
        <v>492</v>
      </c>
      <c r="H259" s="1" t="s">
        <v>22</v>
      </c>
      <c r="I259" s="1">
        <v>28</v>
      </c>
      <c r="J259" s="1">
        <v>32387</v>
      </c>
      <c r="K259" s="1" t="s">
        <v>91</v>
      </c>
      <c r="L259" s="1" t="s">
        <v>34</v>
      </c>
      <c r="M259" s="1" t="s">
        <v>493</v>
      </c>
      <c r="N259" s="1">
        <v>12400</v>
      </c>
      <c r="O259" s="12">
        <v>9750</v>
      </c>
      <c r="P259" s="3" t="s">
        <v>362</v>
      </c>
      <c r="Q259" s="1" cm="1">
        <f t="array" ref="Q259">VALUE(INDEX(_xlfn.TEXTSPLIT(P259, " "), 4))</f>
        <v>2014</v>
      </c>
      <c r="R259" s="1" t="str">
        <f t="shared" ref="R259:R322" si="4">_xlfn.TEXTJOIN(" ", TRUE, B259, C259, D259)</f>
        <v>Hyundai Sonata GLS</v>
      </c>
      <c r="S259" s="1" t="str" cm="1">
        <f t="array" ref="S259">_xlfn.IFS(I259 &gt;= 40, "High", I259&gt;=20, "Medium", I259&lt;20, "Low")</f>
        <v>Medium</v>
      </c>
      <c r="T259" s="1" t="str" cm="1">
        <f t="array" ref="T259">_xlfn.IFS(O259&lt;18200, "Low", O259&lt;=50000, "Medium", O259&gt;50000, "High")</f>
        <v>Low</v>
      </c>
    </row>
    <row r="260" spans="1:20" x14ac:dyDescent="0.25">
      <c r="A260" s="2">
        <v>2013</v>
      </c>
      <c r="B260" s="1" t="s">
        <v>98</v>
      </c>
      <c r="C260" s="1" t="s">
        <v>99</v>
      </c>
      <c r="D260" s="1" t="s">
        <v>348</v>
      </c>
      <c r="E260" s="1" t="s">
        <v>32</v>
      </c>
      <c r="F260" s="1" t="s">
        <v>20</v>
      </c>
      <c r="G260" s="1" t="s">
        <v>494</v>
      </c>
      <c r="H260" s="1" t="s">
        <v>22</v>
      </c>
      <c r="I260" s="1">
        <v>42</v>
      </c>
      <c r="J260" s="1">
        <v>40593</v>
      </c>
      <c r="K260" s="1" t="s">
        <v>23</v>
      </c>
      <c r="L260" s="1" t="s">
        <v>28</v>
      </c>
      <c r="M260" s="1" t="s">
        <v>495</v>
      </c>
      <c r="N260" s="1">
        <v>11900</v>
      </c>
      <c r="O260" s="12">
        <v>12000</v>
      </c>
      <c r="P260" s="3" t="s">
        <v>270</v>
      </c>
      <c r="Q260" s="1" cm="1">
        <f t="array" ref="Q260">VALUE(INDEX(_xlfn.TEXTSPLIT(P260, " "), 4))</f>
        <v>2014</v>
      </c>
      <c r="R260" s="1" t="str">
        <f t="shared" si="4"/>
        <v>Hyundai Sonata GLS</v>
      </c>
      <c r="S260" s="1" t="str" cm="1">
        <f t="array" ref="S260">_xlfn.IFS(I260 &gt;= 40, "High", I260&gt;=20, "Medium", I260&lt;20, "Low")</f>
        <v>High</v>
      </c>
      <c r="T260" s="1" t="str" cm="1">
        <f t="array" ref="T260">_xlfn.IFS(O260&lt;18200, "Low", O260&lt;=50000, "Medium", O260&gt;50000, "High")</f>
        <v>Low</v>
      </c>
    </row>
    <row r="261" spans="1:20" x14ac:dyDescent="0.25">
      <c r="A261" s="2">
        <v>2013</v>
      </c>
      <c r="B261" s="1" t="s">
        <v>318</v>
      </c>
      <c r="C261" s="1" t="s">
        <v>319</v>
      </c>
      <c r="D261" s="1" t="s">
        <v>320</v>
      </c>
      <c r="E261" s="1" t="s">
        <v>319</v>
      </c>
      <c r="F261" s="1" t="s">
        <v>20</v>
      </c>
      <c r="G261" s="1" t="s">
        <v>496</v>
      </c>
      <c r="H261" s="1" t="s">
        <v>22</v>
      </c>
      <c r="I261" s="1">
        <v>48</v>
      </c>
      <c r="J261" s="1">
        <v>13661</v>
      </c>
      <c r="K261" s="1" t="s">
        <v>34</v>
      </c>
      <c r="L261" s="1" t="s">
        <v>24</v>
      </c>
      <c r="M261" s="1" t="s">
        <v>322</v>
      </c>
      <c r="N261" s="1">
        <v>26100</v>
      </c>
      <c r="O261" s="12">
        <v>26500</v>
      </c>
      <c r="P261" s="3" t="s">
        <v>57</v>
      </c>
      <c r="Q261" s="1" cm="1">
        <f t="array" ref="Q261">VALUE(INDEX(_xlfn.TEXTSPLIT(P261, " "), 4))</f>
        <v>2014</v>
      </c>
      <c r="R261" s="1" t="str">
        <f t="shared" si="4"/>
        <v>Infiniti G Coupe G37 Sport</v>
      </c>
      <c r="S261" s="1" t="str" cm="1">
        <f t="array" ref="S261">_xlfn.IFS(I261 &gt;= 40, "High", I261&gt;=20, "Medium", I261&lt;20, "Low")</f>
        <v>High</v>
      </c>
      <c r="T261" s="1" t="str" cm="1">
        <f t="array" ref="T261">_xlfn.IFS(O261&lt;18200, "Low", O261&lt;=50000, "Medium", O261&gt;50000, "High")</f>
        <v>Medium</v>
      </c>
    </row>
    <row r="262" spans="1:20" x14ac:dyDescent="0.25">
      <c r="A262" s="2">
        <v>2013</v>
      </c>
      <c r="B262" s="1" t="s">
        <v>318</v>
      </c>
      <c r="C262" s="1" t="s">
        <v>323</v>
      </c>
      <c r="D262" s="1" t="s">
        <v>324</v>
      </c>
      <c r="E262" s="1" t="s">
        <v>323</v>
      </c>
      <c r="F262" s="1" t="s">
        <v>20</v>
      </c>
      <c r="G262" s="1" t="s">
        <v>497</v>
      </c>
      <c r="H262" s="1" t="s">
        <v>22</v>
      </c>
      <c r="I262" s="1">
        <v>45</v>
      </c>
      <c r="J262" s="1">
        <v>21557</v>
      </c>
      <c r="K262" s="1" t="s">
        <v>23</v>
      </c>
      <c r="L262" s="1" t="s">
        <v>24</v>
      </c>
      <c r="M262" s="1" t="s">
        <v>322</v>
      </c>
      <c r="N262" s="1">
        <v>23100</v>
      </c>
      <c r="O262" s="12">
        <v>25250</v>
      </c>
      <c r="P262" s="3" t="s">
        <v>46</v>
      </c>
      <c r="Q262" s="1" cm="1">
        <f t="array" ref="Q262">VALUE(INDEX(_xlfn.TEXTSPLIT(P262, " "), 4))</f>
        <v>2014</v>
      </c>
      <c r="R262" s="1" t="str">
        <f t="shared" si="4"/>
        <v>Infiniti G Sedan G37 Journey</v>
      </c>
      <c r="S262" s="1" t="str" cm="1">
        <f t="array" ref="S262">_xlfn.IFS(I262 &gt;= 40, "High", I262&gt;=20, "Medium", I262&lt;20, "Low")</f>
        <v>High</v>
      </c>
      <c r="T262" s="1" t="str" cm="1">
        <f t="array" ref="T262">_xlfn.IFS(O262&lt;18200, "Low", O262&lt;=50000, "Medium", O262&gt;50000, "High")</f>
        <v>Medium</v>
      </c>
    </row>
    <row r="263" spans="1:20" x14ac:dyDescent="0.25">
      <c r="A263" s="2">
        <v>2013</v>
      </c>
      <c r="B263" s="1" t="s">
        <v>318</v>
      </c>
      <c r="C263" s="1" t="s">
        <v>323</v>
      </c>
      <c r="D263" s="1" t="s">
        <v>324</v>
      </c>
      <c r="E263" s="1" t="s">
        <v>323</v>
      </c>
      <c r="F263" s="1" t="s">
        <v>20</v>
      </c>
      <c r="G263" s="1" t="s">
        <v>498</v>
      </c>
      <c r="H263" s="1" t="s">
        <v>22</v>
      </c>
      <c r="I263" s="1">
        <v>38</v>
      </c>
      <c r="J263" s="1">
        <v>20067</v>
      </c>
      <c r="K263" s="1" t="s">
        <v>34</v>
      </c>
      <c r="L263" s="1" t="s">
        <v>24</v>
      </c>
      <c r="M263" s="1" t="s">
        <v>322</v>
      </c>
      <c r="N263" s="1">
        <v>23300</v>
      </c>
      <c r="O263" s="12">
        <v>24000</v>
      </c>
      <c r="P263" s="3" t="s">
        <v>46</v>
      </c>
      <c r="Q263" s="1" cm="1">
        <f t="array" ref="Q263">VALUE(INDEX(_xlfn.TEXTSPLIT(P263, " "), 4))</f>
        <v>2014</v>
      </c>
      <c r="R263" s="1" t="str">
        <f t="shared" si="4"/>
        <v>Infiniti G Sedan G37 Journey</v>
      </c>
      <c r="S263" s="1" t="str" cm="1">
        <f t="array" ref="S263">_xlfn.IFS(I263 &gt;= 40, "High", I263&gt;=20, "Medium", I263&lt;20, "Low")</f>
        <v>Medium</v>
      </c>
      <c r="T263" s="1" t="str" cm="1">
        <f t="array" ref="T263">_xlfn.IFS(O263&lt;18200, "Low", O263&lt;=50000, "Medium", O263&gt;50000, "High")</f>
        <v>Medium</v>
      </c>
    </row>
    <row r="264" spans="1:20" x14ac:dyDescent="0.25">
      <c r="A264" s="2">
        <v>2013</v>
      </c>
      <c r="B264" s="1" t="s">
        <v>98</v>
      </c>
      <c r="C264" s="1" t="s">
        <v>99</v>
      </c>
      <c r="D264" s="1" t="s">
        <v>337</v>
      </c>
      <c r="E264" s="1" t="s">
        <v>32</v>
      </c>
      <c r="F264" s="1" t="s">
        <v>20</v>
      </c>
      <c r="G264" s="1" t="s">
        <v>499</v>
      </c>
      <c r="H264" s="1" t="s">
        <v>22</v>
      </c>
      <c r="I264" s="1">
        <v>39</v>
      </c>
      <c r="J264" s="1">
        <v>45991</v>
      </c>
      <c r="K264" s="1" t="s">
        <v>34</v>
      </c>
      <c r="L264" s="1" t="s">
        <v>34</v>
      </c>
      <c r="M264" s="1" t="s">
        <v>343</v>
      </c>
      <c r="N264" s="1">
        <v>15750</v>
      </c>
      <c r="O264" s="12">
        <v>17200</v>
      </c>
      <c r="P264" s="3" t="s">
        <v>500</v>
      </c>
      <c r="Q264" s="1" cm="1">
        <f t="array" ref="Q264">VALUE(INDEX(_xlfn.TEXTSPLIT(P264, " "), 4))</f>
        <v>2015</v>
      </c>
      <c r="R264" s="1" t="str">
        <f t="shared" si="4"/>
        <v>Hyundai Sonata Limited</v>
      </c>
      <c r="S264" s="1" t="str" cm="1">
        <f t="array" ref="S264">_xlfn.IFS(I264 &gt;= 40, "High", I264&gt;=20, "Medium", I264&lt;20, "Low")</f>
        <v>Medium</v>
      </c>
      <c r="T264" s="1" t="str" cm="1">
        <f t="array" ref="T264">_xlfn.IFS(O264&lt;18200, "Low", O264&lt;=50000, "Medium", O264&gt;50000, "High")</f>
        <v>Low</v>
      </c>
    </row>
    <row r="265" spans="1:20" x14ac:dyDescent="0.25">
      <c r="A265" s="2">
        <v>2013</v>
      </c>
      <c r="B265" s="1" t="s">
        <v>318</v>
      </c>
      <c r="C265" s="1" t="s">
        <v>319</v>
      </c>
      <c r="D265" s="1" t="s">
        <v>320</v>
      </c>
      <c r="E265" s="1" t="s">
        <v>319</v>
      </c>
      <c r="F265" s="1" t="s">
        <v>20</v>
      </c>
      <c r="G265" s="1" t="s">
        <v>501</v>
      </c>
      <c r="H265" s="1" t="s">
        <v>22</v>
      </c>
      <c r="I265" s="1">
        <v>42</v>
      </c>
      <c r="J265" s="1">
        <v>22354</v>
      </c>
      <c r="K265" s="1" t="s">
        <v>34</v>
      </c>
      <c r="L265" s="1" t="s">
        <v>24</v>
      </c>
      <c r="M265" s="1" t="s">
        <v>322</v>
      </c>
      <c r="N265" s="1">
        <v>24900</v>
      </c>
      <c r="O265" s="12">
        <v>25000</v>
      </c>
      <c r="P265" s="3" t="s">
        <v>46</v>
      </c>
      <c r="Q265" s="1" cm="1">
        <f t="array" ref="Q265">VALUE(INDEX(_xlfn.TEXTSPLIT(P265, " "), 4))</f>
        <v>2014</v>
      </c>
      <c r="R265" s="1" t="str">
        <f t="shared" si="4"/>
        <v>Infiniti G Coupe G37 Sport</v>
      </c>
      <c r="S265" s="1" t="str" cm="1">
        <f t="array" ref="S265">_xlfn.IFS(I265 &gt;= 40, "High", I265&gt;=20, "Medium", I265&lt;20, "Low")</f>
        <v>High</v>
      </c>
      <c r="T265" s="1" t="str" cm="1">
        <f t="array" ref="T265">_xlfn.IFS(O265&lt;18200, "Low", O265&lt;=50000, "Medium", O265&gt;50000, "High")</f>
        <v>Medium</v>
      </c>
    </row>
    <row r="266" spans="1:20" x14ac:dyDescent="0.25">
      <c r="A266" s="2">
        <v>2013</v>
      </c>
      <c r="B266" s="1" t="s">
        <v>98</v>
      </c>
      <c r="C266" s="1" t="s">
        <v>340</v>
      </c>
      <c r="D266" s="1">
        <v>3.8</v>
      </c>
      <c r="E266" s="1" t="s">
        <v>32</v>
      </c>
      <c r="F266" s="1" t="s">
        <v>20</v>
      </c>
      <c r="G266" s="1" t="s">
        <v>502</v>
      </c>
      <c r="H266" s="1" t="s">
        <v>22</v>
      </c>
      <c r="I266" s="1">
        <v>46</v>
      </c>
      <c r="J266" s="1">
        <v>20952</v>
      </c>
      <c r="K266" s="1" t="s">
        <v>91</v>
      </c>
      <c r="L266" s="1" t="s">
        <v>24</v>
      </c>
      <c r="M266" s="1" t="s">
        <v>343</v>
      </c>
      <c r="N266" s="1">
        <v>18650</v>
      </c>
      <c r="O266" s="12">
        <v>22200</v>
      </c>
      <c r="P266" s="3" t="s">
        <v>84</v>
      </c>
      <c r="Q266" s="1" cm="1">
        <f t="array" ref="Q266">VALUE(INDEX(_xlfn.TEXTSPLIT(P266, " "), 4))</f>
        <v>2014</v>
      </c>
      <c r="R266" s="1" t="str">
        <f t="shared" si="4"/>
        <v>Hyundai Genesis 3.8</v>
      </c>
      <c r="S266" s="1" t="str" cm="1">
        <f t="array" ref="S266">_xlfn.IFS(I266 &gt;= 40, "High", I266&gt;=20, "Medium", I266&lt;20, "Low")</f>
        <v>High</v>
      </c>
      <c r="T266" s="1" t="str" cm="1">
        <f t="array" ref="T266">_xlfn.IFS(O266&lt;18200, "Low", O266&lt;=50000, "Medium", O266&gt;50000, "High")</f>
        <v>Medium</v>
      </c>
    </row>
    <row r="267" spans="1:20" x14ac:dyDescent="0.25">
      <c r="A267" s="2">
        <v>2013</v>
      </c>
      <c r="B267" s="1" t="s">
        <v>98</v>
      </c>
      <c r="C267" s="1" t="s">
        <v>336</v>
      </c>
      <c r="D267" s="1" t="s">
        <v>392</v>
      </c>
      <c r="E267" s="1" t="s">
        <v>19</v>
      </c>
      <c r="F267" s="1" t="s">
        <v>20</v>
      </c>
      <c r="G267" s="1" t="s">
        <v>503</v>
      </c>
      <c r="H267" s="1" t="s">
        <v>22</v>
      </c>
      <c r="I267" s="1">
        <v>46</v>
      </c>
      <c r="J267" s="1">
        <v>15758</v>
      </c>
      <c r="K267" s="1" t="s">
        <v>34</v>
      </c>
      <c r="L267" s="1" t="s">
        <v>24</v>
      </c>
      <c r="M267" s="1" t="s">
        <v>343</v>
      </c>
      <c r="N267" s="1">
        <v>21600</v>
      </c>
      <c r="O267" s="12">
        <v>21400</v>
      </c>
      <c r="P267" s="3" t="s">
        <v>84</v>
      </c>
      <c r="Q267" s="1" cm="1">
        <f t="array" ref="Q267">VALUE(INDEX(_xlfn.TEXTSPLIT(P267, " "), 4))</f>
        <v>2014</v>
      </c>
      <c r="R267" s="1" t="str">
        <f t="shared" si="4"/>
        <v>Hyundai Santa Fe Sport 2.0T</v>
      </c>
      <c r="S267" s="1" t="str" cm="1">
        <f t="array" ref="S267">_xlfn.IFS(I267 &gt;= 40, "High", I267&gt;=20, "Medium", I267&lt;20, "Low")</f>
        <v>High</v>
      </c>
      <c r="T267" s="1" t="str" cm="1">
        <f t="array" ref="T267">_xlfn.IFS(O267&lt;18200, "Low", O267&lt;=50000, "Medium", O267&gt;50000, "High")</f>
        <v>Medium</v>
      </c>
    </row>
    <row r="268" spans="1:20" x14ac:dyDescent="0.25">
      <c r="A268" s="2">
        <v>2013</v>
      </c>
      <c r="B268" s="1" t="s">
        <v>98</v>
      </c>
      <c r="C268" s="1" t="s">
        <v>99</v>
      </c>
      <c r="D268" s="1" t="s">
        <v>348</v>
      </c>
      <c r="E268" s="1" t="s">
        <v>32</v>
      </c>
      <c r="F268" s="1" t="s">
        <v>20</v>
      </c>
      <c r="G268" s="1" t="s">
        <v>504</v>
      </c>
      <c r="H268" s="1" t="s">
        <v>22</v>
      </c>
      <c r="I268" s="1">
        <v>37</v>
      </c>
      <c r="J268" s="1">
        <v>37154</v>
      </c>
      <c r="K268" s="1" t="s">
        <v>24</v>
      </c>
      <c r="L268" s="1" t="s">
        <v>34</v>
      </c>
      <c r="M268" s="1" t="s">
        <v>350</v>
      </c>
      <c r="N268" s="1">
        <v>12400</v>
      </c>
      <c r="O268" s="12">
        <v>12100</v>
      </c>
      <c r="P268" s="3" t="s">
        <v>365</v>
      </c>
      <c r="Q268" s="1" cm="1">
        <f t="array" ref="Q268">VALUE(INDEX(_xlfn.TEXTSPLIT(P268, " "), 4))</f>
        <v>2015</v>
      </c>
      <c r="R268" s="1" t="str">
        <f t="shared" si="4"/>
        <v>Hyundai Sonata GLS</v>
      </c>
      <c r="S268" s="1" t="str" cm="1">
        <f t="array" ref="S268">_xlfn.IFS(I268 &gt;= 40, "High", I268&gt;=20, "Medium", I268&lt;20, "Low")</f>
        <v>Medium</v>
      </c>
      <c r="T268" s="1" t="str" cm="1">
        <f t="array" ref="T268">_xlfn.IFS(O268&lt;18200, "Low", O268&lt;=50000, "Medium", O268&gt;50000, "High")</f>
        <v>Low</v>
      </c>
    </row>
    <row r="269" spans="1:20" x14ac:dyDescent="0.25">
      <c r="A269" s="2">
        <v>2013</v>
      </c>
      <c r="B269" s="1" t="s">
        <v>98</v>
      </c>
      <c r="C269" s="1" t="s">
        <v>219</v>
      </c>
      <c r="D269" s="1" t="s">
        <v>348</v>
      </c>
      <c r="E269" s="1" t="s">
        <v>32</v>
      </c>
      <c r="F269" s="1" t="s">
        <v>20</v>
      </c>
      <c r="G269" s="1" t="s">
        <v>505</v>
      </c>
      <c r="H269" s="1" t="s">
        <v>22</v>
      </c>
      <c r="I269" s="1">
        <v>24</v>
      </c>
      <c r="J269" s="1">
        <v>35963</v>
      </c>
      <c r="K269" s="1" t="s">
        <v>24</v>
      </c>
      <c r="L269" s="1" t="s">
        <v>34</v>
      </c>
      <c r="M269" s="1" t="s">
        <v>350</v>
      </c>
      <c r="N269" s="1">
        <v>11500</v>
      </c>
      <c r="O269" s="12">
        <v>11500</v>
      </c>
      <c r="P269" s="3" t="s">
        <v>84</v>
      </c>
      <c r="Q269" s="1" cm="1">
        <f t="array" ref="Q269">VALUE(INDEX(_xlfn.TEXTSPLIT(P269, " "), 4))</f>
        <v>2014</v>
      </c>
      <c r="R269" s="1" t="str">
        <f t="shared" si="4"/>
        <v>Hyundai Elantra GLS</v>
      </c>
      <c r="S269" s="1" t="str" cm="1">
        <f t="array" ref="S269">_xlfn.IFS(I269 &gt;= 40, "High", I269&gt;=20, "Medium", I269&lt;20, "Low")</f>
        <v>Medium</v>
      </c>
      <c r="T269" s="1" t="str" cm="1">
        <f t="array" ref="T269">_xlfn.IFS(O269&lt;18200, "Low", O269&lt;=50000, "Medium", O269&gt;50000, "High")</f>
        <v>Low</v>
      </c>
    </row>
    <row r="270" spans="1:20" x14ac:dyDescent="0.25">
      <c r="A270" s="2">
        <v>2013</v>
      </c>
      <c r="B270" s="1" t="s">
        <v>318</v>
      </c>
      <c r="C270" s="1" t="s">
        <v>323</v>
      </c>
      <c r="D270" s="1" t="s">
        <v>324</v>
      </c>
      <c r="E270" s="1" t="s">
        <v>323</v>
      </c>
      <c r="F270" s="1" t="s">
        <v>20</v>
      </c>
      <c r="G270" s="1" t="s">
        <v>506</v>
      </c>
      <c r="H270" s="1" t="s">
        <v>22</v>
      </c>
      <c r="I270" s="1">
        <v>44</v>
      </c>
      <c r="J270" s="1">
        <v>28920</v>
      </c>
      <c r="K270" s="1" t="s">
        <v>94</v>
      </c>
      <c r="L270" s="1" t="s">
        <v>34</v>
      </c>
      <c r="M270" s="1" t="s">
        <v>322</v>
      </c>
      <c r="N270" s="1">
        <v>22200</v>
      </c>
      <c r="O270" s="12">
        <v>23250</v>
      </c>
      <c r="P270" s="3" t="s">
        <v>46</v>
      </c>
      <c r="Q270" s="1" cm="1">
        <f t="array" ref="Q270">VALUE(INDEX(_xlfn.TEXTSPLIT(P270, " "), 4))</f>
        <v>2014</v>
      </c>
      <c r="R270" s="1" t="str">
        <f t="shared" si="4"/>
        <v>Infiniti G Sedan G37 Journey</v>
      </c>
      <c r="S270" s="1" t="str" cm="1">
        <f t="array" ref="S270">_xlfn.IFS(I270 &gt;= 40, "High", I270&gt;=20, "Medium", I270&lt;20, "Low")</f>
        <v>High</v>
      </c>
      <c r="T270" s="1" t="str" cm="1">
        <f t="array" ref="T270">_xlfn.IFS(O270&lt;18200, "Low", O270&lt;=50000, "Medium", O270&gt;50000, "High")</f>
        <v>Medium</v>
      </c>
    </row>
    <row r="271" spans="1:20" x14ac:dyDescent="0.25">
      <c r="A271" s="2">
        <v>2013</v>
      </c>
      <c r="B271" s="1" t="s">
        <v>98</v>
      </c>
      <c r="C271" s="1" t="s">
        <v>340</v>
      </c>
      <c r="D271" s="1">
        <v>3.8</v>
      </c>
      <c r="E271" s="1" t="s">
        <v>32</v>
      </c>
      <c r="F271" s="1" t="s">
        <v>20</v>
      </c>
      <c r="G271" s="1" t="s">
        <v>507</v>
      </c>
      <c r="H271" s="1" t="s">
        <v>22</v>
      </c>
      <c r="I271" s="1">
        <v>3</v>
      </c>
      <c r="J271" s="1">
        <v>19893</v>
      </c>
      <c r="K271" s="1" t="s">
        <v>23</v>
      </c>
      <c r="L271" s="1" t="s">
        <v>28</v>
      </c>
      <c r="M271" s="1" t="s">
        <v>508</v>
      </c>
      <c r="N271" s="1">
        <v>18800</v>
      </c>
      <c r="O271" s="12">
        <v>22500</v>
      </c>
      <c r="P271" s="3" t="s">
        <v>84</v>
      </c>
      <c r="Q271" s="1" cm="1">
        <f t="array" ref="Q271">VALUE(INDEX(_xlfn.TEXTSPLIT(P271, " "), 4))</f>
        <v>2014</v>
      </c>
      <c r="R271" s="1" t="str">
        <f t="shared" si="4"/>
        <v>Hyundai Genesis 3.8</v>
      </c>
      <c r="S271" s="1" t="str" cm="1">
        <f t="array" ref="S271">_xlfn.IFS(I271 &gt;= 40, "High", I271&gt;=20, "Medium", I271&lt;20, "Low")</f>
        <v>Low</v>
      </c>
      <c r="T271" s="1" t="str" cm="1">
        <f t="array" ref="T271">_xlfn.IFS(O271&lt;18200, "Low", O271&lt;=50000, "Medium", O271&gt;50000, "High")</f>
        <v>Medium</v>
      </c>
    </row>
    <row r="272" spans="1:20" x14ac:dyDescent="0.25">
      <c r="A272" s="2">
        <v>2013</v>
      </c>
      <c r="B272" s="1" t="s">
        <v>98</v>
      </c>
      <c r="C272" s="1" t="s">
        <v>219</v>
      </c>
      <c r="D272" s="1" t="s">
        <v>348</v>
      </c>
      <c r="E272" s="1" t="s">
        <v>32</v>
      </c>
      <c r="F272" s="1" t="s">
        <v>20</v>
      </c>
      <c r="G272" s="1" t="s">
        <v>509</v>
      </c>
      <c r="H272" s="1" t="s">
        <v>22</v>
      </c>
      <c r="I272" s="1">
        <v>38</v>
      </c>
      <c r="J272" s="1">
        <v>38594</v>
      </c>
      <c r="K272" s="1" t="s">
        <v>34</v>
      </c>
      <c r="L272" s="1" t="s">
        <v>34</v>
      </c>
      <c r="M272" s="1" t="s">
        <v>182</v>
      </c>
      <c r="N272" s="1">
        <v>11350</v>
      </c>
      <c r="O272" s="12">
        <v>11800</v>
      </c>
      <c r="P272" s="3" t="s">
        <v>26</v>
      </c>
      <c r="Q272" s="1" cm="1">
        <f t="array" ref="Q272">VALUE(INDEX(_xlfn.TEXTSPLIT(P272, " "), 4))</f>
        <v>2014</v>
      </c>
      <c r="R272" s="1" t="str">
        <f t="shared" si="4"/>
        <v>Hyundai Elantra GLS</v>
      </c>
      <c r="S272" s="1" t="str" cm="1">
        <f t="array" ref="S272">_xlfn.IFS(I272 &gt;= 40, "High", I272&gt;=20, "Medium", I272&lt;20, "Low")</f>
        <v>Medium</v>
      </c>
      <c r="T272" s="1" t="str" cm="1">
        <f t="array" ref="T272">_xlfn.IFS(O272&lt;18200, "Low", O272&lt;=50000, "Medium", O272&gt;50000, "High")</f>
        <v>Low</v>
      </c>
    </row>
    <row r="273" spans="1:20" x14ac:dyDescent="0.25">
      <c r="A273" s="2">
        <v>2013</v>
      </c>
      <c r="B273" s="1" t="s">
        <v>98</v>
      </c>
      <c r="C273" s="1" t="s">
        <v>219</v>
      </c>
      <c r="D273" s="1" t="s">
        <v>348</v>
      </c>
      <c r="E273" s="1" t="s">
        <v>32</v>
      </c>
      <c r="F273" s="1" t="s">
        <v>20</v>
      </c>
      <c r="G273" s="1" t="s">
        <v>510</v>
      </c>
      <c r="H273" s="1" t="s">
        <v>22</v>
      </c>
      <c r="I273" s="1">
        <v>44</v>
      </c>
      <c r="J273" s="1">
        <v>19035</v>
      </c>
      <c r="K273" s="1" t="s">
        <v>34</v>
      </c>
      <c r="L273" s="1" t="s">
        <v>34</v>
      </c>
      <c r="M273" s="1" t="s">
        <v>343</v>
      </c>
      <c r="N273" s="1">
        <v>12500</v>
      </c>
      <c r="O273" s="12">
        <v>12600</v>
      </c>
      <c r="P273" s="3" t="s">
        <v>84</v>
      </c>
      <c r="Q273" s="1" cm="1">
        <f t="array" ref="Q273">VALUE(INDEX(_xlfn.TEXTSPLIT(P273, " "), 4))</f>
        <v>2014</v>
      </c>
      <c r="R273" s="1" t="str">
        <f t="shared" si="4"/>
        <v>Hyundai Elantra GLS</v>
      </c>
      <c r="S273" s="1" t="str" cm="1">
        <f t="array" ref="S273">_xlfn.IFS(I273 &gt;= 40, "High", I273&gt;=20, "Medium", I273&lt;20, "Low")</f>
        <v>High</v>
      </c>
      <c r="T273" s="1" t="str" cm="1">
        <f t="array" ref="T273">_xlfn.IFS(O273&lt;18200, "Low", O273&lt;=50000, "Medium", O273&gt;50000, "High")</f>
        <v>Low</v>
      </c>
    </row>
    <row r="274" spans="1:20" x14ac:dyDescent="0.25">
      <c r="A274" s="2">
        <v>2013</v>
      </c>
      <c r="B274" s="1" t="s">
        <v>318</v>
      </c>
      <c r="C274" s="1" t="s">
        <v>319</v>
      </c>
      <c r="D274" s="1" t="s">
        <v>320</v>
      </c>
      <c r="E274" s="1" t="s">
        <v>319</v>
      </c>
      <c r="F274" s="1" t="s">
        <v>20</v>
      </c>
      <c r="G274" s="1" t="s">
        <v>511</v>
      </c>
      <c r="H274" s="1" t="s">
        <v>22</v>
      </c>
      <c r="I274" s="1">
        <v>44</v>
      </c>
      <c r="J274" s="1">
        <v>16605</v>
      </c>
      <c r="K274" s="1" t="s">
        <v>24</v>
      </c>
      <c r="L274" s="1" t="s">
        <v>24</v>
      </c>
      <c r="M274" s="1" t="s">
        <v>322</v>
      </c>
      <c r="N274" s="1">
        <v>25700</v>
      </c>
      <c r="O274" s="12">
        <v>25500</v>
      </c>
      <c r="P274" s="3" t="s">
        <v>46</v>
      </c>
      <c r="Q274" s="1" cm="1">
        <f t="array" ref="Q274">VALUE(INDEX(_xlfn.TEXTSPLIT(P274, " "), 4))</f>
        <v>2014</v>
      </c>
      <c r="R274" s="1" t="str">
        <f t="shared" si="4"/>
        <v>Infiniti G Coupe G37 Sport</v>
      </c>
      <c r="S274" s="1" t="str" cm="1">
        <f t="array" ref="S274">_xlfn.IFS(I274 &gt;= 40, "High", I274&gt;=20, "Medium", I274&lt;20, "Low")</f>
        <v>High</v>
      </c>
      <c r="T274" s="1" t="str" cm="1">
        <f t="array" ref="T274">_xlfn.IFS(O274&lt;18200, "Low", O274&lt;=50000, "Medium", O274&gt;50000, "High")</f>
        <v>Medium</v>
      </c>
    </row>
    <row r="275" spans="1:20" x14ac:dyDescent="0.25">
      <c r="A275" s="2">
        <v>2013</v>
      </c>
      <c r="B275" s="1" t="s">
        <v>318</v>
      </c>
      <c r="C275" s="1" t="s">
        <v>323</v>
      </c>
      <c r="D275" s="1" t="s">
        <v>324</v>
      </c>
      <c r="E275" s="1" t="s">
        <v>323</v>
      </c>
      <c r="F275" s="1" t="s">
        <v>20</v>
      </c>
      <c r="G275" s="1" t="s">
        <v>512</v>
      </c>
      <c r="H275" s="1" t="s">
        <v>22</v>
      </c>
      <c r="I275" s="1">
        <v>38</v>
      </c>
      <c r="J275" s="1">
        <v>28127</v>
      </c>
      <c r="K275" s="1" t="s">
        <v>91</v>
      </c>
      <c r="L275" s="1" t="s">
        <v>24</v>
      </c>
      <c r="M275" s="1" t="s">
        <v>322</v>
      </c>
      <c r="N275" s="1">
        <v>22300</v>
      </c>
      <c r="O275" s="12">
        <v>21500</v>
      </c>
      <c r="P275" s="3" t="s">
        <v>46</v>
      </c>
      <c r="Q275" s="1" cm="1">
        <f t="array" ref="Q275">VALUE(INDEX(_xlfn.TEXTSPLIT(P275, " "), 4))</f>
        <v>2014</v>
      </c>
      <c r="R275" s="1" t="str">
        <f t="shared" si="4"/>
        <v>Infiniti G Sedan G37 Journey</v>
      </c>
      <c r="S275" s="1" t="str" cm="1">
        <f t="array" ref="S275">_xlfn.IFS(I275 &gt;= 40, "High", I275&gt;=20, "Medium", I275&lt;20, "Low")</f>
        <v>Medium</v>
      </c>
      <c r="T275" s="1" t="str" cm="1">
        <f t="array" ref="T275">_xlfn.IFS(O275&lt;18200, "Low", O275&lt;=50000, "Medium", O275&gt;50000, "High")</f>
        <v>Medium</v>
      </c>
    </row>
    <row r="276" spans="1:20" x14ac:dyDescent="0.25">
      <c r="A276" s="2">
        <v>2013</v>
      </c>
      <c r="B276" s="1" t="s">
        <v>98</v>
      </c>
      <c r="C276" s="1" t="s">
        <v>336</v>
      </c>
      <c r="D276" s="1" t="s">
        <v>392</v>
      </c>
      <c r="E276" s="1" t="s">
        <v>19</v>
      </c>
      <c r="F276" s="1" t="s">
        <v>20</v>
      </c>
      <c r="G276" s="1" t="s">
        <v>513</v>
      </c>
      <c r="H276" s="1" t="s">
        <v>22</v>
      </c>
      <c r="I276" s="1">
        <v>45</v>
      </c>
      <c r="J276" s="1">
        <v>14076</v>
      </c>
      <c r="K276" s="1" t="s">
        <v>34</v>
      </c>
      <c r="L276" s="1" t="s">
        <v>24</v>
      </c>
      <c r="M276" s="1" t="s">
        <v>343</v>
      </c>
      <c r="N276" s="1">
        <v>19800</v>
      </c>
      <c r="O276" s="12">
        <v>25500</v>
      </c>
      <c r="P276" s="3" t="s">
        <v>84</v>
      </c>
      <c r="Q276" s="1" cm="1">
        <f t="array" ref="Q276">VALUE(INDEX(_xlfn.TEXTSPLIT(P276, " "), 4))</f>
        <v>2014</v>
      </c>
      <c r="R276" s="1" t="str">
        <f t="shared" si="4"/>
        <v>Hyundai Santa Fe Sport 2.0T</v>
      </c>
      <c r="S276" s="1" t="str" cm="1">
        <f t="array" ref="S276">_xlfn.IFS(I276 &gt;= 40, "High", I276&gt;=20, "Medium", I276&lt;20, "Low")</f>
        <v>High</v>
      </c>
      <c r="T276" s="1" t="str" cm="1">
        <f t="array" ref="T276">_xlfn.IFS(O276&lt;18200, "Low", O276&lt;=50000, "Medium", O276&gt;50000, "High")</f>
        <v>Medium</v>
      </c>
    </row>
    <row r="277" spans="1:20" x14ac:dyDescent="0.25">
      <c r="A277" s="2">
        <v>2013</v>
      </c>
      <c r="B277" s="1" t="s">
        <v>98</v>
      </c>
      <c r="C277" s="1" t="s">
        <v>407</v>
      </c>
      <c r="D277" s="1" t="s">
        <v>422</v>
      </c>
      <c r="E277" s="1" t="s">
        <v>407</v>
      </c>
      <c r="F277" s="1" t="s">
        <v>20</v>
      </c>
      <c r="G277" s="1" t="s">
        <v>514</v>
      </c>
      <c r="H277" s="1" t="s">
        <v>22</v>
      </c>
      <c r="I277" s="1">
        <v>1</v>
      </c>
      <c r="J277" s="1">
        <v>999999</v>
      </c>
      <c r="K277" s="1" t="s">
        <v>94</v>
      </c>
      <c r="L277" s="1" t="s">
        <v>34</v>
      </c>
      <c r="M277" s="1" t="s">
        <v>350</v>
      </c>
      <c r="N277" s="1">
        <v>8025</v>
      </c>
      <c r="O277" s="12">
        <v>2500</v>
      </c>
      <c r="P277" s="3" t="s">
        <v>515</v>
      </c>
      <c r="Q277" s="1" cm="1">
        <f t="array" ref="Q277">VALUE(INDEX(_xlfn.TEXTSPLIT(P277, " "), 4))</f>
        <v>2015</v>
      </c>
      <c r="R277" s="1" t="str">
        <f t="shared" si="4"/>
        <v>Hyundai Elantra Coupe GS</v>
      </c>
      <c r="S277" s="1" t="str" cm="1">
        <f t="array" ref="S277">_xlfn.IFS(I277 &gt;= 40, "High", I277&gt;=20, "Medium", I277&lt;20, "Low")</f>
        <v>Low</v>
      </c>
      <c r="T277" s="1" t="str" cm="1">
        <f t="array" ref="T277">_xlfn.IFS(O277&lt;18200, "Low", O277&lt;=50000, "Medium", O277&gt;50000, "High")</f>
        <v>Low</v>
      </c>
    </row>
    <row r="278" spans="1:20" x14ac:dyDescent="0.25">
      <c r="A278" s="2">
        <v>2013</v>
      </c>
      <c r="B278" s="1" t="s">
        <v>318</v>
      </c>
      <c r="C278" s="1" t="s">
        <v>323</v>
      </c>
      <c r="D278" s="1" t="s">
        <v>324</v>
      </c>
      <c r="E278" s="1" t="s">
        <v>323</v>
      </c>
      <c r="F278" s="1" t="s">
        <v>20</v>
      </c>
      <c r="G278" s="1" t="s">
        <v>516</v>
      </c>
      <c r="H278" s="1" t="s">
        <v>22</v>
      </c>
      <c r="I278" s="1">
        <v>44</v>
      </c>
      <c r="J278" s="1">
        <v>17916</v>
      </c>
      <c r="K278" s="1" t="s">
        <v>94</v>
      </c>
      <c r="L278" s="1" t="s">
        <v>24</v>
      </c>
      <c r="M278" s="1" t="s">
        <v>322</v>
      </c>
      <c r="N278" s="1">
        <v>23800</v>
      </c>
      <c r="O278" s="12">
        <v>24750</v>
      </c>
      <c r="P278" s="3" t="s">
        <v>57</v>
      </c>
      <c r="Q278" s="1" cm="1">
        <f t="array" ref="Q278">VALUE(INDEX(_xlfn.TEXTSPLIT(P278, " "), 4))</f>
        <v>2014</v>
      </c>
      <c r="R278" s="1" t="str">
        <f t="shared" si="4"/>
        <v>Infiniti G Sedan G37 Journey</v>
      </c>
      <c r="S278" s="1" t="str" cm="1">
        <f t="array" ref="S278">_xlfn.IFS(I278 &gt;= 40, "High", I278&gt;=20, "Medium", I278&lt;20, "Low")</f>
        <v>High</v>
      </c>
      <c r="T278" s="1" t="str" cm="1">
        <f t="array" ref="T278">_xlfn.IFS(O278&lt;18200, "Low", O278&lt;=50000, "Medium", O278&gt;50000, "High")</f>
        <v>Medium</v>
      </c>
    </row>
    <row r="279" spans="1:20" x14ac:dyDescent="0.25">
      <c r="A279" s="2">
        <v>2013</v>
      </c>
      <c r="B279" s="1" t="s">
        <v>98</v>
      </c>
      <c r="C279" s="1" t="s">
        <v>219</v>
      </c>
      <c r="D279" s="1" t="s">
        <v>348</v>
      </c>
      <c r="E279" s="1" t="s">
        <v>32</v>
      </c>
      <c r="F279" s="1" t="s">
        <v>20</v>
      </c>
      <c r="G279" s="1" t="s">
        <v>517</v>
      </c>
      <c r="H279" s="1" t="s">
        <v>22</v>
      </c>
      <c r="I279" s="1">
        <v>46</v>
      </c>
      <c r="J279" s="1">
        <v>42006</v>
      </c>
      <c r="K279" s="1" t="s">
        <v>34</v>
      </c>
      <c r="L279" s="1" t="s">
        <v>28</v>
      </c>
      <c r="M279" s="1" t="s">
        <v>495</v>
      </c>
      <c r="N279" s="1">
        <v>11150</v>
      </c>
      <c r="O279" s="12">
        <v>11300</v>
      </c>
      <c r="P279" s="3" t="s">
        <v>270</v>
      </c>
      <c r="Q279" s="1" cm="1">
        <f t="array" ref="Q279">VALUE(INDEX(_xlfn.TEXTSPLIT(P279, " "), 4))</f>
        <v>2014</v>
      </c>
      <c r="R279" s="1" t="str">
        <f t="shared" si="4"/>
        <v>Hyundai Elantra GLS</v>
      </c>
      <c r="S279" s="1" t="str" cm="1">
        <f t="array" ref="S279">_xlfn.IFS(I279 &gt;= 40, "High", I279&gt;=20, "Medium", I279&lt;20, "Low")</f>
        <v>High</v>
      </c>
      <c r="T279" s="1" t="str" cm="1">
        <f t="array" ref="T279">_xlfn.IFS(O279&lt;18200, "Low", O279&lt;=50000, "Medium", O279&gt;50000, "High")</f>
        <v>Low</v>
      </c>
    </row>
    <row r="280" spans="1:20" x14ac:dyDescent="0.25">
      <c r="A280" s="2">
        <v>2013</v>
      </c>
      <c r="B280" s="1" t="s">
        <v>98</v>
      </c>
      <c r="C280" s="1" t="s">
        <v>344</v>
      </c>
      <c r="D280" s="1" t="s">
        <v>462</v>
      </c>
      <c r="E280" s="1" t="s">
        <v>32</v>
      </c>
      <c r="F280" s="1" t="s">
        <v>20</v>
      </c>
      <c r="G280" s="1" t="s">
        <v>518</v>
      </c>
      <c r="H280" s="1" t="s">
        <v>22</v>
      </c>
      <c r="I280" s="1">
        <v>41</v>
      </c>
      <c r="J280" s="1">
        <v>7755</v>
      </c>
      <c r="K280" s="1" t="s">
        <v>24</v>
      </c>
      <c r="L280" s="1" t="s">
        <v>24</v>
      </c>
      <c r="M280" s="1" t="s">
        <v>343</v>
      </c>
      <c r="N280" s="1">
        <v>35500</v>
      </c>
      <c r="O280" s="12">
        <v>36000</v>
      </c>
      <c r="P280" s="3" t="s">
        <v>143</v>
      </c>
      <c r="Q280" s="1" cm="1">
        <f t="array" ref="Q280">VALUE(INDEX(_xlfn.TEXTSPLIT(P280, " "), 4))</f>
        <v>2014</v>
      </c>
      <c r="R280" s="1" t="str">
        <f t="shared" si="4"/>
        <v>Hyundai Equus Ultimate</v>
      </c>
      <c r="S280" s="1" t="str" cm="1">
        <f t="array" ref="S280">_xlfn.IFS(I280 &gt;= 40, "High", I280&gt;=20, "Medium", I280&lt;20, "Low")</f>
        <v>High</v>
      </c>
      <c r="T280" s="1" t="str" cm="1">
        <f t="array" ref="T280">_xlfn.IFS(O280&lt;18200, "Low", O280&lt;=50000, "Medium", O280&gt;50000, "High")</f>
        <v>Medium</v>
      </c>
    </row>
    <row r="281" spans="1:20" x14ac:dyDescent="0.25">
      <c r="A281" s="2">
        <v>2013</v>
      </c>
      <c r="B281" s="1" t="s">
        <v>98</v>
      </c>
      <c r="C281" s="1" t="s">
        <v>219</v>
      </c>
      <c r="D281" s="1" t="s">
        <v>348</v>
      </c>
      <c r="E281" s="1" t="s">
        <v>32</v>
      </c>
      <c r="F281" s="1" t="s">
        <v>20</v>
      </c>
      <c r="G281" s="1" t="s">
        <v>519</v>
      </c>
      <c r="H281" s="1" t="s">
        <v>22</v>
      </c>
      <c r="I281" s="1">
        <v>49</v>
      </c>
      <c r="J281" s="1">
        <v>41481</v>
      </c>
      <c r="K281" s="1" t="s">
        <v>91</v>
      </c>
      <c r="L281" s="1" t="s">
        <v>34</v>
      </c>
      <c r="M281" s="1" t="s">
        <v>95</v>
      </c>
      <c r="N281" s="1">
        <v>11150</v>
      </c>
      <c r="O281" s="12">
        <v>11500</v>
      </c>
      <c r="P281" s="3" t="s">
        <v>251</v>
      </c>
      <c r="Q281" s="1" cm="1">
        <f t="array" ref="Q281">VALUE(INDEX(_xlfn.TEXTSPLIT(P281, " "), 4))</f>
        <v>2014</v>
      </c>
      <c r="R281" s="1" t="str">
        <f t="shared" si="4"/>
        <v>Hyundai Elantra GLS</v>
      </c>
      <c r="S281" s="1" t="str" cm="1">
        <f t="array" ref="S281">_xlfn.IFS(I281 &gt;= 40, "High", I281&gt;=20, "Medium", I281&lt;20, "Low")</f>
        <v>High</v>
      </c>
      <c r="T281" s="1" t="str" cm="1">
        <f t="array" ref="T281">_xlfn.IFS(O281&lt;18200, "Low", O281&lt;=50000, "Medium", O281&gt;50000, "High")</f>
        <v>Low</v>
      </c>
    </row>
    <row r="282" spans="1:20" x14ac:dyDescent="0.25">
      <c r="A282" s="2">
        <v>2013</v>
      </c>
      <c r="B282" s="1" t="s">
        <v>318</v>
      </c>
      <c r="C282" s="1" t="s">
        <v>323</v>
      </c>
      <c r="D282" s="1" t="s">
        <v>324</v>
      </c>
      <c r="E282" s="1" t="s">
        <v>323</v>
      </c>
      <c r="F282" s="1" t="s">
        <v>20</v>
      </c>
      <c r="G282" s="1" t="s">
        <v>520</v>
      </c>
      <c r="H282" s="1" t="s">
        <v>22</v>
      </c>
      <c r="I282" s="1">
        <v>39</v>
      </c>
      <c r="J282" s="1">
        <v>22828</v>
      </c>
      <c r="K282" s="1" t="s">
        <v>24</v>
      </c>
      <c r="L282" s="1" t="s">
        <v>24</v>
      </c>
      <c r="M282" s="1" t="s">
        <v>322</v>
      </c>
      <c r="N282" s="1">
        <v>22900</v>
      </c>
      <c r="O282" s="12">
        <v>24500</v>
      </c>
      <c r="P282" s="3" t="s">
        <v>46</v>
      </c>
      <c r="Q282" s="1" cm="1">
        <f t="array" ref="Q282">VALUE(INDEX(_xlfn.TEXTSPLIT(P282, " "), 4))</f>
        <v>2014</v>
      </c>
      <c r="R282" s="1" t="str">
        <f t="shared" si="4"/>
        <v>Infiniti G Sedan G37 Journey</v>
      </c>
      <c r="S282" s="1" t="str" cm="1">
        <f t="array" ref="S282">_xlfn.IFS(I282 &gt;= 40, "High", I282&gt;=20, "Medium", I282&lt;20, "Low")</f>
        <v>Medium</v>
      </c>
      <c r="T282" s="1" t="str" cm="1">
        <f t="array" ref="T282">_xlfn.IFS(O282&lt;18200, "Low", O282&lt;=50000, "Medium", O282&gt;50000, "High")</f>
        <v>Medium</v>
      </c>
    </row>
    <row r="283" spans="1:20" x14ac:dyDescent="0.25">
      <c r="A283" s="2">
        <v>2013</v>
      </c>
      <c r="B283" s="1" t="s">
        <v>98</v>
      </c>
      <c r="C283" s="1" t="s">
        <v>363</v>
      </c>
      <c r="D283" s="1" t="s">
        <v>54</v>
      </c>
      <c r="E283" s="1" t="s">
        <v>32</v>
      </c>
      <c r="F283" s="1"/>
      <c r="G283" s="1" t="s">
        <v>521</v>
      </c>
      <c r="H283" s="1" t="s">
        <v>22</v>
      </c>
      <c r="I283" s="1">
        <v>48</v>
      </c>
      <c r="J283" s="1">
        <v>1111</v>
      </c>
      <c r="K283" s="1" t="s">
        <v>91</v>
      </c>
      <c r="L283" s="1" t="s">
        <v>34</v>
      </c>
      <c r="M283" s="1" t="s">
        <v>343</v>
      </c>
      <c r="N283" s="1">
        <v>15550</v>
      </c>
      <c r="O283" s="12">
        <v>15800</v>
      </c>
      <c r="P283" s="3" t="s">
        <v>84</v>
      </c>
      <c r="Q283" s="1" cm="1">
        <f t="array" ref="Q283">VALUE(INDEX(_xlfn.TEXTSPLIT(P283, " "), 4))</f>
        <v>2014</v>
      </c>
      <c r="R283" s="1" t="str">
        <f t="shared" si="4"/>
        <v>Hyundai Sonata Hybrid Base</v>
      </c>
      <c r="S283" s="1" t="str" cm="1">
        <f t="array" ref="S283">_xlfn.IFS(I283 &gt;= 40, "High", I283&gt;=20, "Medium", I283&lt;20, "Low")</f>
        <v>High</v>
      </c>
      <c r="T283" s="1" t="str" cm="1">
        <f t="array" ref="T283">_xlfn.IFS(O283&lt;18200, "Low", O283&lt;=50000, "Medium", O283&gt;50000, "High")</f>
        <v>Low</v>
      </c>
    </row>
    <row r="284" spans="1:20" x14ac:dyDescent="0.25">
      <c r="A284" s="2">
        <v>2013</v>
      </c>
      <c r="B284" s="1" t="s">
        <v>318</v>
      </c>
      <c r="C284" s="1" t="s">
        <v>323</v>
      </c>
      <c r="D284" s="1" t="s">
        <v>324</v>
      </c>
      <c r="E284" s="1" t="s">
        <v>323</v>
      </c>
      <c r="F284" s="1" t="s">
        <v>20</v>
      </c>
      <c r="G284" s="1" t="s">
        <v>522</v>
      </c>
      <c r="H284" s="1" t="s">
        <v>22</v>
      </c>
      <c r="I284" s="1">
        <v>42</v>
      </c>
      <c r="J284" s="1">
        <v>19729</v>
      </c>
      <c r="K284" s="1" t="s">
        <v>101</v>
      </c>
      <c r="L284" s="1" t="s">
        <v>24</v>
      </c>
      <c r="M284" s="1" t="s">
        <v>322</v>
      </c>
      <c r="N284" s="1">
        <v>23300</v>
      </c>
      <c r="O284" s="12">
        <v>24500</v>
      </c>
      <c r="P284" s="3" t="s">
        <v>46</v>
      </c>
      <c r="Q284" s="1" cm="1">
        <f t="array" ref="Q284">VALUE(INDEX(_xlfn.TEXTSPLIT(P284, " "), 4))</f>
        <v>2014</v>
      </c>
      <c r="R284" s="1" t="str">
        <f t="shared" si="4"/>
        <v>Infiniti G Sedan G37 Journey</v>
      </c>
      <c r="S284" s="1" t="str" cm="1">
        <f t="array" ref="S284">_xlfn.IFS(I284 &gt;= 40, "High", I284&gt;=20, "Medium", I284&lt;20, "Low")</f>
        <v>High</v>
      </c>
      <c r="T284" s="1" t="str" cm="1">
        <f t="array" ref="T284">_xlfn.IFS(O284&lt;18200, "Low", O284&lt;=50000, "Medium", O284&gt;50000, "High")</f>
        <v>Medium</v>
      </c>
    </row>
    <row r="285" spans="1:20" x14ac:dyDescent="0.25">
      <c r="A285" s="2">
        <v>2013</v>
      </c>
      <c r="B285" s="1" t="s">
        <v>98</v>
      </c>
      <c r="C285" s="1" t="s">
        <v>398</v>
      </c>
      <c r="D285" s="1" t="s">
        <v>87</v>
      </c>
      <c r="E285" s="1" t="s">
        <v>227</v>
      </c>
      <c r="F285" s="1" t="s">
        <v>20</v>
      </c>
      <c r="G285" s="1" t="s">
        <v>523</v>
      </c>
      <c r="H285" s="1" t="s">
        <v>22</v>
      </c>
      <c r="I285" s="1">
        <v>46</v>
      </c>
      <c r="J285" s="1">
        <v>27387</v>
      </c>
      <c r="K285" s="1" t="s">
        <v>91</v>
      </c>
      <c r="L285" s="1" t="s">
        <v>24</v>
      </c>
      <c r="M285" s="1" t="s">
        <v>343</v>
      </c>
      <c r="N285" s="1">
        <v>9950</v>
      </c>
      <c r="O285" s="12">
        <v>11400</v>
      </c>
      <c r="P285" s="3" t="s">
        <v>84</v>
      </c>
      <c r="Q285" s="1" cm="1">
        <f t="array" ref="Q285">VALUE(INDEX(_xlfn.TEXTSPLIT(P285, " "), 4))</f>
        <v>2014</v>
      </c>
      <c r="R285" s="1" t="str">
        <f t="shared" si="4"/>
        <v>Hyundai Accent SE</v>
      </c>
      <c r="S285" s="1" t="str" cm="1">
        <f t="array" ref="S285">_xlfn.IFS(I285 &gt;= 40, "High", I285&gt;=20, "Medium", I285&lt;20, "Low")</f>
        <v>High</v>
      </c>
      <c r="T285" s="1" t="str" cm="1">
        <f t="array" ref="T285">_xlfn.IFS(O285&lt;18200, "Low", O285&lt;=50000, "Medium", O285&gt;50000, "High")</f>
        <v>Low</v>
      </c>
    </row>
    <row r="286" spans="1:20" x14ac:dyDescent="0.25">
      <c r="A286" s="2">
        <v>2013</v>
      </c>
      <c r="B286" s="1" t="s">
        <v>318</v>
      </c>
      <c r="C286" s="1" t="s">
        <v>323</v>
      </c>
      <c r="D286" s="1" t="s">
        <v>324</v>
      </c>
      <c r="E286" s="1" t="s">
        <v>323</v>
      </c>
      <c r="F286" s="1" t="s">
        <v>20</v>
      </c>
      <c r="G286" s="1" t="s">
        <v>524</v>
      </c>
      <c r="H286" s="1" t="s">
        <v>22</v>
      </c>
      <c r="I286" s="1">
        <v>39</v>
      </c>
      <c r="J286" s="1">
        <v>23097</v>
      </c>
      <c r="K286" s="1" t="s">
        <v>23</v>
      </c>
      <c r="L286" s="1" t="s">
        <v>24</v>
      </c>
      <c r="M286" s="1" t="s">
        <v>322</v>
      </c>
      <c r="N286" s="1">
        <v>22900</v>
      </c>
      <c r="O286" s="12">
        <v>21250</v>
      </c>
      <c r="P286" s="3" t="s">
        <v>46</v>
      </c>
      <c r="Q286" s="1" cm="1">
        <f t="array" ref="Q286">VALUE(INDEX(_xlfn.TEXTSPLIT(P286, " "), 4))</f>
        <v>2014</v>
      </c>
      <c r="R286" s="1" t="str">
        <f t="shared" si="4"/>
        <v>Infiniti G Sedan G37 Journey</v>
      </c>
      <c r="S286" s="1" t="str" cm="1">
        <f t="array" ref="S286">_xlfn.IFS(I286 &gt;= 40, "High", I286&gt;=20, "Medium", I286&lt;20, "Low")</f>
        <v>Medium</v>
      </c>
      <c r="T286" s="1" t="str" cm="1">
        <f t="array" ref="T286">_xlfn.IFS(O286&lt;18200, "Low", O286&lt;=50000, "Medium", O286&gt;50000, "High")</f>
        <v>Medium</v>
      </c>
    </row>
    <row r="287" spans="1:20" x14ac:dyDescent="0.25">
      <c r="A287" s="2">
        <v>2013</v>
      </c>
      <c r="B287" s="1" t="s">
        <v>318</v>
      </c>
      <c r="C287" s="1" t="s">
        <v>323</v>
      </c>
      <c r="D287" s="1" t="s">
        <v>324</v>
      </c>
      <c r="E287" s="1" t="s">
        <v>323</v>
      </c>
      <c r="F287" s="1" t="s">
        <v>20</v>
      </c>
      <c r="G287" s="1" t="s">
        <v>525</v>
      </c>
      <c r="H287" s="1" t="s">
        <v>22</v>
      </c>
      <c r="I287" s="1">
        <v>45</v>
      </c>
      <c r="J287" s="1">
        <v>9373</v>
      </c>
      <c r="K287" s="1" t="s">
        <v>24</v>
      </c>
      <c r="L287" s="1" t="s">
        <v>24</v>
      </c>
      <c r="M287" s="1" t="s">
        <v>322</v>
      </c>
      <c r="N287" s="1">
        <v>24900</v>
      </c>
      <c r="O287" s="12">
        <v>26250</v>
      </c>
      <c r="P287" s="3" t="s">
        <v>57</v>
      </c>
      <c r="Q287" s="1" cm="1">
        <f t="array" ref="Q287">VALUE(INDEX(_xlfn.TEXTSPLIT(P287, " "), 4))</f>
        <v>2014</v>
      </c>
      <c r="R287" s="1" t="str">
        <f t="shared" si="4"/>
        <v>Infiniti G Sedan G37 Journey</v>
      </c>
      <c r="S287" s="1" t="str" cm="1">
        <f t="array" ref="S287">_xlfn.IFS(I287 &gt;= 40, "High", I287&gt;=20, "Medium", I287&lt;20, "Low")</f>
        <v>High</v>
      </c>
      <c r="T287" s="1" t="str" cm="1">
        <f t="array" ref="T287">_xlfn.IFS(O287&lt;18200, "Low", O287&lt;=50000, "Medium", O287&gt;50000, "High")</f>
        <v>Medium</v>
      </c>
    </row>
    <row r="288" spans="1:20" x14ac:dyDescent="0.25">
      <c r="A288" s="2">
        <v>2013</v>
      </c>
      <c r="B288" s="1" t="s">
        <v>318</v>
      </c>
      <c r="C288" s="1" t="s">
        <v>323</v>
      </c>
      <c r="D288" s="1" t="s">
        <v>324</v>
      </c>
      <c r="E288" s="1" t="s">
        <v>323</v>
      </c>
      <c r="F288" s="1" t="s">
        <v>20</v>
      </c>
      <c r="G288" s="1" t="s">
        <v>526</v>
      </c>
      <c r="H288" s="1" t="s">
        <v>22</v>
      </c>
      <c r="I288" s="1">
        <v>49</v>
      </c>
      <c r="J288" s="1">
        <v>15802</v>
      </c>
      <c r="K288" s="1" t="s">
        <v>91</v>
      </c>
      <c r="L288" s="1" t="s">
        <v>24</v>
      </c>
      <c r="M288" s="1" t="s">
        <v>322</v>
      </c>
      <c r="N288" s="1">
        <v>23800</v>
      </c>
      <c r="O288" s="12">
        <v>25000</v>
      </c>
      <c r="P288" s="3" t="s">
        <v>46</v>
      </c>
      <c r="Q288" s="1" cm="1">
        <f t="array" ref="Q288">VALUE(INDEX(_xlfn.TEXTSPLIT(P288, " "), 4))</f>
        <v>2014</v>
      </c>
      <c r="R288" s="1" t="str">
        <f t="shared" si="4"/>
        <v>Infiniti G Sedan G37 Journey</v>
      </c>
      <c r="S288" s="1" t="str" cm="1">
        <f t="array" ref="S288">_xlfn.IFS(I288 &gt;= 40, "High", I288&gt;=20, "Medium", I288&lt;20, "Low")</f>
        <v>High</v>
      </c>
      <c r="T288" s="1" t="str" cm="1">
        <f t="array" ref="T288">_xlfn.IFS(O288&lt;18200, "Low", O288&lt;=50000, "Medium", O288&gt;50000, "High")</f>
        <v>Medium</v>
      </c>
    </row>
    <row r="289" spans="1:20" x14ac:dyDescent="0.25">
      <c r="A289" s="2">
        <v>2013</v>
      </c>
      <c r="B289" s="1" t="s">
        <v>318</v>
      </c>
      <c r="C289" s="1" t="s">
        <v>323</v>
      </c>
      <c r="D289" s="1" t="s">
        <v>324</v>
      </c>
      <c r="E289" s="1" t="s">
        <v>323</v>
      </c>
      <c r="F289" s="1" t="s">
        <v>20</v>
      </c>
      <c r="G289" s="1" t="s">
        <v>527</v>
      </c>
      <c r="H289" s="1" t="s">
        <v>22</v>
      </c>
      <c r="I289" s="1">
        <v>45</v>
      </c>
      <c r="J289" s="1">
        <v>27333</v>
      </c>
      <c r="K289" s="1" t="s">
        <v>24</v>
      </c>
      <c r="L289" s="1" t="s">
        <v>24</v>
      </c>
      <c r="M289" s="1" t="s">
        <v>322</v>
      </c>
      <c r="N289" s="1">
        <v>22400</v>
      </c>
      <c r="O289" s="12">
        <v>24500</v>
      </c>
      <c r="P289" s="3" t="s">
        <v>46</v>
      </c>
      <c r="Q289" s="1" cm="1">
        <f t="array" ref="Q289">VALUE(INDEX(_xlfn.TEXTSPLIT(P289, " "), 4))</f>
        <v>2014</v>
      </c>
      <c r="R289" s="1" t="str">
        <f t="shared" si="4"/>
        <v>Infiniti G Sedan G37 Journey</v>
      </c>
      <c r="S289" s="1" t="str" cm="1">
        <f t="array" ref="S289">_xlfn.IFS(I289 &gt;= 40, "High", I289&gt;=20, "Medium", I289&lt;20, "Low")</f>
        <v>High</v>
      </c>
      <c r="T289" s="1" t="str" cm="1">
        <f t="array" ref="T289">_xlfn.IFS(O289&lt;18200, "Low", O289&lt;=50000, "Medium", O289&gt;50000, "High")</f>
        <v>Medium</v>
      </c>
    </row>
    <row r="290" spans="1:20" x14ac:dyDescent="0.25">
      <c r="A290" s="2">
        <v>2013</v>
      </c>
      <c r="B290" s="1" t="s">
        <v>98</v>
      </c>
      <c r="C290" s="1" t="s">
        <v>363</v>
      </c>
      <c r="D290" s="1" t="s">
        <v>54</v>
      </c>
      <c r="E290" s="1" t="s">
        <v>32</v>
      </c>
      <c r="F290" s="1" t="s">
        <v>20</v>
      </c>
      <c r="G290" s="1" t="s">
        <v>528</v>
      </c>
      <c r="H290" s="1" t="s">
        <v>22</v>
      </c>
      <c r="I290" s="1">
        <v>49</v>
      </c>
      <c r="J290" s="1">
        <v>8495</v>
      </c>
      <c r="K290" s="1" t="s">
        <v>23</v>
      </c>
      <c r="L290" s="1" t="s">
        <v>28</v>
      </c>
      <c r="M290" s="1" t="s">
        <v>343</v>
      </c>
      <c r="N290" s="1">
        <v>15500</v>
      </c>
      <c r="O290" s="12">
        <v>16100</v>
      </c>
      <c r="P290" s="3" t="s">
        <v>84</v>
      </c>
      <c r="Q290" s="1" cm="1">
        <f t="array" ref="Q290">VALUE(INDEX(_xlfn.TEXTSPLIT(P290, " "), 4))</f>
        <v>2014</v>
      </c>
      <c r="R290" s="1" t="str">
        <f t="shared" si="4"/>
        <v>Hyundai Sonata Hybrid Base</v>
      </c>
      <c r="S290" s="1" t="str" cm="1">
        <f t="array" ref="S290">_xlfn.IFS(I290 &gt;= 40, "High", I290&gt;=20, "Medium", I290&lt;20, "Low")</f>
        <v>High</v>
      </c>
      <c r="T290" s="1" t="str" cm="1">
        <f t="array" ref="T290">_xlfn.IFS(O290&lt;18200, "Low", O290&lt;=50000, "Medium", O290&gt;50000, "High")</f>
        <v>Low</v>
      </c>
    </row>
    <row r="291" spans="1:20" x14ac:dyDescent="0.25">
      <c r="A291" s="2">
        <v>2013</v>
      </c>
      <c r="B291" s="1" t="s">
        <v>98</v>
      </c>
      <c r="C291" s="1" t="s">
        <v>99</v>
      </c>
      <c r="D291" s="1" t="s">
        <v>348</v>
      </c>
      <c r="E291" s="1" t="s">
        <v>32</v>
      </c>
      <c r="F291" s="1" t="s">
        <v>20</v>
      </c>
      <c r="G291" s="1" t="s">
        <v>529</v>
      </c>
      <c r="H291" s="1" t="s">
        <v>22</v>
      </c>
      <c r="I291" s="1">
        <v>43</v>
      </c>
      <c r="J291" s="1">
        <v>22033</v>
      </c>
      <c r="K291" s="1" t="s">
        <v>91</v>
      </c>
      <c r="L291" s="1" t="s">
        <v>34</v>
      </c>
      <c r="M291" s="1" t="s">
        <v>350</v>
      </c>
      <c r="N291" s="1">
        <v>13050</v>
      </c>
      <c r="O291" s="12">
        <v>13700</v>
      </c>
      <c r="P291" s="3" t="s">
        <v>84</v>
      </c>
      <c r="Q291" s="1" cm="1">
        <f t="array" ref="Q291">VALUE(INDEX(_xlfn.TEXTSPLIT(P291, " "), 4))</f>
        <v>2014</v>
      </c>
      <c r="R291" s="1" t="str">
        <f t="shared" si="4"/>
        <v>Hyundai Sonata GLS</v>
      </c>
      <c r="S291" s="1" t="str" cm="1">
        <f t="array" ref="S291">_xlfn.IFS(I291 &gt;= 40, "High", I291&gt;=20, "Medium", I291&lt;20, "Low")</f>
        <v>High</v>
      </c>
      <c r="T291" s="1" t="str" cm="1">
        <f t="array" ref="T291">_xlfn.IFS(O291&lt;18200, "Low", O291&lt;=50000, "Medium", O291&gt;50000, "High")</f>
        <v>Low</v>
      </c>
    </row>
    <row r="292" spans="1:20" x14ac:dyDescent="0.25">
      <c r="A292" s="2">
        <v>2013</v>
      </c>
      <c r="B292" s="1" t="s">
        <v>318</v>
      </c>
      <c r="C292" s="1" t="s">
        <v>323</v>
      </c>
      <c r="D292" s="1" t="s">
        <v>324</v>
      </c>
      <c r="E292" s="1" t="s">
        <v>323</v>
      </c>
      <c r="F292" s="1" t="s">
        <v>20</v>
      </c>
      <c r="G292" s="1" t="s">
        <v>530</v>
      </c>
      <c r="H292" s="1" t="s">
        <v>22</v>
      </c>
      <c r="I292" s="1">
        <v>44</v>
      </c>
      <c r="J292" s="1">
        <v>20263</v>
      </c>
      <c r="K292" s="1" t="s">
        <v>24</v>
      </c>
      <c r="L292" s="1" t="s">
        <v>24</v>
      </c>
      <c r="M292" s="1" t="s">
        <v>322</v>
      </c>
      <c r="N292" s="1">
        <v>23200</v>
      </c>
      <c r="O292" s="12">
        <v>26000</v>
      </c>
      <c r="P292" s="3" t="s">
        <v>46</v>
      </c>
      <c r="Q292" s="1" cm="1">
        <f t="array" ref="Q292">VALUE(INDEX(_xlfn.TEXTSPLIT(P292, " "), 4))</f>
        <v>2014</v>
      </c>
      <c r="R292" s="1" t="str">
        <f t="shared" si="4"/>
        <v>Infiniti G Sedan G37 Journey</v>
      </c>
      <c r="S292" s="1" t="str" cm="1">
        <f t="array" ref="S292">_xlfn.IFS(I292 &gt;= 40, "High", I292&gt;=20, "Medium", I292&lt;20, "Low")</f>
        <v>High</v>
      </c>
      <c r="T292" s="1" t="str" cm="1">
        <f t="array" ref="T292">_xlfn.IFS(O292&lt;18200, "Low", O292&lt;=50000, "Medium", O292&gt;50000, "High")</f>
        <v>Medium</v>
      </c>
    </row>
    <row r="293" spans="1:20" x14ac:dyDescent="0.25">
      <c r="A293" s="2">
        <v>2013</v>
      </c>
      <c r="B293" s="1" t="s">
        <v>318</v>
      </c>
      <c r="C293" s="1" t="s">
        <v>323</v>
      </c>
      <c r="D293" s="1" t="s">
        <v>324</v>
      </c>
      <c r="E293" s="1" t="s">
        <v>323</v>
      </c>
      <c r="F293" s="1" t="s">
        <v>20</v>
      </c>
      <c r="G293" s="1" t="s">
        <v>531</v>
      </c>
      <c r="H293" s="1" t="s">
        <v>22</v>
      </c>
      <c r="I293" s="1">
        <v>42</v>
      </c>
      <c r="J293" s="1">
        <v>28694</v>
      </c>
      <c r="K293" s="1" t="s">
        <v>24</v>
      </c>
      <c r="L293" s="1" t="s">
        <v>24</v>
      </c>
      <c r="M293" s="1" t="s">
        <v>322</v>
      </c>
      <c r="N293" s="1">
        <v>22200</v>
      </c>
      <c r="O293" s="12">
        <v>21500</v>
      </c>
      <c r="P293" s="3" t="s">
        <v>46</v>
      </c>
      <c r="Q293" s="1" cm="1">
        <f t="array" ref="Q293">VALUE(INDEX(_xlfn.TEXTSPLIT(P293, " "), 4))</f>
        <v>2014</v>
      </c>
      <c r="R293" s="1" t="str">
        <f t="shared" si="4"/>
        <v>Infiniti G Sedan G37 Journey</v>
      </c>
      <c r="S293" s="1" t="str" cm="1">
        <f t="array" ref="S293">_xlfn.IFS(I293 &gt;= 40, "High", I293&gt;=20, "Medium", I293&lt;20, "Low")</f>
        <v>High</v>
      </c>
      <c r="T293" s="1" t="str" cm="1">
        <f t="array" ref="T293">_xlfn.IFS(O293&lt;18200, "Low", O293&lt;=50000, "Medium", O293&gt;50000, "High")</f>
        <v>Medium</v>
      </c>
    </row>
    <row r="294" spans="1:20" x14ac:dyDescent="0.25">
      <c r="A294" s="2">
        <v>2013</v>
      </c>
      <c r="B294" s="1" t="s">
        <v>318</v>
      </c>
      <c r="C294" s="1" t="s">
        <v>323</v>
      </c>
      <c r="D294" s="1" t="s">
        <v>324</v>
      </c>
      <c r="E294" s="1" t="s">
        <v>323</v>
      </c>
      <c r="F294" s="1" t="s">
        <v>20</v>
      </c>
      <c r="G294" s="1" t="s">
        <v>532</v>
      </c>
      <c r="H294" s="1" t="s">
        <v>22</v>
      </c>
      <c r="I294" s="1">
        <v>44</v>
      </c>
      <c r="J294" s="1">
        <v>30464</v>
      </c>
      <c r="K294" s="1" t="s">
        <v>34</v>
      </c>
      <c r="L294" s="1" t="s">
        <v>24</v>
      </c>
      <c r="M294" s="1" t="s">
        <v>322</v>
      </c>
      <c r="N294" s="1">
        <v>22000</v>
      </c>
      <c r="O294" s="12">
        <v>24000</v>
      </c>
      <c r="P294" s="3" t="s">
        <v>46</v>
      </c>
      <c r="Q294" s="1" cm="1">
        <f t="array" ref="Q294">VALUE(INDEX(_xlfn.TEXTSPLIT(P294, " "), 4))</f>
        <v>2014</v>
      </c>
      <c r="R294" s="1" t="str">
        <f t="shared" si="4"/>
        <v>Infiniti G Sedan G37 Journey</v>
      </c>
      <c r="S294" s="1" t="str" cm="1">
        <f t="array" ref="S294">_xlfn.IFS(I294 &gt;= 40, "High", I294&gt;=20, "Medium", I294&lt;20, "Low")</f>
        <v>High</v>
      </c>
      <c r="T294" s="1" t="str" cm="1">
        <f t="array" ref="T294">_xlfn.IFS(O294&lt;18200, "Low", O294&lt;=50000, "Medium", O294&gt;50000, "High")</f>
        <v>Medium</v>
      </c>
    </row>
    <row r="295" spans="1:20" x14ac:dyDescent="0.25">
      <c r="A295" s="2">
        <v>2013</v>
      </c>
      <c r="B295" s="1" t="s">
        <v>318</v>
      </c>
      <c r="C295" s="1" t="s">
        <v>323</v>
      </c>
      <c r="D295" s="1" t="s">
        <v>324</v>
      </c>
      <c r="E295" s="1" t="s">
        <v>323</v>
      </c>
      <c r="F295" s="1" t="s">
        <v>20</v>
      </c>
      <c r="G295" s="1" t="s">
        <v>533</v>
      </c>
      <c r="H295" s="1" t="s">
        <v>22</v>
      </c>
      <c r="I295" s="1">
        <v>46</v>
      </c>
      <c r="J295" s="1">
        <v>10610</v>
      </c>
      <c r="K295" s="1" t="s">
        <v>23</v>
      </c>
      <c r="L295" s="1" t="s">
        <v>34</v>
      </c>
      <c r="M295" s="1" t="s">
        <v>322</v>
      </c>
      <c r="N295" s="1">
        <v>24400</v>
      </c>
      <c r="O295" s="12">
        <v>23500</v>
      </c>
      <c r="P295" s="3" t="s">
        <v>46</v>
      </c>
      <c r="Q295" s="1" cm="1">
        <f t="array" ref="Q295">VALUE(INDEX(_xlfn.TEXTSPLIT(P295, " "), 4))</f>
        <v>2014</v>
      </c>
      <c r="R295" s="1" t="str">
        <f t="shared" si="4"/>
        <v>Infiniti G Sedan G37 Journey</v>
      </c>
      <c r="S295" s="1" t="str" cm="1">
        <f t="array" ref="S295">_xlfn.IFS(I295 &gt;= 40, "High", I295&gt;=20, "Medium", I295&lt;20, "Low")</f>
        <v>High</v>
      </c>
      <c r="T295" s="1" t="str" cm="1">
        <f t="array" ref="T295">_xlfn.IFS(O295&lt;18200, "Low", O295&lt;=50000, "Medium", O295&gt;50000, "High")</f>
        <v>Medium</v>
      </c>
    </row>
    <row r="296" spans="1:20" x14ac:dyDescent="0.25">
      <c r="A296" s="2">
        <v>2013</v>
      </c>
      <c r="B296" s="1" t="s">
        <v>98</v>
      </c>
      <c r="C296" s="1" t="s">
        <v>219</v>
      </c>
      <c r="D296" s="1" t="s">
        <v>348</v>
      </c>
      <c r="E296" s="1" t="s">
        <v>32</v>
      </c>
      <c r="F296" s="1" t="s">
        <v>20</v>
      </c>
      <c r="G296" s="1" t="s">
        <v>534</v>
      </c>
      <c r="H296" s="1" t="s">
        <v>22</v>
      </c>
      <c r="I296" s="1"/>
      <c r="J296" s="1">
        <v>25447</v>
      </c>
      <c r="K296" s="1" t="s">
        <v>91</v>
      </c>
      <c r="L296" s="1" t="s">
        <v>34</v>
      </c>
      <c r="M296" s="1" t="s">
        <v>51</v>
      </c>
      <c r="N296" s="1">
        <v>12150</v>
      </c>
      <c r="O296" s="12">
        <v>7500</v>
      </c>
      <c r="P296" s="3" t="s">
        <v>62</v>
      </c>
      <c r="Q296" s="1" cm="1">
        <f t="array" ref="Q296">VALUE(INDEX(_xlfn.TEXTSPLIT(P296, " "), 4))</f>
        <v>2014</v>
      </c>
      <c r="R296" s="1" t="str">
        <f t="shared" si="4"/>
        <v>Hyundai Elantra GLS</v>
      </c>
      <c r="S296" s="1" t="str" cm="1">
        <f t="array" ref="S296">_xlfn.IFS(I296 &gt;= 40, "High", I296&gt;=20, "Medium", I296&lt;20, "Low")</f>
        <v>Low</v>
      </c>
      <c r="T296" s="1" t="str" cm="1">
        <f t="array" ref="T296">_xlfn.IFS(O296&lt;18200, "Low", O296&lt;=50000, "Medium", O296&gt;50000, "High")</f>
        <v>Low</v>
      </c>
    </row>
    <row r="297" spans="1:20" x14ac:dyDescent="0.25">
      <c r="A297" s="2">
        <v>2013</v>
      </c>
      <c r="B297" s="1" t="s">
        <v>98</v>
      </c>
      <c r="C297" s="1" t="s">
        <v>219</v>
      </c>
      <c r="D297" s="1" t="s">
        <v>337</v>
      </c>
      <c r="E297" s="1" t="s">
        <v>32</v>
      </c>
      <c r="F297" s="1" t="s">
        <v>20</v>
      </c>
      <c r="G297" s="1" t="s">
        <v>535</v>
      </c>
      <c r="H297" s="1" t="s">
        <v>22</v>
      </c>
      <c r="I297" s="1">
        <v>31</v>
      </c>
      <c r="J297" s="1">
        <v>13505</v>
      </c>
      <c r="K297" s="1" t="s">
        <v>73</v>
      </c>
      <c r="L297" s="1" t="s">
        <v>82</v>
      </c>
      <c r="M297" s="1" t="s">
        <v>343</v>
      </c>
      <c r="N297" s="1">
        <v>14550</v>
      </c>
      <c r="O297" s="12">
        <v>13800</v>
      </c>
      <c r="P297" s="3" t="s">
        <v>365</v>
      </c>
      <c r="Q297" s="1" cm="1">
        <f t="array" ref="Q297">VALUE(INDEX(_xlfn.TEXTSPLIT(P297, " "), 4))</f>
        <v>2015</v>
      </c>
      <c r="R297" s="1" t="str">
        <f t="shared" si="4"/>
        <v>Hyundai Elantra Limited</v>
      </c>
      <c r="S297" s="1" t="str" cm="1">
        <f t="array" ref="S297">_xlfn.IFS(I297 &gt;= 40, "High", I297&gt;=20, "Medium", I297&lt;20, "Low")</f>
        <v>Medium</v>
      </c>
      <c r="T297" s="1" t="str" cm="1">
        <f t="array" ref="T297">_xlfn.IFS(O297&lt;18200, "Low", O297&lt;=50000, "Medium", O297&gt;50000, "High")</f>
        <v>Low</v>
      </c>
    </row>
    <row r="298" spans="1:20" x14ac:dyDescent="0.25">
      <c r="A298" s="2">
        <v>2013</v>
      </c>
      <c r="B298" s="1" t="s">
        <v>318</v>
      </c>
      <c r="C298" s="1" t="s">
        <v>323</v>
      </c>
      <c r="D298" s="1" t="s">
        <v>324</v>
      </c>
      <c r="E298" s="1" t="s">
        <v>323</v>
      </c>
      <c r="F298" s="1" t="s">
        <v>20</v>
      </c>
      <c r="G298" s="1" t="s">
        <v>536</v>
      </c>
      <c r="H298" s="1" t="s">
        <v>22</v>
      </c>
      <c r="I298" s="1">
        <v>44</v>
      </c>
      <c r="J298" s="1">
        <v>19573</v>
      </c>
      <c r="K298" s="1" t="s">
        <v>23</v>
      </c>
      <c r="L298" s="1" t="s">
        <v>34</v>
      </c>
      <c r="M298" s="1" t="s">
        <v>322</v>
      </c>
      <c r="N298" s="1">
        <v>23300</v>
      </c>
      <c r="O298" s="12">
        <v>22000</v>
      </c>
      <c r="P298" s="3" t="s">
        <v>46</v>
      </c>
      <c r="Q298" s="1" cm="1">
        <f t="array" ref="Q298">VALUE(INDEX(_xlfn.TEXTSPLIT(P298, " "), 4))</f>
        <v>2014</v>
      </c>
      <c r="R298" s="1" t="str">
        <f t="shared" si="4"/>
        <v>Infiniti G Sedan G37 Journey</v>
      </c>
      <c r="S298" s="1" t="str" cm="1">
        <f t="array" ref="S298">_xlfn.IFS(I298 &gt;= 40, "High", I298&gt;=20, "Medium", I298&lt;20, "Low")</f>
        <v>High</v>
      </c>
      <c r="T298" s="1" t="str" cm="1">
        <f t="array" ref="T298">_xlfn.IFS(O298&lt;18200, "Low", O298&lt;=50000, "Medium", O298&gt;50000, "High")</f>
        <v>Medium</v>
      </c>
    </row>
    <row r="299" spans="1:20" x14ac:dyDescent="0.25">
      <c r="A299" s="2">
        <v>2013</v>
      </c>
      <c r="B299" s="1" t="s">
        <v>98</v>
      </c>
      <c r="C299" s="1" t="s">
        <v>401</v>
      </c>
      <c r="D299" s="1" t="s">
        <v>54</v>
      </c>
      <c r="E299" s="1" t="s">
        <v>227</v>
      </c>
      <c r="F299" s="1" t="s">
        <v>20</v>
      </c>
      <c r="G299" s="1" t="s">
        <v>537</v>
      </c>
      <c r="H299" s="1" t="s">
        <v>22</v>
      </c>
      <c r="I299" s="1">
        <v>48</v>
      </c>
      <c r="J299" s="1">
        <v>27532</v>
      </c>
      <c r="K299" s="1" t="s">
        <v>538</v>
      </c>
      <c r="L299" s="1" t="s">
        <v>24</v>
      </c>
      <c r="M299" s="1" t="s">
        <v>339</v>
      </c>
      <c r="N299" s="1">
        <v>13100</v>
      </c>
      <c r="O299" s="12">
        <v>11300</v>
      </c>
      <c r="P299" s="3" t="s">
        <v>84</v>
      </c>
      <c r="Q299" s="1" cm="1">
        <f t="array" ref="Q299">VALUE(INDEX(_xlfn.TEXTSPLIT(P299, " "), 4))</f>
        <v>2014</v>
      </c>
      <c r="R299" s="1" t="str">
        <f t="shared" si="4"/>
        <v>Hyundai Veloster Base</v>
      </c>
      <c r="S299" s="1" t="str" cm="1">
        <f t="array" ref="S299">_xlfn.IFS(I299 &gt;= 40, "High", I299&gt;=20, "Medium", I299&lt;20, "Low")</f>
        <v>High</v>
      </c>
      <c r="T299" s="1" t="str" cm="1">
        <f t="array" ref="T299">_xlfn.IFS(O299&lt;18200, "Low", O299&lt;=50000, "Medium", O299&gt;50000, "High")</f>
        <v>Low</v>
      </c>
    </row>
    <row r="300" spans="1:20" x14ac:dyDescent="0.25">
      <c r="A300" s="2">
        <v>2013</v>
      </c>
      <c r="B300" s="1" t="s">
        <v>98</v>
      </c>
      <c r="C300" s="1" t="s">
        <v>219</v>
      </c>
      <c r="D300" s="1" t="s">
        <v>348</v>
      </c>
      <c r="E300" s="1" t="s">
        <v>32</v>
      </c>
      <c r="F300" s="1" t="s">
        <v>20</v>
      </c>
      <c r="G300" s="1" t="s">
        <v>539</v>
      </c>
      <c r="H300" s="1" t="s">
        <v>22</v>
      </c>
      <c r="I300" s="1">
        <v>2</v>
      </c>
      <c r="J300" s="1">
        <v>33158</v>
      </c>
      <c r="K300" s="1" t="s">
        <v>34</v>
      </c>
      <c r="L300" s="1" t="s">
        <v>28</v>
      </c>
      <c r="M300" s="1" t="s">
        <v>51</v>
      </c>
      <c r="N300" s="1">
        <v>11650</v>
      </c>
      <c r="O300" s="12">
        <v>9400</v>
      </c>
      <c r="P300" s="3" t="s">
        <v>84</v>
      </c>
      <c r="Q300" s="1" cm="1">
        <f t="array" ref="Q300">VALUE(INDEX(_xlfn.TEXTSPLIT(P300, " "), 4))</f>
        <v>2014</v>
      </c>
      <c r="R300" s="1" t="str">
        <f t="shared" si="4"/>
        <v>Hyundai Elantra GLS</v>
      </c>
      <c r="S300" s="1" t="str" cm="1">
        <f t="array" ref="S300">_xlfn.IFS(I300 &gt;= 40, "High", I300&gt;=20, "Medium", I300&lt;20, "Low")</f>
        <v>Low</v>
      </c>
      <c r="T300" s="1" t="str" cm="1">
        <f t="array" ref="T300">_xlfn.IFS(O300&lt;18200, "Low", O300&lt;=50000, "Medium", O300&gt;50000, "High")</f>
        <v>Low</v>
      </c>
    </row>
    <row r="301" spans="1:20" x14ac:dyDescent="0.25">
      <c r="A301" s="2">
        <v>2013</v>
      </c>
      <c r="B301" s="1" t="s">
        <v>98</v>
      </c>
      <c r="C301" s="1" t="s">
        <v>99</v>
      </c>
      <c r="D301" s="1" t="s">
        <v>348</v>
      </c>
      <c r="E301" s="1" t="s">
        <v>32</v>
      </c>
      <c r="F301" s="1" t="s">
        <v>20</v>
      </c>
      <c r="G301" s="1" t="s">
        <v>540</v>
      </c>
      <c r="H301" s="1" t="s">
        <v>22</v>
      </c>
      <c r="I301" s="1">
        <v>44</v>
      </c>
      <c r="J301" s="1">
        <v>36991</v>
      </c>
      <c r="K301" s="1" t="s">
        <v>23</v>
      </c>
      <c r="L301" s="1" t="s">
        <v>28</v>
      </c>
      <c r="M301" s="1" t="s">
        <v>95</v>
      </c>
      <c r="N301" s="1">
        <v>12100</v>
      </c>
      <c r="O301" s="12">
        <v>13400</v>
      </c>
      <c r="P301" s="3" t="s">
        <v>57</v>
      </c>
      <c r="Q301" s="1" cm="1">
        <f t="array" ref="Q301">VALUE(INDEX(_xlfn.TEXTSPLIT(P301, " "), 4))</f>
        <v>2014</v>
      </c>
      <c r="R301" s="1" t="str">
        <f t="shared" si="4"/>
        <v>Hyundai Sonata GLS</v>
      </c>
      <c r="S301" s="1" t="str" cm="1">
        <f t="array" ref="S301">_xlfn.IFS(I301 &gt;= 40, "High", I301&gt;=20, "Medium", I301&lt;20, "Low")</f>
        <v>High</v>
      </c>
      <c r="T301" s="1" t="str" cm="1">
        <f t="array" ref="T301">_xlfn.IFS(O301&lt;18200, "Low", O301&lt;=50000, "Medium", O301&gt;50000, "High")</f>
        <v>Low</v>
      </c>
    </row>
    <row r="302" spans="1:20" x14ac:dyDescent="0.25">
      <c r="A302" s="2">
        <v>2013</v>
      </c>
      <c r="B302" s="1" t="s">
        <v>98</v>
      </c>
      <c r="C302" s="1" t="s">
        <v>99</v>
      </c>
      <c r="D302" s="1" t="s">
        <v>348</v>
      </c>
      <c r="E302" s="1" t="s">
        <v>32</v>
      </c>
      <c r="F302" s="1" t="s">
        <v>20</v>
      </c>
      <c r="G302" s="1" t="s">
        <v>541</v>
      </c>
      <c r="H302" s="1" t="s">
        <v>22</v>
      </c>
      <c r="I302" s="1">
        <v>2</v>
      </c>
      <c r="J302" s="1">
        <v>35518</v>
      </c>
      <c r="K302" s="1" t="s">
        <v>73</v>
      </c>
      <c r="L302" s="1" t="s">
        <v>28</v>
      </c>
      <c r="M302" s="1" t="s">
        <v>51</v>
      </c>
      <c r="N302" s="1">
        <v>12200</v>
      </c>
      <c r="O302" s="12">
        <v>10700</v>
      </c>
      <c r="P302" s="3" t="s">
        <v>84</v>
      </c>
      <c r="Q302" s="1" cm="1">
        <f t="array" ref="Q302">VALUE(INDEX(_xlfn.TEXTSPLIT(P302, " "), 4))</f>
        <v>2014</v>
      </c>
      <c r="R302" s="1" t="str">
        <f t="shared" si="4"/>
        <v>Hyundai Sonata GLS</v>
      </c>
      <c r="S302" s="1" t="str" cm="1">
        <f t="array" ref="S302">_xlfn.IFS(I302 &gt;= 40, "High", I302&gt;=20, "Medium", I302&lt;20, "Low")</f>
        <v>Low</v>
      </c>
      <c r="T302" s="1" t="str" cm="1">
        <f t="array" ref="T302">_xlfn.IFS(O302&lt;18200, "Low", O302&lt;=50000, "Medium", O302&gt;50000, "High")</f>
        <v>Low</v>
      </c>
    </row>
    <row r="303" spans="1:20" x14ac:dyDescent="0.25">
      <c r="A303" s="2">
        <v>2013</v>
      </c>
      <c r="B303" s="1" t="s">
        <v>98</v>
      </c>
      <c r="C303" s="1" t="s">
        <v>336</v>
      </c>
      <c r="D303" s="1" t="s">
        <v>337</v>
      </c>
      <c r="E303" s="1" t="s">
        <v>19</v>
      </c>
      <c r="F303" s="1" t="s">
        <v>20</v>
      </c>
      <c r="G303" s="1" t="s">
        <v>542</v>
      </c>
      <c r="H303" s="1" t="s">
        <v>22</v>
      </c>
      <c r="I303" s="1">
        <v>5</v>
      </c>
      <c r="J303" s="1">
        <v>15160</v>
      </c>
      <c r="K303" s="1" t="s">
        <v>94</v>
      </c>
      <c r="L303" s="1" t="s">
        <v>34</v>
      </c>
      <c r="M303" s="1" t="s">
        <v>339</v>
      </c>
      <c r="N303" s="1">
        <v>23100</v>
      </c>
      <c r="O303" s="12">
        <v>22200</v>
      </c>
      <c r="P303" s="3" t="s">
        <v>84</v>
      </c>
      <c r="Q303" s="1" cm="1">
        <f t="array" ref="Q303">VALUE(INDEX(_xlfn.TEXTSPLIT(P303, " "), 4))</f>
        <v>2014</v>
      </c>
      <c r="R303" s="1" t="str">
        <f t="shared" si="4"/>
        <v>Hyundai Santa Fe Limited</v>
      </c>
      <c r="S303" s="1" t="str" cm="1">
        <f t="array" ref="S303">_xlfn.IFS(I303 &gt;= 40, "High", I303&gt;=20, "Medium", I303&lt;20, "Low")</f>
        <v>Low</v>
      </c>
      <c r="T303" s="1" t="str" cm="1">
        <f t="array" ref="T303">_xlfn.IFS(O303&lt;18200, "Low", O303&lt;=50000, "Medium", O303&gt;50000, "High")</f>
        <v>Medium</v>
      </c>
    </row>
    <row r="304" spans="1:20" x14ac:dyDescent="0.25">
      <c r="A304" s="2">
        <v>2013</v>
      </c>
      <c r="B304" s="1" t="s">
        <v>318</v>
      </c>
      <c r="C304" s="1" t="s">
        <v>323</v>
      </c>
      <c r="D304" s="1" t="s">
        <v>324</v>
      </c>
      <c r="E304" s="1" t="s">
        <v>323</v>
      </c>
      <c r="F304" s="1" t="s">
        <v>20</v>
      </c>
      <c r="G304" s="1" t="s">
        <v>543</v>
      </c>
      <c r="H304" s="1" t="s">
        <v>22</v>
      </c>
      <c r="I304" s="1">
        <v>37</v>
      </c>
      <c r="J304" s="1">
        <v>20202</v>
      </c>
      <c r="K304" s="1" t="s">
        <v>24</v>
      </c>
      <c r="L304" s="1" t="s">
        <v>24</v>
      </c>
      <c r="M304" s="1" t="s">
        <v>322</v>
      </c>
      <c r="N304" s="1">
        <v>23200</v>
      </c>
      <c r="O304" s="12">
        <v>21750</v>
      </c>
      <c r="P304" s="3" t="s">
        <v>46</v>
      </c>
      <c r="Q304" s="1" cm="1">
        <f t="array" ref="Q304">VALUE(INDEX(_xlfn.TEXTSPLIT(P304, " "), 4))</f>
        <v>2014</v>
      </c>
      <c r="R304" s="1" t="str">
        <f t="shared" si="4"/>
        <v>Infiniti G Sedan G37 Journey</v>
      </c>
      <c r="S304" s="1" t="str" cm="1">
        <f t="array" ref="S304">_xlfn.IFS(I304 &gt;= 40, "High", I304&gt;=20, "Medium", I304&lt;20, "Low")</f>
        <v>Medium</v>
      </c>
      <c r="T304" s="1" t="str" cm="1">
        <f t="array" ref="T304">_xlfn.IFS(O304&lt;18200, "Low", O304&lt;=50000, "Medium", O304&gt;50000, "High")</f>
        <v>Medium</v>
      </c>
    </row>
    <row r="305" spans="1:20" x14ac:dyDescent="0.25">
      <c r="A305" s="2">
        <v>2013</v>
      </c>
      <c r="B305" s="1" t="s">
        <v>98</v>
      </c>
      <c r="C305" s="1" t="s">
        <v>544</v>
      </c>
      <c r="D305" s="1" t="s">
        <v>545</v>
      </c>
      <c r="E305" s="1" t="s">
        <v>544</v>
      </c>
      <c r="F305" s="1" t="s">
        <v>20</v>
      </c>
      <c r="G305" s="1" t="s">
        <v>546</v>
      </c>
      <c r="H305" s="1" t="s">
        <v>22</v>
      </c>
      <c r="I305" s="1">
        <v>48</v>
      </c>
      <c r="J305" s="1">
        <v>12730</v>
      </c>
      <c r="K305" s="1" t="s">
        <v>73</v>
      </c>
      <c r="L305" s="1" t="s">
        <v>24</v>
      </c>
      <c r="M305" s="1" t="s">
        <v>343</v>
      </c>
      <c r="N305" s="1">
        <v>21400</v>
      </c>
      <c r="O305" s="12">
        <v>23000</v>
      </c>
      <c r="P305" s="3" t="s">
        <v>84</v>
      </c>
      <c r="Q305" s="1" cm="1">
        <f t="array" ref="Q305">VALUE(INDEX(_xlfn.TEXTSPLIT(P305, " "), 4))</f>
        <v>2014</v>
      </c>
      <c r="R305" s="1" t="str">
        <f t="shared" si="4"/>
        <v>Hyundai Genesis Coupe 3.8 Track</v>
      </c>
      <c r="S305" s="1" t="str" cm="1">
        <f t="array" ref="S305">_xlfn.IFS(I305 &gt;= 40, "High", I305&gt;=20, "Medium", I305&lt;20, "Low")</f>
        <v>High</v>
      </c>
      <c r="T305" s="1" t="str" cm="1">
        <f t="array" ref="T305">_xlfn.IFS(O305&lt;18200, "Low", O305&lt;=50000, "Medium", O305&gt;50000, "High")</f>
        <v>Medium</v>
      </c>
    </row>
    <row r="306" spans="1:20" x14ac:dyDescent="0.25">
      <c r="A306" s="2">
        <v>2013</v>
      </c>
      <c r="B306" s="1" t="s">
        <v>98</v>
      </c>
      <c r="C306" s="1" t="s">
        <v>363</v>
      </c>
      <c r="D306" s="1" t="s">
        <v>337</v>
      </c>
      <c r="E306" s="1" t="s">
        <v>32</v>
      </c>
      <c r="F306" s="1" t="s">
        <v>20</v>
      </c>
      <c r="G306" s="1" t="s">
        <v>547</v>
      </c>
      <c r="H306" s="1" t="s">
        <v>22</v>
      </c>
      <c r="I306" s="1">
        <v>47</v>
      </c>
      <c r="J306" s="1">
        <v>11798</v>
      </c>
      <c r="K306" s="1" t="s">
        <v>24</v>
      </c>
      <c r="L306" s="1" t="s">
        <v>34</v>
      </c>
      <c r="M306" s="1" t="s">
        <v>343</v>
      </c>
      <c r="N306" s="1">
        <v>18650</v>
      </c>
      <c r="O306" s="12">
        <v>18400</v>
      </c>
      <c r="P306" s="3" t="s">
        <v>84</v>
      </c>
      <c r="Q306" s="1" cm="1">
        <f t="array" ref="Q306">VALUE(INDEX(_xlfn.TEXTSPLIT(P306, " "), 4))</f>
        <v>2014</v>
      </c>
      <c r="R306" s="1" t="str">
        <f t="shared" si="4"/>
        <v>Hyundai Sonata Hybrid Limited</v>
      </c>
      <c r="S306" s="1" t="str" cm="1">
        <f t="array" ref="S306">_xlfn.IFS(I306 &gt;= 40, "High", I306&gt;=20, "Medium", I306&lt;20, "Low")</f>
        <v>High</v>
      </c>
      <c r="T306" s="1" t="str" cm="1">
        <f t="array" ref="T306">_xlfn.IFS(O306&lt;18200, "Low", O306&lt;=50000, "Medium", O306&gt;50000, "High")</f>
        <v>Medium</v>
      </c>
    </row>
    <row r="307" spans="1:20" x14ac:dyDescent="0.25">
      <c r="A307" s="2">
        <v>2013</v>
      </c>
      <c r="B307" s="1" t="s">
        <v>98</v>
      </c>
      <c r="C307" s="1" t="s">
        <v>336</v>
      </c>
      <c r="D307" s="1" t="s">
        <v>368</v>
      </c>
      <c r="E307" s="1" t="s">
        <v>19</v>
      </c>
      <c r="F307" s="1" t="s">
        <v>20</v>
      </c>
      <c r="G307" s="1" t="s">
        <v>548</v>
      </c>
      <c r="H307" s="1" t="s">
        <v>22</v>
      </c>
      <c r="I307" s="1">
        <v>43</v>
      </c>
      <c r="J307" s="1">
        <v>41783</v>
      </c>
      <c r="K307" s="1" t="s">
        <v>549</v>
      </c>
      <c r="L307" s="1" t="s">
        <v>28</v>
      </c>
      <c r="M307" s="1" t="s">
        <v>95</v>
      </c>
      <c r="N307" s="1">
        <v>17600</v>
      </c>
      <c r="O307" s="12">
        <v>17400</v>
      </c>
      <c r="P307" s="3" t="s">
        <v>459</v>
      </c>
      <c r="Q307" s="1" cm="1">
        <f t="array" ref="Q307">VALUE(INDEX(_xlfn.TEXTSPLIT(P307, " "), 4))</f>
        <v>2014</v>
      </c>
      <c r="R307" s="1" t="str">
        <f t="shared" si="4"/>
        <v>Hyundai Santa Fe Sport</v>
      </c>
      <c r="S307" s="1" t="str" cm="1">
        <f t="array" ref="S307">_xlfn.IFS(I307 &gt;= 40, "High", I307&gt;=20, "Medium", I307&lt;20, "Low")</f>
        <v>High</v>
      </c>
      <c r="T307" s="1" t="str" cm="1">
        <f t="array" ref="T307">_xlfn.IFS(O307&lt;18200, "Low", O307&lt;=50000, "Medium", O307&gt;50000, "High")</f>
        <v>Low</v>
      </c>
    </row>
    <row r="308" spans="1:20" x14ac:dyDescent="0.25">
      <c r="A308" s="2">
        <v>2013</v>
      </c>
      <c r="B308" s="1" t="s">
        <v>98</v>
      </c>
      <c r="C308" s="1" t="s">
        <v>340</v>
      </c>
      <c r="D308" s="1" t="s">
        <v>341</v>
      </c>
      <c r="E308" s="1" t="s">
        <v>32</v>
      </c>
      <c r="F308" s="1" t="s">
        <v>20</v>
      </c>
      <c r="G308" s="1" t="s">
        <v>550</v>
      </c>
      <c r="H308" s="1" t="s">
        <v>22</v>
      </c>
      <c r="I308" s="1">
        <v>44</v>
      </c>
      <c r="J308" s="1">
        <v>35995</v>
      </c>
      <c r="K308" s="1" t="s">
        <v>91</v>
      </c>
      <c r="L308" s="1" t="s">
        <v>24</v>
      </c>
      <c r="M308" s="1" t="s">
        <v>343</v>
      </c>
      <c r="N308" s="1">
        <v>25900</v>
      </c>
      <c r="O308" s="12">
        <v>27200</v>
      </c>
      <c r="P308" s="3" t="s">
        <v>84</v>
      </c>
      <c r="Q308" s="1" cm="1">
        <f t="array" ref="Q308">VALUE(INDEX(_xlfn.TEXTSPLIT(P308, " "), 4))</f>
        <v>2014</v>
      </c>
      <c r="R308" s="1" t="str">
        <f t="shared" si="4"/>
        <v>Hyundai Genesis 5.0 R-Spec</v>
      </c>
      <c r="S308" s="1" t="str" cm="1">
        <f t="array" ref="S308">_xlfn.IFS(I308 &gt;= 40, "High", I308&gt;=20, "Medium", I308&lt;20, "Low")</f>
        <v>High</v>
      </c>
      <c r="T308" s="1" t="str" cm="1">
        <f t="array" ref="T308">_xlfn.IFS(O308&lt;18200, "Low", O308&lt;=50000, "Medium", O308&gt;50000, "High")</f>
        <v>Medium</v>
      </c>
    </row>
    <row r="309" spans="1:20" x14ac:dyDescent="0.25">
      <c r="A309" s="2">
        <v>2013</v>
      </c>
      <c r="B309" s="1" t="s">
        <v>318</v>
      </c>
      <c r="C309" s="1" t="s">
        <v>323</v>
      </c>
      <c r="D309" s="1" t="s">
        <v>324</v>
      </c>
      <c r="E309" s="1" t="s">
        <v>323</v>
      </c>
      <c r="F309" s="1" t="s">
        <v>20</v>
      </c>
      <c r="G309" s="1" t="s">
        <v>551</v>
      </c>
      <c r="H309" s="1" t="s">
        <v>22</v>
      </c>
      <c r="I309" s="1">
        <v>46</v>
      </c>
      <c r="J309" s="1">
        <v>17541</v>
      </c>
      <c r="K309" s="1" t="s">
        <v>23</v>
      </c>
      <c r="L309" s="1" t="s">
        <v>34</v>
      </c>
      <c r="M309" s="1" t="s">
        <v>322</v>
      </c>
      <c r="N309" s="1">
        <v>23600</v>
      </c>
      <c r="O309" s="12">
        <v>24750</v>
      </c>
      <c r="P309" s="3" t="s">
        <v>46</v>
      </c>
      <c r="Q309" s="1" cm="1">
        <f t="array" ref="Q309">VALUE(INDEX(_xlfn.TEXTSPLIT(P309, " "), 4))</f>
        <v>2014</v>
      </c>
      <c r="R309" s="1" t="str">
        <f t="shared" si="4"/>
        <v>Infiniti G Sedan G37 Journey</v>
      </c>
      <c r="S309" s="1" t="str" cm="1">
        <f t="array" ref="S309">_xlfn.IFS(I309 &gt;= 40, "High", I309&gt;=20, "Medium", I309&lt;20, "Low")</f>
        <v>High</v>
      </c>
      <c r="T309" s="1" t="str" cm="1">
        <f t="array" ref="T309">_xlfn.IFS(O309&lt;18200, "Low", O309&lt;=50000, "Medium", O309&gt;50000, "High")</f>
        <v>Medium</v>
      </c>
    </row>
    <row r="310" spans="1:20" x14ac:dyDescent="0.25">
      <c r="A310" s="2">
        <v>2013</v>
      </c>
      <c r="B310" s="1" t="s">
        <v>98</v>
      </c>
      <c r="C310" s="1" t="s">
        <v>99</v>
      </c>
      <c r="D310" s="1" t="s">
        <v>348</v>
      </c>
      <c r="E310" s="1" t="s">
        <v>32</v>
      </c>
      <c r="F310" s="1" t="s">
        <v>20</v>
      </c>
      <c r="G310" s="1" t="s">
        <v>552</v>
      </c>
      <c r="H310" s="1" t="s">
        <v>22</v>
      </c>
      <c r="I310" s="1">
        <v>38</v>
      </c>
      <c r="J310" s="1">
        <v>40322</v>
      </c>
      <c r="K310" s="1" t="s">
        <v>91</v>
      </c>
      <c r="L310" s="1" t="s">
        <v>34</v>
      </c>
      <c r="M310" s="1" t="s">
        <v>182</v>
      </c>
      <c r="N310" s="1">
        <v>11900</v>
      </c>
      <c r="O310" s="12">
        <v>12300</v>
      </c>
      <c r="P310" s="3" t="s">
        <v>26</v>
      </c>
      <c r="Q310" s="1" cm="1">
        <f t="array" ref="Q310">VALUE(INDEX(_xlfn.TEXTSPLIT(P310, " "), 4))</f>
        <v>2014</v>
      </c>
      <c r="R310" s="1" t="str">
        <f t="shared" si="4"/>
        <v>Hyundai Sonata GLS</v>
      </c>
      <c r="S310" s="1" t="str" cm="1">
        <f t="array" ref="S310">_xlfn.IFS(I310 &gt;= 40, "High", I310&gt;=20, "Medium", I310&lt;20, "Low")</f>
        <v>Medium</v>
      </c>
      <c r="T310" s="1" t="str" cm="1">
        <f t="array" ref="T310">_xlfn.IFS(O310&lt;18200, "Low", O310&lt;=50000, "Medium", O310&gt;50000, "High")</f>
        <v>Low</v>
      </c>
    </row>
    <row r="311" spans="1:20" x14ac:dyDescent="0.25">
      <c r="A311" s="2">
        <v>2013</v>
      </c>
      <c r="B311" s="1" t="s">
        <v>98</v>
      </c>
      <c r="C311" s="1" t="s">
        <v>99</v>
      </c>
      <c r="D311" s="1" t="s">
        <v>348</v>
      </c>
      <c r="E311" s="1" t="s">
        <v>32</v>
      </c>
      <c r="F311" s="1" t="s">
        <v>20</v>
      </c>
      <c r="G311" s="1" t="s">
        <v>553</v>
      </c>
      <c r="H311" s="1" t="s">
        <v>22</v>
      </c>
      <c r="I311" s="1">
        <v>38</v>
      </c>
      <c r="J311" s="1">
        <v>47516</v>
      </c>
      <c r="K311" s="1" t="s">
        <v>24</v>
      </c>
      <c r="L311" s="1" t="s">
        <v>28</v>
      </c>
      <c r="M311" s="1" t="s">
        <v>350</v>
      </c>
      <c r="N311" s="1">
        <v>11850</v>
      </c>
      <c r="O311" s="12">
        <v>11700</v>
      </c>
      <c r="P311" s="3" t="s">
        <v>365</v>
      </c>
      <c r="Q311" s="1" cm="1">
        <f t="array" ref="Q311">VALUE(INDEX(_xlfn.TEXTSPLIT(P311, " "), 4))</f>
        <v>2015</v>
      </c>
      <c r="R311" s="1" t="str">
        <f t="shared" si="4"/>
        <v>Hyundai Sonata GLS</v>
      </c>
      <c r="S311" s="1" t="str" cm="1">
        <f t="array" ref="S311">_xlfn.IFS(I311 &gt;= 40, "High", I311&gt;=20, "Medium", I311&lt;20, "Low")</f>
        <v>Medium</v>
      </c>
      <c r="T311" s="1" t="str" cm="1">
        <f t="array" ref="T311">_xlfn.IFS(O311&lt;18200, "Low", O311&lt;=50000, "Medium", O311&gt;50000, "High")</f>
        <v>Low</v>
      </c>
    </row>
    <row r="312" spans="1:20" x14ac:dyDescent="0.25">
      <c r="A312" s="2">
        <v>2013</v>
      </c>
      <c r="B312" s="1" t="s">
        <v>98</v>
      </c>
      <c r="C312" s="1" t="s">
        <v>398</v>
      </c>
      <c r="D312" s="1" t="s">
        <v>422</v>
      </c>
      <c r="E312" s="1" t="s">
        <v>227</v>
      </c>
      <c r="F312" s="1" t="s">
        <v>214</v>
      </c>
      <c r="G312" s="1" t="s">
        <v>554</v>
      </c>
      <c r="H312" s="1" t="s">
        <v>22</v>
      </c>
      <c r="I312" s="1">
        <v>47</v>
      </c>
      <c r="J312" s="1">
        <v>15813</v>
      </c>
      <c r="K312" s="1" t="s">
        <v>549</v>
      </c>
      <c r="L312" s="1" t="s">
        <v>24</v>
      </c>
      <c r="M312" s="1" t="s">
        <v>555</v>
      </c>
      <c r="N312" s="1">
        <v>10500</v>
      </c>
      <c r="O312" s="12">
        <v>9500</v>
      </c>
      <c r="P312" s="3" t="s">
        <v>68</v>
      </c>
      <c r="Q312" s="1" cm="1">
        <f t="array" ref="Q312">VALUE(INDEX(_xlfn.TEXTSPLIT(P312, " "), 4))</f>
        <v>2014</v>
      </c>
      <c r="R312" s="1" t="str">
        <f t="shared" si="4"/>
        <v>Hyundai Accent GS</v>
      </c>
      <c r="S312" s="1" t="str" cm="1">
        <f t="array" ref="S312">_xlfn.IFS(I312 &gt;= 40, "High", I312&gt;=20, "Medium", I312&lt;20, "Low")</f>
        <v>High</v>
      </c>
      <c r="T312" s="1" t="str" cm="1">
        <f t="array" ref="T312">_xlfn.IFS(O312&lt;18200, "Low", O312&lt;=50000, "Medium", O312&gt;50000, "High")</f>
        <v>Low</v>
      </c>
    </row>
    <row r="313" spans="1:20" x14ac:dyDescent="0.25">
      <c r="A313" s="2">
        <v>2013</v>
      </c>
      <c r="B313" s="1" t="s">
        <v>318</v>
      </c>
      <c r="C313" s="1" t="s">
        <v>323</v>
      </c>
      <c r="D313" s="1" t="s">
        <v>324</v>
      </c>
      <c r="E313" s="1" t="s">
        <v>323</v>
      </c>
      <c r="F313" s="1" t="s">
        <v>20</v>
      </c>
      <c r="G313" s="1" t="s">
        <v>556</v>
      </c>
      <c r="H313" s="1" t="s">
        <v>22</v>
      </c>
      <c r="I313" s="1">
        <v>42</v>
      </c>
      <c r="J313" s="1">
        <v>23470</v>
      </c>
      <c r="K313" s="1" t="s">
        <v>24</v>
      </c>
      <c r="L313" s="1" t="s">
        <v>24</v>
      </c>
      <c r="M313" s="1" t="s">
        <v>322</v>
      </c>
      <c r="N313" s="1">
        <v>22800</v>
      </c>
      <c r="O313" s="12">
        <v>24500</v>
      </c>
      <c r="P313" s="3" t="s">
        <v>46</v>
      </c>
      <c r="Q313" s="1" cm="1">
        <f t="array" ref="Q313">VALUE(INDEX(_xlfn.TEXTSPLIT(P313, " "), 4))</f>
        <v>2014</v>
      </c>
      <c r="R313" s="1" t="str">
        <f t="shared" si="4"/>
        <v>Infiniti G Sedan G37 Journey</v>
      </c>
      <c r="S313" s="1" t="str" cm="1">
        <f t="array" ref="S313">_xlfn.IFS(I313 &gt;= 40, "High", I313&gt;=20, "Medium", I313&lt;20, "Low")</f>
        <v>High</v>
      </c>
      <c r="T313" s="1" t="str" cm="1">
        <f t="array" ref="T313">_xlfn.IFS(O313&lt;18200, "Low", O313&lt;=50000, "Medium", O313&gt;50000, "High")</f>
        <v>Medium</v>
      </c>
    </row>
    <row r="314" spans="1:20" x14ac:dyDescent="0.25">
      <c r="A314" s="2">
        <v>2013</v>
      </c>
      <c r="B314" s="1" t="s">
        <v>318</v>
      </c>
      <c r="C314" s="1" t="s">
        <v>323</v>
      </c>
      <c r="D314" s="1" t="s">
        <v>324</v>
      </c>
      <c r="E314" s="1" t="s">
        <v>323</v>
      </c>
      <c r="F314" s="1" t="s">
        <v>20</v>
      </c>
      <c r="G314" s="1" t="s">
        <v>557</v>
      </c>
      <c r="H314" s="1" t="s">
        <v>22</v>
      </c>
      <c r="I314" s="1">
        <v>43</v>
      </c>
      <c r="J314" s="1">
        <v>29782</v>
      </c>
      <c r="K314" s="1" t="s">
        <v>34</v>
      </c>
      <c r="L314" s="1" t="s">
        <v>24</v>
      </c>
      <c r="M314" s="1" t="s">
        <v>322</v>
      </c>
      <c r="N314" s="1">
        <v>22100</v>
      </c>
      <c r="O314" s="12">
        <v>21500</v>
      </c>
      <c r="P314" s="3" t="s">
        <v>46</v>
      </c>
      <c r="Q314" s="1" cm="1">
        <f t="array" ref="Q314">VALUE(INDEX(_xlfn.TEXTSPLIT(P314, " "), 4))</f>
        <v>2014</v>
      </c>
      <c r="R314" s="1" t="str">
        <f t="shared" si="4"/>
        <v>Infiniti G Sedan G37 Journey</v>
      </c>
      <c r="S314" s="1" t="str" cm="1">
        <f t="array" ref="S314">_xlfn.IFS(I314 &gt;= 40, "High", I314&gt;=20, "Medium", I314&lt;20, "Low")</f>
        <v>High</v>
      </c>
      <c r="T314" s="1" t="str" cm="1">
        <f t="array" ref="T314">_xlfn.IFS(O314&lt;18200, "Low", O314&lt;=50000, "Medium", O314&gt;50000, "High")</f>
        <v>Medium</v>
      </c>
    </row>
    <row r="315" spans="1:20" x14ac:dyDescent="0.25">
      <c r="A315" s="2">
        <v>2013</v>
      </c>
      <c r="B315" s="1" t="s">
        <v>318</v>
      </c>
      <c r="C315" s="1" t="s">
        <v>323</v>
      </c>
      <c r="D315" s="1" t="s">
        <v>324</v>
      </c>
      <c r="E315" s="1" t="s">
        <v>323</v>
      </c>
      <c r="F315" s="1" t="s">
        <v>20</v>
      </c>
      <c r="G315" s="1" t="s">
        <v>558</v>
      </c>
      <c r="H315" s="1" t="s">
        <v>22</v>
      </c>
      <c r="I315" s="1">
        <v>39</v>
      </c>
      <c r="J315" s="1">
        <v>10993</v>
      </c>
      <c r="K315" s="1" t="s">
        <v>94</v>
      </c>
      <c r="L315" s="1" t="s">
        <v>24</v>
      </c>
      <c r="M315" s="1" t="s">
        <v>322</v>
      </c>
      <c r="N315" s="1">
        <v>24400</v>
      </c>
      <c r="O315" s="12">
        <v>24250</v>
      </c>
      <c r="P315" s="3" t="s">
        <v>46</v>
      </c>
      <c r="Q315" s="1" cm="1">
        <f t="array" ref="Q315">VALUE(INDEX(_xlfn.TEXTSPLIT(P315, " "), 4))</f>
        <v>2014</v>
      </c>
      <c r="R315" s="1" t="str">
        <f t="shared" si="4"/>
        <v>Infiniti G Sedan G37 Journey</v>
      </c>
      <c r="S315" s="1" t="str" cm="1">
        <f t="array" ref="S315">_xlfn.IFS(I315 &gt;= 40, "High", I315&gt;=20, "Medium", I315&lt;20, "Low")</f>
        <v>Medium</v>
      </c>
      <c r="T315" s="1" t="str" cm="1">
        <f t="array" ref="T315">_xlfn.IFS(O315&lt;18200, "Low", O315&lt;=50000, "Medium", O315&gt;50000, "High")</f>
        <v>Medium</v>
      </c>
    </row>
    <row r="316" spans="1:20" x14ac:dyDescent="0.25">
      <c r="A316" s="2">
        <v>2013</v>
      </c>
      <c r="B316" s="1" t="s">
        <v>318</v>
      </c>
      <c r="C316" s="1" t="s">
        <v>323</v>
      </c>
      <c r="D316" s="1" t="s">
        <v>324</v>
      </c>
      <c r="E316" s="1" t="s">
        <v>323</v>
      </c>
      <c r="F316" s="1" t="s">
        <v>20</v>
      </c>
      <c r="G316" s="1" t="s">
        <v>559</v>
      </c>
      <c r="H316" s="1" t="s">
        <v>22</v>
      </c>
      <c r="I316" s="1">
        <v>45</v>
      </c>
      <c r="J316" s="1">
        <v>18921</v>
      </c>
      <c r="K316" s="1" t="s">
        <v>34</v>
      </c>
      <c r="L316" s="1" t="s">
        <v>24</v>
      </c>
      <c r="M316" s="1" t="s">
        <v>322</v>
      </c>
      <c r="N316" s="1">
        <v>23400</v>
      </c>
      <c r="O316" s="12">
        <v>21750</v>
      </c>
      <c r="P316" s="3" t="s">
        <v>46</v>
      </c>
      <c r="Q316" s="1" cm="1">
        <f t="array" ref="Q316">VALUE(INDEX(_xlfn.TEXTSPLIT(P316, " "), 4))</f>
        <v>2014</v>
      </c>
      <c r="R316" s="1" t="str">
        <f t="shared" si="4"/>
        <v>Infiniti G Sedan G37 Journey</v>
      </c>
      <c r="S316" s="1" t="str" cm="1">
        <f t="array" ref="S316">_xlfn.IFS(I316 &gt;= 40, "High", I316&gt;=20, "Medium", I316&lt;20, "Low")</f>
        <v>High</v>
      </c>
      <c r="T316" s="1" t="str" cm="1">
        <f t="array" ref="T316">_xlfn.IFS(O316&lt;18200, "Low", O316&lt;=50000, "Medium", O316&gt;50000, "High")</f>
        <v>Medium</v>
      </c>
    </row>
    <row r="317" spans="1:20" x14ac:dyDescent="0.25">
      <c r="A317" s="2">
        <v>2013</v>
      </c>
      <c r="B317" s="1" t="s">
        <v>98</v>
      </c>
      <c r="C317" s="1" t="s">
        <v>444</v>
      </c>
      <c r="D317" s="1" t="s">
        <v>337</v>
      </c>
      <c r="E317" s="1" t="s">
        <v>19</v>
      </c>
      <c r="F317" s="1" t="s">
        <v>20</v>
      </c>
      <c r="G317" s="1" t="s">
        <v>560</v>
      </c>
      <c r="H317" s="1" t="s">
        <v>22</v>
      </c>
      <c r="I317" s="1">
        <v>44</v>
      </c>
      <c r="J317" s="1">
        <v>32413</v>
      </c>
      <c r="K317" s="1" t="s">
        <v>23</v>
      </c>
      <c r="L317" s="1" t="s">
        <v>28</v>
      </c>
      <c r="M317" s="1" t="s">
        <v>343</v>
      </c>
      <c r="N317" s="1">
        <v>16150</v>
      </c>
      <c r="O317" s="12">
        <v>17500</v>
      </c>
      <c r="P317" s="3" t="s">
        <v>84</v>
      </c>
      <c r="Q317" s="1" cm="1">
        <f t="array" ref="Q317">VALUE(INDEX(_xlfn.TEXTSPLIT(P317, " "), 4))</f>
        <v>2014</v>
      </c>
      <c r="R317" s="1" t="str">
        <f t="shared" si="4"/>
        <v>Hyundai Tucson Limited</v>
      </c>
      <c r="S317" s="1" t="str" cm="1">
        <f t="array" ref="S317">_xlfn.IFS(I317 &gt;= 40, "High", I317&gt;=20, "Medium", I317&lt;20, "Low")</f>
        <v>High</v>
      </c>
      <c r="T317" s="1" t="str" cm="1">
        <f t="array" ref="T317">_xlfn.IFS(O317&lt;18200, "Low", O317&lt;=50000, "Medium", O317&gt;50000, "High")</f>
        <v>Low</v>
      </c>
    </row>
    <row r="318" spans="1:20" x14ac:dyDescent="0.25">
      <c r="A318" s="2">
        <v>2013</v>
      </c>
      <c r="B318" s="1" t="s">
        <v>98</v>
      </c>
      <c r="C318" s="1" t="s">
        <v>363</v>
      </c>
      <c r="D318" s="1" t="s">
        <v>337</v>
      </c>
      <c r="E318" s="1" t="s">
        <v>32</v>
      </c>
      <c r="F318" s="1" t="s">
        <v>20</v>
      </c>
      <c r="G318" s="1" t="s">
        <v>561</v>
      </c>
      <c r="H318" s="1" t="s">
        <v>22</v>
      </c>
      <c r="I318" s="1">
        <v>5</v>
      </c>
      <c r="J318" s="1">
        <v>20</v>
      </c>
      <c r="K318" s="1" t="s">
        <v>91</v>
      </c>
      <c r="L318" s="1" t="s">
        <v>34</v>
      </c>
      <c r="M318" s="1" t="s">
        <v>343</v>
      </c>
      <c r="N318" s="1">
        <v>20300</v>
      </c>
      <c r="O318" s="12">
        <v>19900</v>
      </c>
      <c r="P318" s="3" t="s">
        <v>84</v>
      </c>
      <c r="Q318" s="1" cm="1">
        <f t="array" ref="Q318">VALUE(INDEX(_xlfn.TEXTSPLIT(P318, " "), 4))</f>
        <v>2014</v>
      </c>
      <c r="R318" s="1" t="str">
        <f t="shared" si="4"/>
        <v>Hyundai Sonata Hybrid Limited</v>
      </c>
      <c r="S318" s="1" t="str" cm="1">
        <f t="array" ref="S318">_xlfn.IFS(I318 &gt;= 40, "High", I318&gt;=20, "Medium", I318&lt;20, "Low")</f>
        <v>Low</v>
      </c>
      <c r="T318" s="1" t="str" cm="1">
        <f t="array" ref="T318">_xlfn.IFS(O318&lt;18200, "Low", O318&lt;=50000, "Medium", O318&gt;50000, "High")</f>
        <v>Medium</v>
      </c>
    </row>
    <row r="319" spans="1:20" x14ac:dyDescent="0.25">
      <c r="A319" s="2">
        <v>2013</v>
      </c>
      <c r="B319" s="1" t="s">
        <v>318</v>
      </c>
      <c r="C319" s="1" t="s">
        <v>323</v>
      </c>
      <c r="D319" s="1" t="s">
        <v>324</v>
      </c>
      <c r="E319" s="1" t="s">
        <v>323</v>
      </c>
      <c r="F319" s="1" t="s">
        <v>20</v>
      </c>
      <c r="G319" s="1" t="s">
        <v>562</v>
      </c>
      <c r="H319" s="1" t="s">
        <v>22</v>
      </c>
      <c r="I319" s="1">
        <v>44</v>
      </c>
      <c r="J319" s="1">
        <v>32437</v>
      </c>
      <c r="K319" s="1" t="s">
        <v>23</v>
      </c>
      <c r="L319" s="1" t="s">
        <v>24</v>
      </c>
      <c r="M319" s="1" t="s">
        <v>322</v>
      </c>
      <c r="N319" s="1">
        <v>22000</v>
      </c>
      <c r="O319" s="12">
        <v>20500</v>
      </c>
      <c r="P319" s="3" t="s">
        <v>251</v>
      </c>
      <c r="Q319" s="1" cm="1">
        <f t="array" ref="Q319">VALUE(INDEX(_xlfn.TEXTSPLIT(P319, " "), 4))</f>
        <v>2014</v>
      </c>
      <c r="R319" s="1" t="str">
        <f t="shared" si="4"/>
        <v>Infiniti G Sedan G37 Journey</v>
      </c>
      <c r="S319" s="1" t="str" cm="1">
        <f t="array" ref="S319">_xlfn.IFS(I319 &gt;= 40, "High", I319&gt;=20, "Medium", I319&lt;20, "Low")</f>
        <v>High</v>
      </c>
      <c r="T319" s="1" t="str" cm="1">
        <f t="array" ref="T319">_xlfn.IFS(O319&lt;18200, "Low", O319&lt;=50000, "Medium", O319&gt;50000, "High")</f>
        <v>Medium</v>
      </c>
    </row>
    <row r="320" spans="1:20" x14ac:dyDescent="0.25">
      <c r="A320" s="2">
        <v>2013</v>
      </c>
      <c r="B320" s="1" t="s">
        <v>98</v>
      </c>
      <c r="C320" s="1" t="s">
        <v>219</v>
      </c>
      <c r="D320" s="1" t="s">
        <v>348</v>
      </c>
      <c r="E320" s="1" t="s">
        <v>32</v>
      </c>
      <c r="F320" s="1" t="s">
        <v>20</v>
      </c>
      <c r="G320" s="1" t="s">
        <v>563</v>
      </c>
      <c r="H320" s="1" t="s">
        <v>22</v>
      </c>
      <c r="I320" s="1">
        <v>35</v>
      </c>
      <c r="J320" s="1">
        <v>38388</v>
      </c>
      <c r="K320" s="1" t="s">
        <v>34</v>
      </c>
      <c r="L320" s="1" t="s">
        <v>34</v>
      </c>
      <c r="M320" s="1" t="s">
        <v>142</v>
      </c>
      <c r="N320" s="1">
        <v>11350</v>
      </c>
      <c r="O320" s="12">
        <v>11700</v>
      </c>
      <c r="P320" s="3" t="s">
        <v>26</v>
      </c>
      <c r="Q320" s="1" cm="1">
        <f t="array" ref="Q320">VALUE(INDEX(_xlfn.TEXTSPLIT(P320, " "), 4))</f>
        <v>2014</v>
      </c>
      <c r="R320" s="1" t="str">
        <f t="shared" si="4"/>
        <v>Hyundai Elantra GLS</v>
      </c>
      <c r="S320" s="1" t="str" cm="1">
        <f t="array" ref="S320">_xlfn.IFS(I320 &gt;= 40, "High", I320&gt;=20, "Medium", I320&lt;20, "Low")</f>
        <v>Medium</v>
      </c>
      <c r="T320" s="1" t="str" cm="1">
        <f t="array" ref="T320">_xlfn.IFS(O320&lt;18200, "Low", O320&lt;=50000, "Medium", O320&gt;50000, "High")</f>
        <v>Low</v>
      </c>
    </row>
    <row r="321" spans="1:20" x14ac:dyDescent="0.25">
      <c r="A321" s="2">
        <v>2013</v>
      </c>
      <c r="B321" s="1" t="s">
        <v>98</v>
      </c>
      <c r="C321" s="1" t="s">
        <v>219</v>
      </c>
      <c r="D321" s="1" t="s">
        <v>348</v>
      </c>
      <c r="E321" s="1" t="s">
        <v>32</v>
      </c>
      <c r="F321" s="1" t="s">
        <v>20</v>
      </c>
      <c r="G321" s="1" t="s">
        <v>564</v>
      </c>
      <c r="H321" s="1" t="s">
        <v>22</v>
      </c>
      <c r="I321" s="1">
        <v>4</v>
      </c>
      <c r="J321" s="1">
        <v>21579</v>
      </c>
      <c r="K321" s="1" t="s">
        <v>24</v>
      </c>
      <c r="L321" s="1" t="s">
        <v>34</v>
      </c>
      <c r="M321" s="1" t="s">
        <v>350</v>
      </c>
      <c r="N321" s="1">
        <v>12350</v>
      </c>
      <c r="O321" s="12">
        <v>12600</v>
      </c>
      <c r="P321" s="3" t="s">
        <v>84</v>
      </c>
      <c r="Q321" s="1" cm="1">
        <f t="array" ref="Q321">VALUE(INDEX(_xlfn.TEXTSPLIT(P321, " "), 4))</f>
        <v>2014</v>
      </c>
      <c r="R321" s="1" t="str">
        <f t="shared" si="4"/>
        <v>Hyundai Elantra GLS</v>
      </c>
      <c r="S321" s="1" t="str" cm="1">
        <f t="array" ref="S321">_xlfn.IFS(I321 &gt;= 40, "High", I321&gt;=20, "Medium", I321&lt;20, "Low")</f>
        <v>Low</v>
      </c>
      <c r="T321" s="1" t="str" cm="1">
        <f t="array" ref="T321">_xlfn.IFS(O321&lt;18200, "Low", O321&lt;=50000, "Medium", O321&gt;50000, "High")</f>
        <v>Low</v>
      </c>
    </row>
    <row r="322" spans="1:20" x14ac:dyDescent="0.25">
      <c r="A322" s="2">
        <v>2013</v>
      </c>
      <c r="B322" s="1" t="s">
        <v>318</v>
      </c>
      <c r="C322" s="1" t="s">
        <v>323</v>
      </c>
      <c r="D322" s="1" t="s">
        <v>324</v>
      </c>
      <c r="E322" s="1" t="s">
        <v>323</v>
      </c>
      <c r="F322" s="1" t="s">
        <v>20</v>
      </c>
      <c r="G322" s="1" t="s">
        <v>565</v>
      </c>
      <c r="H322" s="1" t="s">
        <v>22</v>
      </c>
      <c r="I322" s="1">
        <v>41</v>
      </c>
      <c r="J322" s="1">
        <v>17672</v>
      </c>
      <c r="K322" s="1" t="s">
        <v>24</v>
      </c>
      <c r="L322" s="1" t="s">
        <v>24</v>
      </c>
      <c r="M322" s="1" t="s">
        <v>322</v>
      </c>
      <c r="N322" s="1">
        <v>23500</v>
      </c>
      <c r="O322" s="12">
        <v>21500</v>
      </c>
      <c r="P322" s="3" t="s">
        <v>46</v>
      </c>
      <c r="Q322" s="1" cm="1">
        <f t="array" ref="Q322">VALUE(INDEX(_xlfn.TEXTSPLIT(P322, " "), 4))</f>
        <v>2014</v>
      </c>
      <c r="R322" s="1" t="str">
        <f t="shared" si="4"/>
        <v>Infiniti G Sedan G37 Journey</v>
      </c>
      <c r="S322" s="1" t="str" cm="1">
        <f t="array" ref="S322">_xlfn.IFS(I322 &gt;= 40, "High", I322&gt;=20, "Medium", I322&lt;20, "Low")</f>
        <v>High</v>
      </c>
      <c r="T322" s="1" t="str" cm="1">
        <f t="array" ref="T322">_xlfn.IFS(O322&lt;18200, "Low", O322&lt;=50000, "Medium", O322&gt;50000, "High")</f>
        <v>Medium</v>
      </c>
    </row>
    <row r="323" spans="1:20" x14ac:dyDescent="0.25">
      <c r="A323" s="2">
        <v>2013</v>
      </c>
      <c r="B323" s="1" t="s">
        <v>98</v>
      </c>
      <c r="C323" s="1" t="s">
        <v>363</v>
      </c>
      <c r="D323" s="1" t="s">
        <v>337</v>
      </c>
      <c r="E323" s="1" t="s">
        <v>32</v>
      </c>
      <c r="F323" s="1" t="s">
        <v>20</v>
      </c>
      <c r="G323" s="1" t="s">
        <v>566</v>
      </c>
      <c r="H323" s="1" t="s">
        <v>22</v>
      </c>
      <c r="I323" s="1">
        <v>45</v>
      </c>
      <c r="J323" s="1">
        <v>13162</v>
      </c>
      <c r="K323" s="1" t="s">
        <v>24</v>
      </c>
      <c r="L323" s="1" t="s">
        <v>34</v>
      </c>
      <c r="M323" s="1" t="s">
        <v>343</v>
      </c>
      <c r="N323" s="1">
        <v>18450</v>
      </c>
      <c r="O323" s="12">
        <v>18600</v>
      </c>
      <c r="P323" s="3" t="s">
        <v>84</v>
      </c>
      <c r="Q323" s="1" cm="1">
        <f t="array" ref="Q323">VALUE(INDEX(_xlfn.TEXTSPLIT(P323, " "), 4))</f>
        <v>2014</v>
      </c>
      <c r="R323" s="1" t="str">
        <f t="shared" ref="R323:R386" si="5">_xlfn.TEXTJOIN(" ", TRUE, B323, C323, D323)</f>
        <v>Hyundai Sonata Hybrid Limited</v>
      </c>
      <c r="S323" s="1" t="str" cm="1">
        <f t="array" ref="S323">_xlfn.IFS(I323 &gt;= 40, "High", I323&gt;=20, "Medium", I323&lt;20, "Low")</f>
        <v>High</v>
      </c>
      <c r="T323" s="1" t="str" cm="1">
        <f t="array" ref="T323">_xlfn.IFS(O323&lt;18200, "Low", O323&lt;=50000, "Medium", O323&gt;50000, "High")</f>
        <v>Medium</v>
      </c>
    </row>
    <row r="324" spans="1:20" x14ac:dyDescent="0.25">
      <c r="A324" s="2">
        <v>2013</v>
      </c>
      <c r="B324" s="1" t="s">
        <v>318</v>
      </c>
      <c r="C324" s="1" t="s">
        <v>319</v>
      </c>
      <c r="D324" s="1" t="s">
        <v>320</v>
      </c>
      <c r="E324" s="1" t="s">
        <v>319</v>
      </c>
      <c r="F324" s="1" t="s">
        <v>20</v>
      </c>
      <c r="G324" s="1" t="s">
        <v>567</v>
      </c>
      <c r="H324" s="1" t="s">
        <v>22</v>
      </c>
      <c r="I324" s="1">
        <v>41</v>
      </c>
      <c r="J324" s="1">
        <v>13002</v>
      </c>
      <c r="K324" s="1" t="s">
        <v>101</v>
      </c>
      <c r="L324" s="1" t="s">
        <v>24</v>
      </c>
      <c r="M324" s="1" t="s">
        <v>322</v>
      </c>
      <c r="N324" s="1">
        <v>26100</v>
      </c>
      <c r="O324" s="12">
        <v>26500</v>
      </c>
      <c r="P324" s="3" t="s">
        <v>46</v>
      </c>
      <c r="Q324" s="1" cm="1">
        <f t="array" ref="Q324">VALUE(INDEX(_xlfn.TEXTSPLIT(P324, " "), 4))</f>
        <v>2014</v>
      </c>
      <c r="R324" s="1" t="str">
        <f t="shared" si="5"/>
        <v>Infiniti G Coupe G37 Sport</v>
      </c>
      <c r="S324" s="1" t="str" cm="1">
        <f t="array" ref="S324">_xlfn.IFS(I324 &gt;= 40, "High", I324&gt;=20, "Medium", I324&lt;20, "Low")</f>
        <v>High</v>
      </c>
      <c r="T324" s="1" t="str" cm="1">
        <f t="array" ref="T324">_xlfn.IFS(O324&lt;18200, "Low", O324&lt;=50000, "Medium", O324&gt;50000, "High")</f>
        <v>Medium</v>
      </c>
    </row>
    <row r="325" spans="1:20" x14ac:dyDescent="0.25">
      <c r="A325" s="2">
        <v>2013</v>
      </c>
      <c r="B325" s="1" t="s">
        <v>318</v>
      </c>
      <c r="C325" s="1" t="s">
        <v>323</v>
      </c>
      <c r="D325" s="1" t="s">
        <v>324</v>
      </c>
      <c r="E325" s="1" t="s">
        <v>323</v>
      </c>
      <c r="F325" s="1" t="s">
        <v>20</v>
      </c>
      <c r="G325" s="1" t="s">
        <v>568</v>
      </c>
      <c r="H325" s="1" t="s">
        <v>22</v>
      </c>
      <c r="I325" s="1">
        <v>37</v>
      </c>
      <c r="J325" s="1">
        <v>16486</v>
      </c>
      <c r="K325" s="1" t="s">
        <v>24</v>
      </c>
      <c r="L325" s="1" t="s">
        <v>24</v>
      </c>
      <c r="M325" s="1" t="s">
        <v>322</v>
      </c>
      <c r="N325" s="1">
        <v>23700</v>
      </c>
      <c r="O325" s="12">
        <v>24000</v>
      </c>
      <c r="P325" s="3" t="s">
        <v>46</v>
      </c>
      <c r="Q325" s="1" cm="1">
        <f t="array" ref="Q325">VALUE(INDEX(_xlfn.TEXTSPLIT(P325, " "), 4))</f>
        <v>2014</v>
      </c>
      <c r="R325" s="1" t="str">
        <f t="shared" si="5"/>
        <v>Infiniti G Sedan G37 Journey</v>
      </c>
      <c r="S325" s="1" t="str" cm="1">
        <f t="array" ref="S325">_xlfn.IFS(I325 &gt;= 40, "High", I325&gt;=20, "Medium", I325&lt;20, "Low")</f>
        <v>Medium</v>
      </c>
      <c r="T325" s="1" t="str" cm="1">
        <f t="array" ref="T325">_xlfn.IFS(O325&lt;18200, "Low", O325&lt;=50000, "Medium", O325&gt;50000, "High")</f>
        <v>Medium</v>
      </c>
    </row>
    <row r="326" spans="1:20" x14ac:dyDescent="0.25">
      <c r="A326" s="2">
        <v>2013</v>
      </c>
      <c r="B326" s="1" t="s">
        <v>318</v>
      </c>
      <c r="C326" s="1" t="s">
        <v>323</v>
      </c>
      <c r="D326" s="1" t="s">
        <v>324</v>
      </c>
      <c r="E326" s="1" t="s">
        <v>323</v>
      </c>
      <c r="F326" s="1" t="s">
        <v>20</v>
      </c>
      <c r="G326" s="1" t="s">
        <v>569</v>
      </c>
      <c r="H326" s="1" t="s">
        <v>22</v>
      </c>
      <c r="I326" s="1">
        <v>43</v>
      </c>
      <c r="J326" s="1">
        <v>11596</v>
      </c>
      <c r="K326" s="1" t="s">
        <v>23</v>
      </c>
      <c r="L326" s="1" t="s">
        <v>24</v>
      </c>
      <c r="M326" s="1" t="s">
        <v>322</v>
      </c>
      <c r="N326" s="1">
        <v>24300</v>
      </c>
      <c r="O326" s="12">
        <v>26000</v>
      </c>
      <c r="P326" s="3" t="s">
        <v>46</v>
      </c>
      <c r="Q326" s="1" cm="1">
        <f t="array" ref="Q326">VALUE(INDEX(_xlfn.TEXTSPLIT(P326, " "), 4))</f>
        <v>2014</v>
      </c>
      <c r="R326" s="1" t="str">
        <f t="shared" si="5"/>
        <v>Infiniti G Sedan G37 Journey</v>
      </c>
      <c r="S326" s="1" t="str" cm="1">
        <f t="array" ref="S326">_xlfn.IFS(I326 &gt;= 40, "High", I326&gt;=20, "Medium", I326&lt;20, "Low")</f>
        <v>High</v>
      </c>
      <c r="T326" s="1" t="str" cm="1">
        <f t="array" ref="T326">_xlfn.IFS(O326&lt;18200, "Low", O326&lt;=50000, "Medium", O326&gt;50000, "High")</f>
        <v>Medium</v>
      </c>
    </row>
    <row r="327" spans="1:20" x14ac:dyDescent="0.25">
      <c r="A327" s="2">
        <v>2013</v>
      </c>
      <c r="B327" s="1" t="s">
        <v>318</v>
      </c>
      <c r="C327" s="1" t="s">
        <v>323</v>
      </c>
      <c r="D327" s="1" t="s">
        <v>324</v>
      </c>
      <c r="E327" s="1" t="s">
        <v>323</v>
      </c>
      <c r="F327" s="1" t="s">
        <v>20</v>
      </c>
      <c r="G327" s="1" t="s">
        <v>570</v>
      </c>
      <c r="H327" s="1" t="s">
        <v>22</v>
      </c>
      <c r="I327" s="1">
        <v>42</v>
      </c>
      <c r="J327" s="1">
        <v>16153</v>
      </c>
      <c r="K327" s="1" t="s">
        <v>94</v>
      </c>
      <c r="L327" s="1" t="s">
        <v>24</v>
      </c>
      <c r="M327" s="1" t="s">
        <v>322</v>
      </c>
      <c r="N327" s="1">
        <v>23700</v>
      </c>
      <c r="O327" s="12">
        <v>24000</v>
      </c>
      <c r="P327" s="3" t="s">
        <v>46</v>
      </c>
      <c r="Q327" s="1" cm="1">
        <f t="array" ref="Q327">VALUE(INDEX(_xlfn.TEXTSPLIT(P327, " "), 4))</f>
        <v>2014</v>
      </c>
      <c r="R327" s="1" t="str">
        <f t="shared" si="5"/>
        <v>Infiniti G Sedan G37 Journey</v>
      </c>
      <c r="S327" s="1" t="str" cm="1">
        <f t="array" ref="S327">_xlfn.IFS(I327 &gt;= 40, "High", I327&gt;=20, "Medium", I327&lt;20, "Low")</f>
        <v>High</v>
      </c>
      <c r="T327" s="1" t="str" cm="1">
        <f t="array" ref="T327">_xlfn.IFS(O327&lt;18200, "Low", O327&lt;=50000, "Medium", O327&gt;50000, "High")</f>
        <v>Medium</v>
      </c>
    </row>
    <row r="328" spans="1:20" x14ac:dyDescent="0.25">
      <c r="A328" s="2">
        <v>2013</v>
      </c>
      <c r="B328" s="1" t="s">
        <v>318</v>
      </c>
      <c r="C328" s="1" t="s">
        <v>323</v>
      </c>
      <c r="D328" s="1" t="s">
        <v>324</v>
      </c>
      <c r="E328" s="1" t="s">
        <v>323</v>
      </c>
      <c r="F328" s="1" t="s">
        <v>20</v>
      </c>
      <c r="G328" s="1" t="s">
        <v>571</v>
      </c>
      <c r="H328" s="1" t="s">
        <v>22</v>
      </c>
      <c r="I328" s="1">
        <v>44</v>
      </c>
      <c r="J328" s="1">
        <v>9785</v>
      </c>
      <c r="K328" s="1" t="s">
        <v>94</v>
      </c>
      <c r="L328" s="1" t="s">
        <v>24</v>
      </c>
      <c r="M328" s="1" t="s">
        <v>322</v>
      </c>
      <c r="N328" s="1">
        <v>24500</v>
      </c>
      <c r="O328" s="12">
        <v>23000</v>
      </c>
      <c r="P328" s="3" t="s">
        <v>46</v>
      </c>
      <c r="Q328" s="1" cm="1">
        <f t="array" ref="Q328">VALUE(INDEX(_xlfn.TEXTSPLIT(P328, " "), 4))</f>
        <v>2014</v>
      </c>
      <c r="R328" s="1" t="str">
        <f t="shared" si="5"/>
        <v>Infiniti G Sedan G37 Journey</v>
      </c>
      <c r="S328" s="1" t="str" cm="1">
        <f t="array" ref="S328">_xlfn.IFS(I328 &gt;= 40, "High", I328&gt;=20, "Medium", I328&lt;20, "Low")</f>
        <v>High</v>
      </c>
      <c r="T328" s="1" t="str" cm="1">
        <f t="array" ref="T328">_xlfn.IFS(O328&lt;18200, "Low", O328&lt;=50000, "Medium", O328&gt;50000, "High")</f>
        <v>Medium</v>
      </c>
    </row>
    <row r="329" spans="1:20" x14ac:dyDescent="0.25">
      <c r="A329" s="2">
        <v>2013</v>
      </c>
      <c r="B329" s="1" t="s">
        <v>98</v>
      </c>
      <c r="C329" s="1" t="s">
        <v>219</v>
      </c>
      <c r="D329" s="1" t="s">
        <v>337</v>
      </c>
      <c r="E329" s="1" t="s">
        <v>32</v>
      </c>
      <c r="F329" s="1" t="s">
        <v>20</v>
      </c>
      <c r="G329" s="1" t="s">
        <v>572</v>
      </c>
      <c r="H329" s="1" t="s">
        <v>22</v>
      </c>
      <c r="I329" s="1">
        <v>37</v>
      </c>
      <c r="J329" s="1">
        <v>13871</v>
      </c>
      <c r="K329" s="1" t="s">
        <v>23</v>
      </c>
      <c r="L329" s="1" t="s">
        <v>24</v>
      </c>
      <c r="M329" s="1" t="s">
        <v>343</v>
      </c>
      <c r="N329" s="1">
        <v>15100</v>
      </c>
      <c r="O329" s="12">
        <v>15900</v>
      </c>
      <c r="P329" s="3" t="s">
        <v>84</v>
      </c>
      <c r="Q329" s="1" cm="1">
        <f t="array" ref="Q329">VALUE(INDEX(_xlfn.TEXTSPLIT(P329, " "), 4))</f>
        <v>2014</v>
      </c>
      <c r="R329" s="1" t="str">
        <f t="shared" si="5"/>
        <v>Hyundai Elantra Limited</v>
      </c>
      <c r="S329" s="1" t="str" cm="1">
        <f t="array" ref="S329">_xlfn.IFS(I329 &gt;= 40, "High", I329&gt;=20, "Medium", I329&lt;20, "Low")</f>
        <v>Medium</v>
      </c>
      <c r="T329" s="1" t="str" cm="1">
        <f t="array" ref="T329">_xlfn.IFS(O329&lt;18200, "Low", O329&lt;=50000, "Medium", O329&gt;50000, "High")</f>
        <v>Low</v>
      </c>
    </row>
    <row r="330" spans="1:20" x14ac:dyDescent="0.25">
      <c r="A330" s="2">
        <v>2013</v>
      </c>
      <c r="B330" s="1" t="s">
        <v>318</v>
      </c>
      <c r="C330" s="1" t="s">
        <v>319</v>
      </c>
      <c r="D330" s="1" t="s">
        <v>320</v>
      </c>
      <c r="E330" s="1" t="s">
        <v>319</v>
      </c>
      <c r="F330" s="1" t="s">
        <v>20</v>
      </c>
      <c r="G330" s="1" t="s">
        <v>573</v>
      </c>
      <c r="H330" s="1" t="s">
        <v>22</v>
      </c>
      <c r="I330" s="1">
        <v>36</v>
      </c>
      <c r="J330" s="1">
        <v>26843</v>
      </c>
      <c r="K330" s="1" t="s">
        <v>34</v>
      </c>
      <c r="L330" s="1" t="s">
        <v>24</v>
      </c>
      <c r="M330" s="1" t="s">
        <v>322</v>
      </c>
      <c r="N330" s="1">
        <v>24400</v>
      </c>
      <c r="O330" s="12">
        <v>24250</v>
      </c>
      <c r="P330" s="3" t="s">
        <v>46</v>
      </c>
      <c r="Q330" s="1" cm="1">
        <f t="array" ref="Q330">VALUE(INDEX(_xlfn.TEXTSPLIT(P330, " "), 4))</f>
        <v>2014</v>
      </c>
      <c r="R330" s="1" t="str">
        <f t="shared" si="5"/>
        <v>Infiniti G Coupe G37 Sport</v>
      </c>
      <c r="S330" s="1" t="str" cm="1">
        <f t="array" ref="S330">_xlfn.IFS(I330 &gt;= 40, "High", I330&gt;=20, "Medium", I330&lt;20, "Low")</f>
        <v>Medium</v>
      </c>
      <c r="T330" s="1" t="str" cm="1">
        <f t="array" ref="T330">_xlfn.IFS(O330&lt;18200, "Low", O330&lt;=50000, "Medium", O330&gt;50000, "High")</f>
        <v>Medium</v>
      </c>
    </row>
    <row r="331" spans="1:20" x14ac:dyDescent="0.25">
      <c r="A331" s="2">
        <v>2013</v>
      </c>
      <c r="B331" s="1" t="s">
        <v>318</v>
      </c>
      <c r="C331" s="1" t="s">
        <v>319</v>
      </c>
      <c r="D331" s="1" t="s">
        <v>320</v>
      </c>
      <c r="E331" s="1" t="s">
        <v>319</v>
      </c>
      <c r="F331" s="1" t="s">
        <v>20</v>
      </c>
      <c r="G331" s="1" t="s">
        <v>574</v>
      </c>
      <c r="H331" s="1" t="s">
        <v>22</v>
      </c>
      <c r="I331" s="1">
        <v>37</v>
      </c>
      <c r="J331" s="1">
        <v>18548</v>
      </c>
      <c r="K331" s="1" t="s">
        <v>34</v>
      </c>
      <c r="L331" s="1" t="s">
        <v>24</v>
      </c>
      <c r="M331" s="1" t="s">
        <v>322</v>
      </c>
      <c r="N331" s="1">
        <v>25400</v>
      </c>
      <c r="O331" s="12">
        <v>25000</v>
      </c>
      <c r="P331" s="3" t="s">
        <v>46</v>
      </c>
      <c r="Q331" s="1" cm="1">
        <f t="array" ref="Q331">VALUE(INDEX(_xlfn.TEXTSPLIT(P331, " "), 4))</f>
        <v>2014</v>
      </c>
      <c r="R331" s="1" t="str">
        <f t="shared" si="5"/>
        <v>Infiniti G Coupe G37 Sport</v>
      </c>
      <c r="S331" s="1" t="str" cm="1">
        <f t="array" ref="S331">_xlfn.IFS(I331 &gt;= 40, "High", I331&gt;=20, "Medium", I331&lt;20, "Low")</f>
        <v>Medium</v>
      </c>
      <c r="T331" s="1" t="str" cm="1">
        <f t="array" ref="T331">_xlfn.IFS(O331&lt;18200, "Low", O331&lt;=50000, "Medium", O331&gt;50000, "High")</f>
        <v>Medium</v>
      </c>
    </row>
    <row r="332" spans="1:20" x14ac:dyDescent="0.25">
      <c r="A332" s="2">
        <v>2013</v>
      </c>
      <c r="B332" s="1" t="s">
        <v>318</v>
      </c>
      <c r="C332" s="1" t="s">
        <v>323</v>
      </c>
      <c r="D332" s="1" t="s">
        <v>324</v>
      </c>
      <c r="E332" s="1" t="s">
        <v>323</v>
      </c>
      <c r="F332" s="1" t="s">
        <v>20</v>
      </c>
      <c r="G332" s="1" t="s">
        <v>575</v>
      </c>
      <c r="H332" s="1" t="s">
        <v>22</v>
      </c>
      <c r="I332" s="1">
        <v>42</v>
      </c>
      <c r="J332" s="1">
        <v>25016</v>
      </c>
      <c r="K332" s="1" t="s">
        <v>23</v>
      </c>
      <c r="L332" s="1" t="s">
        <v>24</v>
      </c>
      <c r="M332" s="1" t="s">
        <v>322</v>
      </c>
      <c r="N332" s="1">
        <v>22700</v>
      </c>
      <c r="O332" s="12">
        <v>24750</v>
      </c>
      <c r="P332" s="3" t="s">
        <v>46</v>
      </c>
      <c r="Q332" s="1" cm="1">
        <f t="array" ref="Q332">VALUE(INDEX(_xlfn.TEXTSPLIT(P332, " "), 4))</f>
        <v>2014</v>
      </c>
      <c r="R332" s="1" t="str">
        <f t="shared" si="5"/>
        <v>Infiniti G Sedan G37 Journey</v>
      </c>
      <c r="S332" s="1" t="str" cm="1">
        <f t="array" ref="S332">_xlfn.IFS(I332 &gt;= 40, "High", I332&gt;=20, "Medium", I332&lt;20, "Low")</f>
        <v>High</v>
      </c>
      <c r="T332" s="1" t="str" cm="1">
        <f t="array" ref="T332">_xlfn.IFS(O332&lt;18200, "Low", O332&lt;=50000, "Medium", O332&gt;50000, "High")</f>
        <v>Medium</v>
      </c>
    </row>
    <row r="333" spans="1:20" x14ac:dyDescent="0.25">
      <c r="A333" s="2">
        <v>2013</v>
      </c>
      <c r="B333" s="1" t="s">
        <v>98</v>
      </c>
      <c r="C333" s="1" t="s">
        <v>340</v>
      </c>
      <c r="D333" s="1">
        <v>3.8</v>
      </c>
      <c r="E333" s="1" t="s">
        <v>32</v>
      </c>
      <c r="F333" s="1" t="s">
        <v>20</v>
      </c>
      <c r="G333" s="1" t="s">
        <v>576</v>
      </c>
      <c r="H333" s="1" t="s">
        <v>22</v>
      </c>
      <c r="I333" s="1">
        <v>43</v>
      </c>
      <c r="J333" s="1">
        <v>11041</v>
      </c>
      <c r="K333" s="1" t="s">
        <v>24</v>
      </c>
      <c r="L333" s="1" t="s">
        <v>28</v>
      </c>
      <c r="M333" s="1" t="s">
        <v>350</v>
      </c>
      <c r="N333" s="1">
        <v>19800</v>
      </c>
      <c r="O333" s="12">
        <v>12500</v>
      </c>
      <c r="P333" s="3" t="s">
        <v>84</v>
      </c>
      <c r="Q333" s="1" cm="1">
        <f t="array" ref="Q333">VALUE(INDEX(_xlfn.TEXTSPLIT(P333, " "), 4))</f>
        <v>2014</v>
      </c>
      <c r="R333" s="1" t="str">
        <f t="shared" si="5"/>
        <v>Hyundai Genesis 3.8</v>
      </c>
      <c r="S333" s="1" t="str" cm="1">
        <f t="array" ref="S333">_xlfn.IFS(I333 &gt;= 40, "High", I333&gt;=20, "Medium", I333&lt;20, "Low")</f>
        <v>High</v>
      </c>
      <c r="T333" s="1" t="str" cm="1">
        <f t="array" ref="T333">_xlfn.IFS(O333&lt;18200, "Low", O333&lt;=50000, "Medium", O333&gt;50000, "High")</f>
        <v>Low</v>
      </c>
    </row>
    <row r="334" spans="1:20" x14ac:dyDescent="0.25">
      <c r="A334" s="2">
        <v>2013</v>
      </c>
      <c r="B334" s="1" t="s">
        <v>318</v>
      </c>
      <c r="C334" s="1" t="s">
        <v>323</v>
      </c>
      <c r="D334" s="1" t="s">
        <v>324</v>
      </c>
      <c r="E334" s="1" t="s">
        <v>323</v>
      </c>
      <c r="F334" s="1" t="s">
        <v>20</v>
      </c>
      <c r="G334" s="1" t="s">
        <v>577</v>
      </c>
      <c r="H334" s="1" t="s">
        <v>22</v>
      </c>
      <c r="I334" s="1">
        <v>44</v>
      </c>
      <c r="J334" s="1">
        <v>9535</v>
      </c>
      <c r="K334" s="1" t="s">
        <v>24</v>
      </c>
      <c r="L334" s="1" t="s">
        <v>24</v>
      </c>
      <c r="M334" s="1" t="s">
        <v>322</v>
      </c>
      <c r="N334" s="1">
        <v>24500</v>
      </c>
      <c r="O334" s="12">
        <v>25000</v>
      </c>
      <c r="P334" s="3" t="s">
        <v>46</v>
      </c>
      <c r="Q334" s="1" cm="1">
        <f t="array" ref="Q334">VALUE(INDEX(_xlfn.TEXTSPLIT(P334, " "), 4))</f>
        <v>2014</v>
      </c>
      <c r="R334" s="1" t="str">
        <f t="shared" si="5"/>
        <v>Infiniti G Sedan G37 Journey</v>
      </c>
      <c r="S334" s="1" t="str" cm="1">
        <f t="array" ref="S334">_xlfn.IFS(I334 &gt;= 40, "High", I334&gt;=20, "Medium", I334&lt;20, "Low")</f>
        <v>High</v>
      </c>
      <c r="T334" s="1" t="str" cm="1">
        <f t="array" ref="T334">_xlfn.IFS(O334&lt;18200, "Low", O334&lt;=50000, "Medium", O334&gt;50000, "High")</f>
        <v>Medium</v>
      </c>
    </row>
    <row r="335" spans="1:20" x14ac:dyDescent="0.25">
      <c r="A335" s="2">
        <v>2013</v>
      </c>
      <c r="B335" s="1" t="s">
        <v>98</v>
      </c>
      <c r="C335" s="1" t="s">
        <v>99</v>
      </c>
      <c r="D335" s="1" t="s">
        <v>348</v>
      </c>
      <c r="E335" s="1" t="s">
        <v>32</v>
      </c>
      <c r="F335" s="1" t="s">
        <v>20</v>
      </c>
      <c r="G335" s="1" t="s">
        <v>578</v>
      </c>
      <c r="H335" s="1" t="s">
        <v>22</v>
      </c>
      <c r="I335" s="1">
        <v>25</v>
      </c>
      <c r="J335" s="1">
        <v>40045</v>
      </c>
      <c r="K335" s="1" t="s">
        <v>23</v>
      </c>
      <c r="L335" s="1" t="s">
        <v>28</v>
      </c>
      <c r="M335" s="1" t="s">
        <v>182</v>
      </c>
      <c r="N335" s="1">
        <v>11900</v>
      </c>
      <c r="O335" s="12">
        <v>12300</v>
      </c>
      <c r="P335" s="3" t="s">
        <v>26</v>
      </c>
      <c r="Q335" s="1" cm="1">
        <f t="array" ref="Q335">VALUE(INDEX(_xlfn.TEXTSPLIT(P335, " "), 4))</f>
        <v>2014</v>
      </c>
      <c r="R335" s="1" t="str">
        <f t="shared" si="5"/>
        <v>Hyundai Sonata GLS</v>
      </c>
      <c r="S335" s="1" t="str" cm="1">
        <f t="array" ref="S335">_xlfn.IFS(I335 &gt;= 40, "High", I335&gt;=20, "Medium", I335&lt;20, "Low")</f>
        <v>Medium</v>
      </c>
      <c r="T335" s="1" t="str" cm="1">
        <f t="array" ref="T335">_xlfn.IFS(O335&lt;18200, "Low", O335&lt;=50000, "Medium", O335&gt;50000, "High")</f>
        <v>Low</v>
      </c>
    </row>
    <row r="336" spans="1:20" x14ac:dyDescent="0.25">
      <c r="A336" s="2">
        <v>2013</v>
      </c>
      <c r="B336" s="1" t="s">
        <v>318</v>
      </c>
      <c r="C336" s="1" t="s">
        <v>323</v>
      </c>
      <c r="D336" s="1" t="s">
        <v>324</v>
      </c>
      <c r="E336" s="1" t="s">
        <v>323</v>
      </c>
      <c r="F336" s="1" t="s">
        <v>20</v>
      </c>
      <c r="G336" s="1" t="s">
        <v>579</v>
      </c>
      <c r="H336" s="1" t="s">
        <v>22</v>
      </c>
      <c r="I336" s="1">
        <v>45</v>
      </c>
      <c r="J336" s="1">
        <v>23481</v>
      </c>
      <c r="K336" s="1" t="s">
        <v>23</v>
      </c>
      <c r="L336" s="1" t="s">
        <v>24</v>
      </c>
      <c r="M336" s="1" t="s">
        <v>322</v>
      </c>
      <c r="N336" s="1">
        <v>22800</v>
      </c>
      <c r="O336" s="12">
        <v>25750</v>
      </c>
      <c r="P336" s="3" t="s">
        <v>46</v>
      </c>
      <c r="Q336" s="1" cm="1">
        <f t="array" ref="Q336">VALUE(INDEX(_xlfn.TEXTSPLIT(P336, " "), 4))</f>
        <v>2014</v>
      </c>
      <c r="R336" s="1" t="str">
        <f t="shared" si="5"/>
        <v>Infiniti G Sedan G37 Journey</v>
      </c>
      <c r="S336" s="1" t="str" cm="1">
        <f t="array" ref="S336">_xlfn.IFS(I336 &gt;= 40, "High", I336&gt;=20, "Medium", I336&lt;20, "Low")</f>
        <v>High</v>
      </c>
      <c r="T336" s="1" t="str" cm="1">
        <f t="array" ref="T336">_xlfn.IFS(O336&lt;18200, "Low", O336&lt;=50000, "Medium", O336&gt;50000, "High")</f>
        <v>Medium</v>
      </c>
    </row>
    <row r="337" spans="1:20" x14ac:dyDescent="0.25">
      <c r="A337" s="2">
        <v>2013</v>
      </c>
      <c r="B337" s="1" t="s">
        <v>98</v>
      </c>
      <c r="C337" s="1" t="s">
        <v>99</v>
      </c>
      <c r="D337" s="1" t="s">
        <v>348</v>
      </c>
      <c r="E337" s="1" t="s">
        <v>32</v>
      </c>
      <c r="F337" s="1" t="s">
        <v>20</v>
      </c>
      <c r="G337" s="1" t="s">
        <v>580</v>
      </c>
      <c r="H337" s="1" t="s">
        <v>22</v>
      </c>
      <c r="I337" s="1">
        <v>33</v>
      </c>
      <c r="J337" s="1">
        <v>37499</v>
      </c>
      <c r="K337" s="1" t="s">
        <v>94</v>
      </c>
      <c r="L337" s="1" t="s">
        <v>34</v>
      </c>
      <c r="M337" s="1" t="s">
        <v>182</v>
      </c>
      <c r="N337" s="1">
        <v>12050</v>
      </c>
      <c r="O337" s="12">
        <v>12400</v>
      </c>
      <c r="P337" s="3" t="s">
        <v>26</v>
      </c>
      <c r="Q337" s="1" cm="1">
        <f t="array" ref="Q337">VALUE(INDEX(_xlfn.TEXTSPLIT(P337, " "), 4))</f>
        <v>2014</v>
      </c>
      <c r="R337" s="1" t="str">
        <f t="shared" si="5"/>
        <v>Hyundai Sonata GLS</v>
      </c>
      <c r="S337" s="1" t="str" cm="1">
        <f t="array" ref="S337">_xlfn.IFS(I337 &gt;= 40, "High", I337&gt;=20, "Medium", I337&lt;20, "Low")</f>
        <v>Medium</v>
      </c>
      <c r="T337" s="1" t="str" cm="1">
        <f t="array" ref="T337">_xlfn.IFS(O337&lt;18200, "Low", O337&lt;=50000, "Medium", O337&gt;50000, "High")</f>
        <v>Low</v>
      </c>
    </row>
    <row r="338" spans="1:20" x14ac:dyDescent="0.25">
      <c r="A338" s="2">
        <v>2013</v>
      </c>
      <c r="B338" s="1" t="s">
        <v>318</v>
      </c>
      <c r="C338" s="1" t="s">
        <v>323</v>
      </c>
      <c r="D338" s="1" t="s">
        <v>324</v>
      </c>
      <c r="E338" s="1" t="s">
        <v>323</v>
      </c>
      <c r="F338" s="1" t="s">
        <v>20</v>
      </c>
      <c r="G338" s="1" t="s">
        <v>581</v>
      </c>
      <c r="H338" s="1" t="s">
        <v>22</v>
      </c>
      <c r="I338" s="1">
        <v>43</v>
      </c>
      <c r="J338" s="1">
        <v>13273</v>
      </c>
      <c r="K338" s="1" t="s">
        <v>34</v>
      </c>
      <c r="L338" s="1" t="s">
        <v>34</v>
      </c>
      <c r="M338" s="1" t="s">
        <v>322</v>
      </c>
      <c r="N338" s="1">
        <v>24100</v>
      </c>
      <c r="O338" s="12">
        <v>25750</v>
      </c>
      <c r="P338" s="3" t="s">
        <v>46</v>
      </c>
      <c r="Q338" s="1" cm="1">
        <f t="array" ref="Q338">VALUE(INDEX(_xlfn.TEXTSPLIT(P338, " "), 4))</f>
        <v>2014</v>
      </c>
      <c r="R338" s="1" t="str">
        <f t="shared" si="5"/>
        <v>Infiniti G Sedan G37 Journey</v>
      </c>
      <c r="S338" s="1" t="str" cm="1">
        <f t="array" ref="S338">_xlfn.IFS(I338 &gt;= 40, "High", I338&gt;=20, "Medium", I338&lt;20, "Low")</f>
        <v>High</v>
      </c>
      <c r="T338" s="1" t="str" cm="1">
        <f t="array" ref="T338">_xlfn.IFS(O338&lt;18200, "Low", O338&lt;=50000, "Medium", O338&gt;50000, "High")</f>
        <v>Medium</v>
      </c>
    </row>
    <row r="339" spans="1:20" x14ac:dyDescent="0.25">
      <c r="A339" s="2">
        <v>2013</v>
      </c>
      <c r="B339" s="1" t="s">
        <v>98</v>
      </c>
      <c r="C339" s="1" t="s">
        <v>99</v>
      </c>
      <c r="D339" s="1" t="s">
        <v>348</v>
      </c>
      <c r="E339" s="1" t="s">
        <v>32</v>
      </c>
      <c r="F339" s="1" t="s">
        <v>20</v>
      </c>
      <c r="G339" s="1" t="s">
        <v>582</v>
      </c>
      <c r="H339" s="1" t="s">
        <v>22</v>
      </c>
      <c r="I339" s="1">
        <v>3</v>
      </c>
      <c r="J339" s="1">
        <v>37060</v>
      </c>
      <c r="K339" s="1" t="s">
        <v>94</v>
      </c>
      <c r="L339" s="1" t="s">
        <v>34</v>
      </c>
      <c r="M339" s="1" t="s">
        <v>51</v>
      </c>
      <c r="N339" s="1">
        <v>12350</v>
      </c>
      <c r="O339" s="12">
        <v>10100</v>
      </c>
      <c r="P339" s="3" t="s">
        <v>294</v>
      </c>
      <c r="Q339" s="1" cm="1">
        <f t="array" ref="Q339">VALUE(INDEX(_xlfn.TEXTSPLIT(P339, " "), 4))</f>
        <v>2014</v>
      </c>
      <c r="R339" s="1" t="str">
        <f t="shared" si="5"/>
        <v>Hyundai Sonata GLS</v>
      </c>
      <c r="S339" s="1" t="str" cm="1">
        <f t="array" ref="S339">_xlfn.IFS(I339 &gt;= 40, "High", I339&gt;=20, "Medium", I339&lt;20, "Low")</f>
        <v>Low</v>
      </c>
      <c r="T339" s="1" t="str" cm="1">
        <f t="array" ref="T339">_xlfn.IFS(O339&lt;18200, "Low", O339&lt;=50000, "Medium", O339&gt;50000, "High")</f>
        <v>Low</v>
      </c>
    </row>
    <row r="340" spans="1:20" x14ac:dyDescent="0.25">
      <c r="A340" s="2">
        <v>2013</v>
      </c>
      <c r="B340" s="1" t="s">
        <v>98</v>
      </c>
      <c r="C340" s="1" t="s">
        <v>336</v>
      </c>
      <c r="D340" s="1" t="s">
        <v>392</v>
      </c>
      <c r="E340" s="1" t="s">
        <v>19</v>
      </c>
      <c r="F340" s="1" t="s">
        <v>20</v>
      </c>
      <c r="G340" s="1" t="s">
        <v>583</v>
      </c>
      <c r="H340" s="1" t="s">
        <v>22</v>
      </c>
      <c r="I340" s="1">
        <v>5</v>
      </c>
      <c r="J340" s="1">
        <v>66</v>
      </c>
      <c r="K340" s="1" t="s">
        <v>91</v>
      </c>
      <c r="L340" s="1" t="s">
        <v>24</v>
      </c>
      <c r="M340" s="1" t="s">
        <v>343</v>
      </c>
      <c r="N340" s="1">
        <v>23100</v>
      </c>
      <c r="O340" s="12">
        <v>20800</v>
      </c>
      <c r="P340" s="3" t="s">
        <v>84</v>
      </c>
      <c r="Q340" s="1" cm="1">
        <f t="array" ref="Q340">VALUE(INDEX(_xlfn.TEXTSPLIT(P340, " "), 4))</f>
        <v>2014</v>
      </c>
      <c r="R340" s="1" t="str">
        <f t="shared" si="5"/>
        <v>Hyundai Santa Fe Sport 2.0T</v>
      </c>
      <c r="S340" s="1" t="str" cm="1">
        <f t="array" ref="S340">_xlfn.IFS(I340 &gt;= 40, "High", I340&gt;=20, "Medium", I340&lt;20, "Low")</f>
        <v>Low</v>
      </c>
      <c r="T340" s="1" t="str" cm="1">
        <f t="array" ref="T340">_xlfn.IFS(O340&lt;18200, "Low", O340&lt;=50000, "Medium", O340&gt;50000, "High")</f>
        <v>Medium</v>
      </c>
    </row>
    <row r="341" spans="1:20" x14ac:dyDescent="0.25">
      <c r="A341" s="2">
        <v>2013</v>
      </c>
      <c r="B341" s="1" t="s">
        <v>98</v>
      </c>
      <c r="C341" s="1" t="s">
        <v>398</v>
      </c>
      <c r="D341" s="1" t="s">
        <v>348</v>
      </c>
      <c r="E341" s="1" t="s">
        <v>32</v>
      </c>
      <c r="F341" s="1" t="s">
        <v>20</v>
      </c>
      <c r="G341" s="1" t="s">
        <v>584</v>
      </c>
      <c r="H341" s="1" t="s">
        <v>22</v>
      </c>
      <c r="I341" s="1">
        <v>2</v>
      </c>
      <c r="J341" s="1">
        <v>35828</v>
      </c>
      <c r="K341" s="1" t="s">
        <v>384</v>
      </c>
      <c r="L341" s="1" t="s">
        <v>28</v>
      </c>
      <c r="M341" s="1" t="s">
        <v>51</v>
      </c>
      <c r="N341" s="1">
        <v>9600</v>
      </c>
      <c r="O341" s="12">
        <v>6700</v>
      </c>
      <c r="P341" s="3" t="s">
        <v>62</v>
      </c>
      <c r="Q341" s="1" cm="1">
        <f t="array" ref="Q341">VALUE(INDEX(_xlfn.TEXTSPLIT(P341, " "), 4))</f>
        <v>2014</v>
      </c>
      <c r="R341" s="1" t="str">
        <f t="shared" si="5"/>
        <v>Hyundai Accent GLS</v>
      </c>
      <c r="S341" s="1" t="str" cm="1">
        <f t="array" ref="S341">_xlfn.IFS(I341 &gt;= 40, "High", I341&gt;=20, "Medium", I341&lt;20, "Low")</f>
        <v>Low</v>
      </c>
      <c r="T341" s="1" t="str" cm="1">
        <f t="array" ref="T341">_xlfn.IFS(O341&lt;18200, "Low", O341&lt;=50000, "Medium", O341&gt;50000, "High")</f>
        <v>Low</v>
      </c>
    </row>
    <row r="342" spans="1:20" x14ac:dyDescent="0.25">
      <c r="A342" s="2">
        <v>2013</v>
      </c>
      <c r="B342" s="1" t="s">
        <v>318</v>
      </c>
      <c r="C342" s="1" t="s">
        <v>323</v>
      </c>
      <c r="D342" s="1" t="s">
        <v>324</v>
      </c>
      <c r="E342" s="1" t="s">
        <v>323</v>
      </c>
      <c r="F342" s="1" t="s">
        <v>20</v>
      </c>
      <c r="G342" s="1" t="s">
        <v>585</v>
      </c>
      <c r="H342" s="1" t="s">
        <v>22</v>
      </c>
      <c r="I342" s="1">
        <v>42</v>
      </c>
      <c r="J342" s="1">
        <v>20408</v>
      </c>
      <c r="K342" s="1" t="s">
        <v>34</v>
      </c>
      <c r="L342" s="1" t="s">
        <v>24</v>
      </c>
      <c r="M342" s="1" t="s">
        <v>322</v>
      </c>
      <c r="N342" s="1">
        <v>23500</v>
      </c>
      <c r="O342" s="12">
        <v>24000</v>
      </c>
      <c r="P342" s="3" t="s">
        <v>57</v>
      </c>
      <c r="Q342" s="1" cm="1">
        <f t="array" ref="Q342">VALUE(INDEX(_xlfn.TEXTSPLIT(P342, " "), 4))</f>
        <v>2014</v>
      </c>
      <c r="R342" s="1" t="str">
        <f t="shared" si="5"/>
        <v>Infiniti G Sedan G37 Journey</v>
      </c>
      <c r="S342" s="1" t="str" cm="1">
        <f t="array" ref="S342">_xlfn.IFS(I342 &gt;= 40, "High", I342&gt;=20, "Medium", I342&lt;20, "Low")</f>
        <v>High</v>
      </c>
      <c r="T342" s="1" t="str" cm="1">
        <f t="array" ref="T342">_xlfn.IFS(O342&lt;18200, "Low", O342&lt;=50000, "Medium", O342&gt;50000, "High")</f>
        <v>Medium</v>
      </c>
    </row>
    <row r="343" spans="1:20" x14ac:dyDescent="0.25">
      <c r="A343" s="2">
        <v>2013</v>
      </c>
      <c r="B343" s="1" t="s">
        <v>98</v>
      </c>
      <c r="C343" s="1" t="s">
        <v>99</v>
      </c>
      <c r="D343" s="1" t="s">
        <v>348</v>
      </c>
      <c r="E343" s="1" t="s">
        <v>32</v>
      </c>
      <c r="F343" s="1" t="s">
        <v>20</v>
      </c>
      <c r="G343" s="1" t="s">
        <v>586</v>
      </c>
      <c r="H343" s="1" t="s">
        <v>22</v>
      </c>
      <c r="I343" s="1">
        <v>39</v>
      </c>
      <c r="J343" s="1">
        <v>36564</v>
      </c>
      <c r="K343" s="1" t="s">
        <v>101</v>
      </c>
      <c r="L343" s="1" t="s">
        <v>28</v>
      </c>
      <c r="M343" s="1" t="s">
        <v>350</v>
      </c>
      <c r="N343" s="1">
        <v>12450</v>
      </c>
      <c r="O343" s="12">
        <v>12400</v>
      </c>
      <c r="P343" s="3" t="s">
        <v>365</v>
      </c>
      <c r="Q343" s="1" cm="1">
        <f t="array" ref="Q343">VALUE(INDEX(_xlfn.TEXTSPLIT(P343, " "), 4))</f>
        <v>2015</v>
      </c>
      <c r="R343" s="1" t="str">
        <f t="shared" si="5"/>
        <v>Hyundai Sonata GLS</v>
      </c>
      <c r="S343" s="1" t="str" cm="1">
        <f t="array" ref="S343">_xlfn.IFS(I343 &gt;= 40, "High", I343&gt;=20, "Medium", I343&lt;20, "Low")</f>
        <v>Medium</v>
      </c>
      <c r="T343" s="1" t="str" cm="1">
        <f t="array" ref="T343">_xlfn.IFS(O343&lt;18200, "Low", O343&lt;=50000, "Medium", O343&gt;50000, "High")</f>
        <v>Low</v>
      </c>
    </row>
    <row r="344" spans="1:20" x14ac:dyDescent="0.25">
      <c r="A344" s="2">
        <v>2013</v>
      </c>
      <c r="B344" s="1" t="s">
        <v>318</v>
      </c>
      <c r="C344" s="1" t="s">
        <v>323</v>
      </c>
      <c r="D344" s="1" t="s">
        <v>324</v>
      </c>
      <c r="E344" s="1" t="s">
        <v>323</v>
      </c>
      <c r="F344" s="1" t="s">
        <v>20</v>
      </c>
      <c r="G344" s="1" t="s">
        <v>587</v>
      </c>
      <c r="H344" s="1" t="s">
        <v>22</v>
      </c>
      <c r="I344" s="1">
        <v>44</v>
      </c>
      <c r="J344" s="1">
        <v>16833</v>
      </c>
      <c r="K344" s="1" t="s">
        <v>34</v>
      </c>
      <c r="L344" s="1" t="s">
        <v>24</v>
      </c>
      <c r="M344" s="1" t="s">
        <v>322</v>
      </c>
      <c r="N344" s="1">
        <v>23600</v>
      </c>
      <c r="O344" s="12">
        <v>24750</v>
      </c>
      <c r="P344" s="3" t="s">
        <v>46</v>
      </c>
      <c r="Q344" s="1" cm="1">
        <f t="array" ref="Q344">VALUE(INDEX(_xlfn.TEXTSPLIT(P344, " "), 4))</f>
        <v>2014</v>
      </c>
      <c r="R344" s="1" t="str">
        <f t="shared" si="5"/>
        <v>Infiniti G Sedan G37 Journey</v>
      </c>
      <c r="S344" s="1" t="str" cm="1">
        <f t="array" ref="S344">_xlfn.IFS(I344 &gt;= 40, "High", I344&gt;=20, "Medium", I344&lt;20, "Low")</f>
        <v>High</v>
      </c>
      <c r="T344" s="1" t="str" cm="1">
        <f t="array" ref="T344">_xlfn.IFS(O344&lt;18200, "Low", O344&lt;=50000, "Medium", O344&gt;50000, "High")</f>
        <v>Medium</v>
      </c>
    </row>
    <row r="345" spans="1:20" x14ac:dyDescent="0.25">
      <c r="A345" s="2">
        <v>2013</v>
      </c>
      <c r="B345" s="1" t="s">
        <v>98</v>
      </c>
      <c r="C345" s="1" t="s">
        <v>219</v>
      </c>
      <c r="D345" s="1" t="s">
        <v>348</v>
      </c>
      <c r="E345" s="1" t="s">
        <v>32</v>
      </c>
      <c r="F345" s="1" t="s">
        <v>20</v>
      </c>
      <c r="G345" s="1" t="s">
        <v>588</v>
      </c>
      <c r="H345" s="1" t="s">
        <v>22</v>
      </c>
      <c r="I345" s="1">
        <v>36</v>
      </c>
      <c r="J345" s="1">
        <v>40079</v>
      </c>
      <c r="K345" s="1" t="s">
        <v>91</v>
      </c>
      <c r="L345" s="1" t="s">
        <v>101</v>
      </c>
      <c r="M345" s="1" t="s">
        <v>495</v>
      </c>
      <c r="N345" s="1">
        <v>11250</v>
      </c>
      <c r="O345" s="12">
        <v>11300</v>
      </c>
      <c r="P345" s="3" t="s">
        <v>270</v>
      </c>
      <c r="Q345" s="1" cm="1">
        <f t="array" ref="Q345">VALUE(INDEX(_xlfn.TEXTSPLIT(P345, " "), 4))</f>
        <v>2014</v>
      </c>
      <c r="R345" s="1" t="str">
        <f t="shared" si="5"/>
        <v>Hyundai Elantra GLS</v>
      </c>
      <c r="S345" s="1" t="str" cm="1">
        <f t="array" ref="S345">_xlfn.IFS(I345 &gt;= 40, "High", I345&gt;=20, "Medium", I345&lt;20, "Low")</f>
        <v>Medium</v>
      </c>
      <c r="T345" s="1" t="str" cm="1">
        <f t="array" ref="T345">_xlfn.IFS(O345&lt;18200, "Low", O345&lt;=50000, "Medium", O345&gt;50000, "High")</f>
        <v>Low</v>
      </c>
    </row>
    <row r="346" spans="1:20" x14ac:dyDescent="0.25">
      <c r="A346" s="2">
        <v>2013</v>
      </c>
      <c r="B346" s="1" t="s">
        <v>318</v>
      </c>
      <c r="C346" s="1" t="s">
        <v>319</v>
      </c>
      <c r="D346" s="1" t="s">
        <v>320</v>
      </c>
      <c r="E346" s="1" t="s">
        <v>319</v>
      </c>
      <c r="F346" s="1" t="s">
        <v>20</v>
      </c>
      <c r="G346" s="1" t="s">
        <v>589</v>
      </c>
      <c r="H346" s="1" t="s">
        <v>22</v>
      </c>
      <c r="I346" s="1">
        <v>45</v>
      </c>
      <c r="J346" s="1">
        <v>16219</v>
      </c>
      <c r="K346" s="1" t="s">
        <v>34</v>
      </c>
      <c r="L346" s="1" t="s">
        <v>24</v>
      </c>
      <c r="M346" s="1" t="s">
        <v>322</v>
      </c>
      <c r="N346" s="1">
        <v>25700</v>
      </c>
      <c r="O346" s="12">
        <v>26500</v>
      </c>
      <c r="P346" s="3" t="s">
        <v>26</v>
      </c>
      <c r="Q346" s="1" cm="1">
        <f t="array" ref="Q346">VALUE(INDEX(_xlfn.TEXTSPLIT(P346, " "), 4))</f>
        <v>2014</v>
      </c>
      <c r="R346" s="1" t="str">
        <f t="shared" si="5"/>
        <v>Infiniti G Coupe G37 Sport</v>
      </c>
      <c r="S346" s="1" t="str" cm="1">
        <f t="array" ref="S346">_xlfn.IFS(I346 &gt;= 40, "High", I346&gt;=20, "Medium", I346&lt;20, "Low")</f>
        <v>High</v>
      </c>
      <c r="T346" s="1" t="str" cm="1">
        <f t="array" ref="T346">_xlfn.IFS(O346&lt;18200, "Low", O346&lt;=50000, "Medium", O346&gt;50000, "High")</f>
        <v>Medium</v>
      </c>
    </row>
    <row r="347" spans="1:20" x14ac:dyDescent="0.25">
      <c r="A347" s="2">
        <v>2013</v>
      </c>
      <c r="B347" s="1" t="s">
        <v>318</v>
      </c>
      <c r="C347" s="1" t="s">
        <v>323</v>
      </c>
      <c r="D347" s="1" t="s">
        <v>324</v>
      </c>
      <c r="E347" s="1" t="s">
        <v>323</v>
      </c>
      <c r="F347" s="1" t="s">
        <v>20</v>
      </c>
      <c r="G347" s="1" t="s">
        <v>590</v>
      </c>
      <c r="H347" s="1" t="s">
        <v>22</v>
      </c>
      <c r="I347" s="1">
        <v>42</v>
      </c>
      <c r="J347" s="1">
        <v>20070</v>
      </c>
      <c r="K347" s="1" t="s">
        <v>34</v>
      </c>
      <c r="L347" s="1" t="s">
        <v>24</v>
      </c>
      <c r="M347" s="1" t="s">
        <v>322</v>
      </c>
      <c r="N347" s="1">
        <v>23300</v>
      </c>
      <c r="O347" s="12">
        <v>22000</v>
      </c>
      <c r="P347" s="3" t="s">
        <v>46</v>
      </c>
      <c r="Q347" s="1" cm="1">
        <f t="array" ref="Q347">VALUE(INDEX(_xlfn.TEXTSPLIT(P347, " "), 4))</f>
        <v>2014</v>
      </c>
      <c r="R347" s="1" t="str">
        <f t="shared" si="5"/>
        <v>Infiniti G Sedan G37 Journey</v>
      </c>
      <c r="S347" s="1" t="str" cm="1">
        <f t="array" ref="S347">_xlfn.IFS(I347 &gt;= 40, "High", I347&gt;=20, "Medium", I347&lt;20, "Low")</f>
        <v>High</v>
      </c>
      <c r="T347" s="1" t="str" cm="1">
        <f t="array" ref="T347">_xlfn.IFS(O347&lt;18200, "Low", O347&lt;=50000, "Medium", O347&gt;50000, "High")</f>
        <v>Medium</v>
      </c>
    </row>
    <row r="348" spans="1:20" x14ac:dyDescent="0.25">
      <c r="A348" s="2">
        <v>2013</v>
      </c>
      <c r="B348" s="1" t="s">
        <v>318</v>
      </c>
      <c r="C348" s="1" t="s">
        <v>323</v>
      </c>
      <c r="D348" s="1" t="s">
        <v>324</v>
      </c>
      <c r="E348" s="1" t="s">
        <v>323</v>
      </c>
      <c r="F348" s="1" t="s">
        <v>20</v>
      </c>
      <c r="G348" s="1" t="s">
        <v>591</v>
      </c>
      <c r="H348" s="1" t="s">
        <v>22</v>
      </c>
      <c r="I348" s="1">
        <v>39</v>
      </c>
      <c r="J348" s="1">
        <v>13632</v>
      </c>
      <c r="K348" s="1" t="s">
        <v>34</v>
      </c>
      <c r="L348" s="1" t="s">
        <v>34</v>
      </c>
      <c r="M348" s="1" t="s">
        <v>322</v>
      </c>
      <c r="N348" s="1">
        <v>24000</v>
      </c>
      <c r="O348" s="12">
        <v>22000</v>
      </c>
      <c r="P348" s="3" t="s">
        <v>46</v>
      </c>
      <c r="Q348" s="1" cm="1">
        <f t="array" ref="Q348">VALUE(INDEX(_xlfn.TEXTSPLIT(P348, " "), 4))</f>
        <v>2014</v>
      </c>
      <c r="R348" s="1" t="str">
        <f t="shared" si="5"/>
        <v>Infiniti G Sedan G37 Journey</v>
      </c>
      <c r="S348" s="1" t="str" cm="1">
        <f t="array" ref="S348">_xlfn.IFS(I348 &gt;= 40, "High", I348&gt;=20, "Medium", I348&lt;20, "Low")</f>
        <v>Medium</v>
      </c>
      <c r="T348" s="1" t="str" cm="1">
        <f t="array" ref="T348">_xlfn.IFS(O348&lt;18200, "Low", O348&lt;=50000, "Medium", O348&gt;50000, "High")</f>
        <v>Medium</v>
      </c>
    </row>
    <row r="349" spans="1:20" x14ac:dyDescent="0.25">
      <c r="A349" s="2">
        <v>2013</v>
      </c>
      <c r="B349" s="1" t="s">
        <v>318</v>
      </c>
      <c r="C349" s="1" t="s">
        <v>319</v>
      </c>
      <c r="D349" s="1" t="s">
        <v>320</v>
      </c>
      <c r="E349" s="1" t="s">
        <v>319</v>
      </c>
      <c r="F349" s="1" t="s">
        <v>20</v>
      </c>
      <c r="G349" s="1" t="s">
        <v>592</v>
      </c>
      <c r="H349" s="1" t="s">
        <v>22</v>
      </c>
      <c r="I349" s="1">
        <v>39</v>
      </c>
      <c r="J349" s="1">
        <v>6802</v>
      </c>
      <c r="K349" s="1" t="s">
        <v>23</v>
      </c>
      <c r="L349" s="1" t="s">
        <v>24</v>
      </c>
      <c r="M349" s="1" t="s">
        <v>322</v>
      </c>
      <c r="N349" s="1">
        <v>26900</v>
      </c>
      <c r="O349" s="12">
        <v>23250</v>
      </c>
      <c r="P349" s="3" t="s">
        <v>593</v>
      </c>
      <c r="Q349" s="1" cm="1">
        <f t="array" ref="Q349">VALUE(INDEX(_xlfn.TEXTSPLIT(P349, " "), 4))</f>
        <v>2015</v>
      </c>
      <c r="R349" s="1" t="str">
        <f t="shared" si="5"/>
        <v>Infiniti G Coupe G37 Sport</v>
      </c>
      <c r="S349" s="1" t="str" cm="1">
        <f t="array" ref="S349">_xlfn.IFS(I349 &gt;= 40, "High", I349&gt;=20, "Medium", I349&lt;20, "Low")</f>
        <v>Medium</v>
      </c>
      <c r="T349" s="1" t="str" cm="1">
        <f t="array" ref="T349">_xlfn.IFS(O349&lt;18200, "Low", O349&lt;=50000, "Medium", O349&gt;50000, "High")</f>
        <v>Medium</v>
      </c>
    </row>
    <row r="350" spans="1:20" x14ac:dyDescent="0.25">
      <c r="A350" s="2">
        <v>2013</v>
      </c>
      <c r="B350" s="1" t="s">
        <v>318</v>
      </c>
      <c r="C350" s="1" t="s">
        <v>323</v>
      </c>
      <c r="D350" s="1" t="s">
        <v>324</v>
      </c>
      <c r="E350" s="1" t="s">
        <v>323</v>
      </c>
      <c r="F350" s="1" t="s">
        <v>20</v>
      </c>
      <c r="G350" s="1" t="s">
        <v>594</v>
      </c>
      <c r="H350" s="1" t="s">
        <v>22</v>
      </c>
      <c r="I350" s="1">
        <v>42</v>
      </c>
      <c r="J350" s="1">
        <v>20432</v>
      </c>
      <c r="K350" s="1" t="s">
        <v>23</v>
      </c>
      <c r="L350" s="1" t="s">
        <v>24</v>
      </c>
      <c r="M350" s="1" t="s">
        <v>322</v>
      </c>
      <c r="N350" s="1">
        <v>23200</v>
      </c>
      <c r="O350" s="12">
        <v>24250</v>
      </c>
      <c r="P350" s="3" t="s">
        <v>46</v>
      </c>
      <c r="Q350" s="1" cm="1">
        <f t="array" ref="Q350">VALUE(INDEX(_xlfn.TEXTSPLIT(P350, " "), 4))</f>
        <v>2014</v>
      </c>
      <c r="R350" s="1" t="str">
        <f t="shared" si="5"/>
        <v>Infiniti G Sedan G37 Journey</v>
      </c>
      <c r="S350" s="1" t="str" cm="1">
        <f t="array" ref="S350">_xlfn.IFS(I350 &gt;= 40, "High", I350&gt;=20, "Medium", I350&lt;20, "Low")</f>
        <v>High</v>
      </c>
      <c r="T350" s="1" t="str" cm="1">
        <f t="array" ref="T350">_xlfn.IFS(O350&lt;18200, "Low", O350&lt;=50000, "Medium", O350&gt;50000, "High")</f>
        <v>Medium</v>
      </c>
    </row>
    <row r="351" spans="1:20" x14ac:dyDescent="0.25">
      <c r="A351" s="2">
        <v>2013</v>
      </c>
      <c r="B351" s="1" t="s">
        <v>98</v>
      </c>
      <c r="C351" s="1" t="s">
        <v>219</v>
      </c>
      <c r="D351" s="1" t="s">
        <v>348</v>
      </c>
      <c r="E351" s="1" t="s">
        <v>32</v>
      </c>
      <c r="F351" s="1" t="s">
        <v>20</v>
      </c>
      <c r="G351" s="1" t="s">
        <v>595</v>
      </c>
      <c r="H351" s="1" t="s">
        <v>22</v>
      </c>
      <c r="I351" s="1">
        <v>1</v>
      </c>
      <c r="J351" s="1">
        <v>24120</v>
      </c>
      <c r="K351" s="1" t="s">
        <v>132</v>
      </c>
      <c r="L351" s="1" t="s">
        <v>28</v>
      </c>
      <c r="M351" s="1" t="s">
        <v>350</v>
      </c>
      <c r="N351" s="1">
        <v>11950</v>
      </c>
      <c r="O351" s="12">
        <v>5200</v>
      </c>
      <c r="P351" s="3" t="s">
        <v>89</v>
      </c>
      <c r="Q351" s="1" cm="1">
        <f t="array" ref="Q351">VALUE(INDEX(_xlfn.TEXTSPLIT(P351, " "), 4))</f>
        <v>2015</v>
      </c>
      <c r="R351" s="1" t="str">
        <f t="shared" si="5"/>
        <v>Hyundai Elantra GLS</v>
      </c>
      <c r="S351" s="1" t="str" cm="1">
        <f t="array" ref="S351">_xlfn.IFS(I351 &gt;= 40, "High", I351&gt;=20, "Medium", I351&lt;20, "Low")</f>
        <v>Low</v>
      </c>
      <c r="T351" s="1" t="str" cm="1">
        <f t="array" ref="T351">_xlfn.IFS(O351&lt;18200, "Low", O351&lt;=50000, "Medium", O351&gt;50000, "High")</f>
        <v>Low</v>
      </c>
    </row>
    <row r="352" spans="1:20" x14ac:dyDescent="0.25">
      <c r="A352" s="2">
        <v>2013</v>
      </c>
      <c r="B352" s="1" t="s">
        <v>318</v>
      </c>
      <c r="C352" s="1" t="s">
        <v>323</v>
      </c>
      <c r="D352" s="1" t="s">
        <v>324</v>
      </c>
      <c r="E352" s="1" t="s">
        <v>323</v>
      </c>
      <c r="F352" s="1" t="s">
        <v>20</v>
      </c>
      <c r="G352" s="1" t="s">
        <v>596</v>
      </c>
      <c r="H352" s="1" t="s">
        <v>22</v>
      </c>
      <c r="I352" s="1">
        <v>47</v>
      </c>
      <c r="J352" s="1">
        <v>17203</v>
      </c>
      <c r="K352" s="1" t="s">
        <v>101</v>
      </c>
      <c r="L352" s="1" t="s">
        <v>28</v>
      </c>
      <c r="M352" s="1" t="s">
        <v>322</v>
      </c>
      <c r="N352" s="1">
        <v>23900</v>
      </c>
      <c r="O352" s="12">
        <v>24750</v>
      </c>
      <c r="P352" s="3" t="s">
        <v>57</v>
      </c>
      <c r="Q352" s="1" cm="1">
        <f t="array" ref="Q352">VALUE(INDEX(_xlfn.TEXTSPLIT(P352, " "), 4))</f>
        <v>2014</v>
      </c>
      <c r="R352" s="1" t="str">
        <f t="shared" si="5"/>
        <v>Infiniti G Sedan G37 Journey</v>
      </c>
      <c r="S352" s="1" t="str" cm="1">
        <f t="array" ref="S352">_xlfn.IFS(I352 &gt;= 40, "High", I352&gt;=20, "Medium", I352&lt;20, "Low")</f>
        <v>High</v>
      </c>
      <c r="T352" s="1" t="str" cm="1">
        <f t="array" ref="T352">_xlfn.IFS(O352&lt;18200, "Low", O352&lt;=50000, "Medium", O352&gt;50000, "High")</f>
        <v>Medium</v>
      </c>
    </row>
    <row r="353" spans="1:20" x14ac:dyDescent="0.25">
      <c r="A353" s="2">
        <v>2013</v>
      </c>
      <c r="B353" s="1" t="s">
        <v>98</v>
      </c>
      <c r="C353" s="1" t="s">
        <v>99</v>
      </c>
      <c r="D353" s="1" t="s">
        <v>87</v>
      </c>
      <c r="E353" s="1" t="s">
        <v>32</v>
      </c>
      <c r="F353" s="1" t="s">
        <v>20</v>
      </c>
      <c r="G353" s="1" t="s">
        <v>597</v>
      </c>
      <c r="H353" s="1" t="s">
        <v>22</v>
      </c>
      <c r="I353" s="1">
        <v>48</v>
      </c>
      <c r="J353" s="1">
        <v>10241</v>
      </c>
      <c r="K353" s="1" t="s">
        <v>94</v>
      </c>
      <c r="L353" s="1" t="s">
        <v>34</v>
      </c>
      <c r="M353" s="1" t="s">
        <v>343</v>
      </c>
      <c r="N353" s="1">
        <v>15100</v>
      </c>
      <c r="O353" s="12">
        <v>16900</v>
      </c>
      <c r="P353" s="3" t="s">
        <v>84</v>
      </c>
      <c r="Q353" s="1" cm="1">
        <f t="array" ref="Q353">VALUE(INDEX(_xlfn.TEXTSPLIT(P353, " "), 4))</f>
        <v>2014</v>
      </c>
      <c r="R353" s="1" t="str">
        <f t="shared" si="5"/>
        <v>Hyundai Sonata SE</v>
      </c>
      <c r="S353" s="1" t="str" cm="1">
        <f t="array" ref="S353">_xlfn.IFS(I353 &gt;= 40, "High", I353&gt;=20, "Medium", I353&lt;20, "Low")</f>
        <v>High</v>
      </c>
      <c r="T353" s="1" t="str" cm="1">
        <f t="array" ref="T353">_xlfn.IFS(O353&lt;18200, "Low", O353&lt;=50000, "Medium", O353&gt;50000, "High")</f>
        <v>Low</v>
      </c>
    </row>
    <row r="354" spans="1:20" x14ac:dyDescent="0.25">
      <c r="A354" s="2">
        <v>2013</v>
      </c>
      <c r="B354" s="1" t="s">
        <v>98</v>
      </c>
      <c r="C354" s="1" t="s">
        <v>219</v>
      </c>
      <c r="D354" s="1" t="s">
        <v>348</v>
      </c>
      <c r="E354" s="1" t="s">
        <v>32</v>
      </c>
      <c r="F354" s="1" t="s">
        <v>20</v>
      </c>
      <c r="G354" s="1" t="s">
        <v>598</v>
      </c>
      <c r="H354" s="1" t="s">
        <v>22</v>
      </c>
      <c r="I354" s="1">
        <v>1</v>
      </c>
      <c r="J354" s="1">
        <v>41710</v>
      </c>
      <c r="K354" s="1" t="s">
        <v>34</v>
      </c>
      <c r="L354" s="1" t="s">
        <v>34</v>
      </c>
      <c r="M354" s="1" t="s">
        <v>51</v>
      </c>
      <c r="N354" s="1">
        <v>11150</v>
      </c>
      <c r="O354" s="12">
        <v>7700</v>
      </c>
      <c r="P354" s="3" t="s">
        <v>84</v>
      </c>
      <c r="Q354" s="1" cm="1">
        <f t="array" ref="Q354">VALUE(INDEX(_xlfn.TEXTSPLIT(P354, " "), 4))</f>
        <v>2014</v>
      </c>
      <c r="R354" s="1" t="str">
        <f t="shared" si="5"/>
        <v>Hyundai Elantra GLS</v>
      </c>
      <c r="S354" s="1" t="str" cm="1">
        <f t="array" ref="S354">_xlfn.IFS(I354 &gt;= 40, "High", I354&gt;=20, "Medium", I354&lt;20, "Low")</f>
        <v>Low</v>
      </c>
      <c r="T354" s="1" t="str" cm="1">
        <f t="array" ref="T354">_xlfn.IFS(O354&lt;18200, "Low", O354&lt;=50000, "Medium", O354&gt;50000, "High")</f>
        <v>Low</v>
      </c>
    </row>
    <row r="355" spans="1:20" x14ac:dyDescent="0.25">
      <c r="A355" s="2">
        <v>2013</v>
      </c>
      <c r="B355" s="1" t="s">
        <v>98</v>
      </c>
      <c r="C355" s="1" t="s">
        <v>99</v>
      </c>
      <c r="D355" s="1" t="s">
        <v>348</v>
      </c>
      <c r="E355" s="1" t="s">
        <v>32</v>
      </c>
      <c r="F355" s="1" t="s">
        <v>20</v>
      </c>
      <c r="G355" s="1" t="s">
        <v>599</v>
      </c>
      <c r="H355" s="1" t="s">
        <v>22</v>
      </c>
      <c r="I355" s="1">
        <v>39</v>
      </c>
      <c r="J355" s="1">
        <v>25895</v>
      </c>
      <c r="K355" s="1" t="s">
        <v>23</v>
      </c>
      <c r="L355" s="1" t="s">
        <v>28</v>
      </c>
      <c r="M355" s="1" t="s">
        <v>555</v>
      </c>
      <c r="N355" s="1">
        <v>12850</v>
      </c>
      <c r="O355" s="12">
        <v>12900</v>
      </c>
      <c r="P355" s="3" t="s">
        <v>68</v>
      </c>
      <c r="Q355" s="1" cm="1">
        <f t="array" ref="Q355">VALUE(INDEX(_xlfn.TEXTSPLIT(P355, " "), 4))</f>
        <v>2014</v>
      </c>
      <c r="R355" s="1" t="str">
        <f t="shared" si="5"/>
        <v>Hyundai Sonata GLS</v>
      </c>
      <c r="S355" s="1" t="str" cm="1">
        <f t="array" ref="S355">_xlfn.IFS(I355 &gt;= 40, "High", I355&gt;=20, "Medium", I355&lt;20, "Low")</f>
        <v>Medium</v>
      </c>
      <c r="T355" s="1" t="str" cm="1">
        <f t="array" ref="T355">_xlfn.IFS(O355&lt;18200, "Low", O355&lt;=50000, "Medium", O355&gt;50000, "High")</f>
        <v>Low</v>
      </c>
    </row>
    <row r="356" spans="1:20" x14ac:dyDescent="0.25">
      <c r="A356" s="2">
        <v>2013</v>
      </c>
      <c r="B356" s="1" t="s">
        <v>600</v>
      </c>
      <c r="C356" s="1" t="s">
        <v>601</v>
      </c>
      <c r="D356" s="1" t="s">
        <v>602</v>
      </c>
      <c r="E356" s="1" t="s">
        <v>19</v>
      </c>
      <c r="F356" s="1" t="s">
        <v>214</v>
      </c>
      <c r="G356" s="1" t="s">
        <v>603</v>
      </c>
      <c r="H356" s="1" t="s">
        <v>22</v>
      </c>
      <c r="I356" s="1">
        <v>47</v>
      </c>
      <c r="J356" s="1">
        <v>9153</v>
      </c>
      <c r="K356" s="1" t="s">
        <v>73</v>
      </c>
      <c r="L356" s="1" t="s">
        <v>34</v>
      </c>
      <c r="M356" s="1" t="s">
        <v>604</v>
      </c>
      <c r="N356" s="1">
        <v>34300</v>
      </c>
      <c r="O356" s="12">
        <v>35250</v>
      </c>
      <c r="P356" s="3" t="s">
        <v>26</v>
      </c>
      <c r="Q356" s="1" cm="1">
        <f t="array" ref="Q356">VALUE(INDEX(_xlfn.TEXTSPLIT(P356, " "), 4))</f>
        <v>2014</v>
      </c>
      <c r="R356" s="1" t="str">
        <f t="shared" si="5"/>
        <v>Jeep Wrangler Unlimited Rubicon</v>
      </c>
      <c r="S356" s="1" t="str" cm="1">
        <f t="array" ref="S356">_xlfn.IFS(I356 &gt;= 40, "High", I356&gt;=20, "Medium", I356&lt;20, "Low")</f>
        <v>High</v>
      </c>
      <c r="T356" s="1" t="str" cm="1">
        <f t="array" ref="T356">_xlfn.IFS(O356&lt;18200, "Low", O356&lt;=50000, "Medium", O356&gt;50000, "High")</f>
        <v>Medium</v>
      </c>
    </row>
    <row r="357" spans="1:20" x14ac:dyDescent="0.25">
      <c r="A357" s="2">
        <v>2013</v>
      </c>
      <c r="B357" s="1" t="s">
        <v>16</v>
      </c>
      <c r="C357" s="1" t="s">
        <v>80</v>
      </c>
      <c r="D357" s="1" t="s">
        <v>605</v>
      </c>
      <c r="E357" s="1" t="s">
        <v>32</v>
      </c>
      <c r="F357" s="1" t="s">
        <v>20</v>
      </c>
      <c r="G357" s="1" t="s">
        <v>606</v>
      </c>
      <c r="H357" s="1" t="s">
        <v>22</v>
      </c>
      <c r="I357" s="1">
        <v>44</v>
      </c>
      <c r="J357" s="1">
        <v>16045</v>
      </c>
      <c r="K357" s="1" t="s">
        <v>23</v>
      </c>
      <c r="L357" s="1" t="s">
        <v>28</v>
      </c>
      <c r="M357" s="1" t="s">
        <v>25</v>
      </c>
      <c r="N357" s="1">
        <v>16000</v>
      </c>
      <c r="O357" s="12">
        <v>16800</v>
      </c>
      <c r="P357" s="3" t="s">
        <v>26</v>
      </c>
      <c r="Q357" s="1" cm="1">
        <f t="array" ref="Q357">VALUE(INDEX(_xlfn.TEXTSPLIT(P357, " "), 4))</f>
        <v>2014</v>
      </c>
      <c r="R357" s="1" t="str">
        <f t="shared" si="5"/>
        <v>Kia Optima EX Hybrid</v>
      </c>
      <c r="S357" s="1" t="str" cm="1">
        <f t="array" ref="S357">_xlfn.IFS(I357 &gt;= 40, "High", I357&gt;=20, "Medium", I357&lt;20, "Low")</f>
        <v>High</v>
      </c>
      <c r="T357" s="1" t="str" cm="1">
        <f t="array" ref="T357">_xlfn.IFS(O357&lt;18200, "Low", O357&lt;=50000, "Medium", O357&gt;50000, "High")</f>
        <v>Low</v>
      </c>
    </row>
    <row r="358" spans="1:20" x14ac:dyDescent="0.25">
      <c r="A358" s="2">
        <v>2013</v>
      </c>
      <c r="B358" s="1" t="s">
        <v>47</v>
      </c>
      <c r="C358" s="1" t="s">
        <v>48</v>
      </c>
      <c r="D358" s="1">
        <v>2.5</v>
      </c>
      <c r="E358" s="1" t="s">
        <v>32</v>
      </c>
      <c r="F358" s="1" t="s">
        <v>20</v>
      </c>
      <c r="G358" s="1" t="s">
        <v>607</v>
      </c>
      <c r="H358" s="1" t="s">
        <v>22</v>
      </c>
      <c r="I358" s="1">
        <v>36</v>
      </c>
      <c r="J358" s="1">
        <v>37136</v>
      </c>
      <c r="K358" s="1" t="s">
        <v>73</v>
      </c>
      <c r="L358" s="1" t="s">
        <v>28</v>
      </c>
      <c r="M358" s="1" t="s">
        <v>182</v>
      </c>
      <c r="N358" s="1">
        <v>12900</v>
      </c>
      <c r="O358" s="12">
        <v>13800</v>
      </c>
      <c r="P358" s="3" t="s">
        <v>26</v>
      </c>
      <c r="Q358" s="1" cm="1">
        <f t="array" ref="Q358">VALUE(INDEX(_xlfn.TEXTSPLIT(P358, " "), 4))</f>
        <v>2014</v>
      </c>
      <c r="R358" s="1" t="str">
        <f t="shared" si="5"/>
        <v>Nissan Altima 2.5</v>
      </c>
      <c r="S358" s="1" t="str" cm="1">
        <f t="array" ref="S358">_xlfn.IFS(I358 &gt;= 40, "High", I358&gt;=20, "Medium", I358&lt;20, "Low")</f>
        <v>Medium</v>
      </c>
      <c r="T358" s="1" t="str" cm="1">
        <f t="array" ref="T358">_xlfn.IFS(O358&lt;18200, "Low", O358&lt;=50000, "Medium", O358&gt;50000, "High")</f>
        <v>Low</v>
      </c>
    </row>
    <row r="359" spans="1:20" x14ac:dyDescent="0.25">
      <c r="A359" s="2">
        <v>2013</v>
      </c>
      <c r="B359" s="1" t="s">
        <v>608</v>
      </c>
      <c r="C359" s="1" t="s">
        <v>609</v>
      </c>
      <c r="D359" s="1" t="s">
        <v>610</v>
      </c>
      <c r="E359" s="1" t="s">
        <v>32</v>
      </c>
      <c r="F359" s="1" t="s">
        <v>20</v>
      </c>
      <c r="G359" s="1" t="s">
        <v>611</v>
      </c>
      <c r="H359" s="1" t="s">
        <v>22</v>
      </c>
      <c r="I359" s="1">
        <v>36</v>
      </c>
      <c r="J359" s="1">
        <v>4811</v>
      </c>
      <c r="K359" s="1" t="s">
        <v>24</v>
      </c>
      <c r="L359" s="1" t="s">
        <v>24</v>
      </c>
      <c r="M359" s="1" t="s">
        <v>612</v>
      </c>
      <c r="N359" s="1">
        <v>55100</v>
      </c>
      <c r="O359" s="12">
        <v>45500</v>
      </c>
      <c r="P359" s="3" t="s">
        <v>42</v>
      </c>
      <c r="Q359" s="1" cm="1">
        <f t="array" ref="Q359">VALUE(INDEX(_xlfn.TEXTSPLIT(P359, " "), 4))</f>
        <v>2015</v>
      </c>
      <c r="R359" s="1" t="str">
        <f t="shared" si="5"/>
        <v>Mercedes-Benz S-Class S550</v>
      </c>
      <c r="S359" s="1" t="str" cm="1">
        <f t="array" ref="S359">_xlfn.IFS(I359 &gt;= 40, "High", I359&gt;=20, "Medium", I359&lt;20, "Low")</f>
        <v>Medium</v>
      </c>
      <c r="T359" s="1" t="str" cm="1">
        <f t="array" ref="T359">_xlfn.IFS(O359&lt;18200, "Low", O359&lt;=50000, "Medium", O359&gt;50000, "High")</f>
        <v>Medium</v>
      </c>
    </row>
    <row r="360" spans="1:20" x14ac:dyDescent="0.25">
      <c r="A360" s="2">
        <v>2013</v>
      </c>
      <c r="B360" s="1" t="s">
        <v>47</v>
      </c>
      <c r="C360" s="1" t="s">
        <v>48</v>
      </c>
      <c r="D360" s="1">
        <v>2.5</v>
      </c>
      <c r="E360" s="1" t="s">
        <v>32</v>
      </c>
      <c r="F360" s="1" t="s">
        <v>20</v>
      </c>
      <c r="G360" s="1" t="s">
        <v>613</v>
      </c>
      <c r="H360" s="1" t="s">
        <v>22</v>
      </c>
      <c r="I360" s="1">
        <v>32</v>
      </c>
      <c r="J360" s="1">
        <v>62381</v>
      </c>
      <c r="K360" s="1" t="s">
        <v>24</v>
      </c>
      <c r="L360" s="1" t="s">
        <v>24</v>
      </c>
      <c r="M360" s="1" t="s">
        <v>56</v>
      </c>
      <c r="N360" s="1">
        <v>11700</v>
      </c>
      <c r="O360" s="12">
        <v>11900</v>
      </c>
      <c r="P360" s="3" t="s">
        <v>26</v>
      </c>
      <c r="Q360" s="1" cm="1">
        <f t="array" ref="Q360">VALUE(INDEX(_xlfn.TEXTSPLIT(P360, " "), 4))</f>
        <v>2014</v>
      </c>
      <c r="R360" s="1" t="str">
        <f t="shared" si="5"/>
        <v>Nissan Altima 2.5</v>
      </c>
      <c r="S360" s="1" t="str" cm="1">
        <f t="array" ref="S360">_xlfn.IFS(I360 &gt;= 40, "High", I360&gt;=20, "Medium", I360&lt;20, "Low")</f>
        <v>Medium</v>
      </c>
      <c r="T360" s="1" t="str" cm="1">
        <f t="array" ref="T360">_xlfn.IFS(O360&lt;18200, "Low", O360&lt;=50000, "Medium", O360&gt;50000, "High")</f>
        <v>Low</v>
      </c>
    </row>
    <row r="361" spans="1:20" x14ac:dyDescent="0.25">
      <c r="A361" s="2">
        <v>2013</v>
      </c>
      <c r="B361" s="1" t="s">
        <v>202</v>
      </c>
      <c r="C361" s="1" t="s">
        <v>614</v>
      </c>
      <c r="D361" s="1" t="s">
        <v>54</v>
      </c>
      <c r="E361" s="1" t="s">
        <v>32</v>
      </c>
      <c r="F361" s="1" t="s">
        <v>20</v>
      </c>
      <c r="G361" s="1" t="s">
        <v>615</v>
      </c>
      <c r="H361" s="1" t="s">
        <v>22</v>
      </c>
      <c r="I361" s="1">
        <v>36</v>
      </c>
      <c r="J361" s="1">
        <v>39590</v>
      </c>
      <c r="K361" s="1" t="s">
        <v>23</v>
      </c>
      <c r="L361" s="1" t="s">
        <v>23</v>
      </c>
      <c r="M361" s="1" t="s">
        <v>205</v>
      </c>
      <c r="N361" s="1">
        <v>32100</v>
      </c>
      <c r="O361" s="12">
        <v>32100</v>
      </c>
      <c r="P361" s="3" t="s">
        <v>57</v>
      </c>
      <c r="Q361" s="1" cm="1">
        <f t="array" ref="Q361">VALUE(INDEX(_xlfn.TEXTSPLIT(P361, " "), 4))</f>
        <v>2014</v>
      </c>
      <c r="R361" s="1" t="str">
        <f t="shared" si="5"/>
        <v>Lexus GS 350 Base</v>
      </c>
      <c r="S361" s="1" t="str" cm="1">
        <f t="array" ref="S361">_xlfn.IFS(I361 &gt;= 40, "High", I361&gt;=20, "Medium", I361&lt;20, "Low")</f>
        <v>Medium</v>
      </c>
      <c r="T361" s="1" t="str" cm="1">
        <f t="array" ref="T361">_xlfn.IFS(O361&lt;18200, "Low", O361&lt;=50000, "Medium", O361&gt;50000, "High")</f>
        <v>Medium</v>
      </c>
    </row>
    <row r="362" spans="1:20" x14ac:dyDescent="0.25">
      <c r="A362" s="2">
        <v>2013</v>
      </c>
      <c r="B362" s="1" t="s">
        <v>616</v>
      </c>
      <c r="C362" s="1" t="s">
        <v>617</v>
      </c>
      <c r="D362" s="1" t="s">
        <v>87</v>
      </c>
      <c r="E362" s="1" t="s">
        <v>19</v>
      </c>
      <c r="F362" s="1" t="s">
        <v>20</v>
      </c>
      <c r="G362" s="1" t="s">
        <v>618</v>
      </c>
      <c r="H362" s="1" t="s">
        <v>22</v>
      </c>
      <c r="I362" s="1">
        <v>39</v>
      </c>
      <c r="J362" s="1">
        <v>36071</v>
      </c>
      <c r="K362" s="1" t="s">
        <v>91</v>
      </c>
      <c r="L362" s="1" t="s">
        <v>24</v>
      </c>
      <c r="M362" s="1" t="s">
        <v>95</v>
      </c>
      <c r="N362" s="1">
        <v>14750</v>
      </c>
      <c r="O362" s="12">
        <v>15000</v>
      </c>
      <c r="P362" s="3" t="s">
        <v>459</v>
      </c>
      <c r="Q362" s="1" cm="1">
        <f t="array" ref="Q362">VALUE(INDEX(_xlfn.TEXTSPLIT(P362, " "), 4))</f>
        <v>2014</v>
      </c>
      <c r="R362" s="1" t="str">
        <f t="shared" si="5"/>
        <v>Mitsubishi Outlander SE</v>
      </c>
      <c r="S362" s="1" t="str" cm="1">
        <f t="array" ref="S362">_xlfn.IFS(I362 &gt;= 40, "High", I362&gt;=20, "Medium", I362&lt;20, "Low")</f>
        <v>Medium</v>
      </c>
      <c r="T362" s="1" t="str" cm="1">
        <f t="array" ref="T362">_xlfn.IFS(O362&lt;18200, "Low", O362&lt;=50000, "Medium", O362&gt;50000, "High")</f>
        <v>Low</v>
      </c>
    </row>
    <row r="363" spans="1:20" x14ac:dyDescent="0.25">
      <c r="A363" s="2">
        <v>2013</v>
      </c>
      <c r="B363" s="1" t="s">
        <v>16</v>
      </c>
      <c r="C363" s="1" t="s">
        <v>80</v>
      </c>
      <c r="D363" s="1" t="s">
        <v>605</v>
      </c>
      <c r="E363" s="1" t="s">
        <v>32</v>
      </c>
      <c r="F363" s="1" t="s">
        <v>20</v>
      </c>
      <c r="G363" s="1" t="s">
        <v>619</v>
      </c>
      <c r="H363" s="1" t="s">
        <v>22</v>
      </c>
      <c r="I363" s="1">
        <v>46</v>
      </c>
      <c r="J363" s="1">
        <v>11757</v>
      </c>
      <c r="K363" s="1" t="s">
        <v>24</v>
      </c>
      <c r="L363" s="1" t="s">
        <v>24</v>
      </c>
      <c r="M363" s="1" t="s">
        <v>25</v>
      </c>
      <c r="N363" s="1">
        <v>16050</v>
      </c>
      <c r="O363" s="12">
        <v>16500</v>
      </c>
      <c r="P363" s="3" t="s">
        <v>26</v>
      </c>
      <c r="Q363" s="1" cm="1">
        <f t="array" ref="Q363">VALUE(INDEX(_xlfn.TEXTSPLIT(P363, " "), 4))</f>
        <v>2014</v>
      </c>
      <c r="R363" s="1" t="str">
        <f t="shared" si="5"/>
        <v>Kia Optima EX Hybrid</v>
      </c>
      <c r="S363" s="1" t="str" cm="1">
        <f t="array" ref="S363">_xlfn.IFS(I363 &gt;= 40, "High", I363&gt;=20, "Medium", I363&lt;20, "Low")</f>
        <v>High</v>
      </c>
      <c r="T363" s="1" t="str" cm="1">
        <f t="array" ref="T363">_xlfn.IFS(O363&lt;18200, "Low", O363&lt;=50000, "Medium", O363&gt;50000, "High")</f>
        <v>Low</v>
      </c>
    </row>
    <row r="364" spans="1:20" x14ac:dyDescent="0.25">
      <c r="A364" s="2">
        <v>2013</v>
      </c>
      <c r="B364" s="1" t="s">
        <v>608</v>
      </c>
      <c r="C364" s="1" t="s">
        <v>620</v>
      </c>
      <c r="D364" s="1" t="s">
        <v>621</v>
      </c>
      <c r="E364" s="1" t="s">
        <v>107</v>
      </c>
      <c r="F364" s="1" t="s">
        <v>20</v>
      </c>
      <c r="G364" s="1" t="s">
        <v>622</v>
      </c>
      <c r="H364" s="1" t="s">
        <v>22</v>
      </c>
      <c r="I364" s="1">
        <v>42</v>
      </c>
      <c r="J364" s="1">
        <v>20705</v>
      </c>
      <c r="K364" s="1" t="s">
        <v>101</v>
      </c>
      <c r="L364" s="1" t="s">
        <v>24</v>
      </c>
      <c r="M364" s="1" t="s">
        <v>612</v>
      </c>
      <c r="N364" s="1">
        <v>26700</v>
      </c>
      <c r="O364" s="12">
        <v>25750</v>
      </c>
      <c r="P364" s="3" t="s">
        <v>46</v>
      </c>
      <c r="Q364" s="1" cm="1">
        <f t="array" ref="Q364">VALUE(INDEX(_xlfn.TEXTSPLIT(P364, " "), 4))</f>
        <v>2014</v>
      </c>
      <c r="R364" s="1" t="str">
        <f t="shared" si="5"/>
        <v>Mercedes-Benz C-Class C250</v>
      </c>
      <c r="S364" s="1" t="str" cm="1">
        <f t="array" ref="S364">_xlfn.IFS(I364 &gt;= 40, "High", I364&gt;=20, "Medium", I364&lt;20, "Low")</f>
        <v>High</v>
      </c>
      <c r="T364" s="1" t="str" cm="1">
        <f t="array" ref="T364">_xlfn.IFS(O364&lt;18200, "Low", O364&lt;=50000, "Medium", O364&gt;50000, "High")</f>
        <v>Medium</v>
      </c>
    </row>
    <row r="365" spans="1:20" x14ac:dyDescent="0.25">
      <c r="A365" s="2">
        <v>2013</v>
      </c>
      <c r="B365" s="1" t="s">
        <v>16</v>
      </c>
      <c r="C365" s="1" t="s">
        <v>80</v>
      </c>
      <c r="D365" s="1" t="s">
        <v>623</v>
      </c>
      <c r="E365" s="1" t="s">
        <v>32</v>
      </c>
      <c r="F365" s="1" t="s">
        <v>20</v>
      </c>
      <c r="G365" s="1" t="s">
        <v>624</v>
      </c>
      <c r="H365" s="1" t="s">
        <v>22</v>
      </c>
      <c r="I365" s="1">
        <v>44</v>
      </c>
      <c r="J365" s="1">
        <v>24131</v>
      </c>
      <c r="K365" s="1" t="s">
        <v>24</v>
      </c>
      <c r="L365" s="1" t="s">
        <v>24</v>
      </c>
      <c r="M365" s="1" t="s">
        <v>625</v>
      </c>
      <c r="N365" s="1">
        <v>21200</v>
      </c>
      <c r="O365" s="12">
        <v>21250</v>
      </c>
      <c r="P365" s="3" t="s">
        <v>362</v>
      </c>
      <c r="Q365" s="1" cm="1">
        <f t="array" ref="Q365">VALUE(INDEX(_xlfn.TEXTSPLIT(P365, " "), 4))</f>
        <v>2014</v>
      </c>
      <c r="R365" s="1" t="str">
        <f t="shared" si="5"/>
        <v>Kia Optima SX</v>
      </c>
      <c r="S365" s="1" t="str" cm="1">
        <f t="array" ref="S365">_xlfn.IFS(I365 &gt;= 40, "High", I365&gt;=20, "Medium", I365&lt;20, "Low")</f>
        <v>High</v>
      </c>
      <c r="T365" s="1" t="str" cm="1">
        <f t="array" ref="T365">_xlfn.IFS(O365&lt;18200, "Low", O365&lt;=50000, "Medium", O365&gt;50000, "High")</f>
        <v>Medium</v>
      </c>
    </row>
    <row r="366" spans="1:20" x14ac:dyDescent="0.25">
      <c r="A366" s="2">
        <v>2013</v>
      </c>
      <c r="B366" s="1" t="s">
        <v>47</v>
      </c>
      <c r="C366" s="1" t="s">
        <v>48</v>
      </c>
      <c r="D366" s="1">
        <v>2.5</v>
      </c>
      <c r="E366" s="1" t="s">
        <v>32</v>
      </c>
      <c r="F366" s="1" t="s">
        <v>20</v>
      </c>
      <c r="G366" s="1" t="s">
        <v>626</v>
      </c>
      <c r="H366" s="1" t="s">
        <v>22</v>
      </c>
      <c r="I366" s="1">
        <v>2</v>
      </c>
      <c r="J366" s="1">
        <v>38766</v>
      </c>
      <c r="K366" s="1" t="s">
        <v>24</v>
      </c>
      <c r="L366" s="1" t="s">
        <v>24</v>
      </c>
      <c r="M366" s="1" t="s">
        <v>51</v>
      </c>
      <c r="N366" s="1">
        <v>12850</v>
      </c>
      <c r="O366" s="12">
        <v>12100</v>
      </c>
      <c r="P366" s="3" t="s">
        <v>84</v>
      </c>
      <c r="Q366" s="1" cm="1">
        <f t="array" ref="Q366">VALUE(INDEX(_xlfn.TEXTSPLIT(P366, " "), 4))</f>
        <v>2014</v>
      </c>
      <c r="R366" s="1" t="str">
        <f t="shared" si="5"/>
        <v>Nissan Altima 2.5</v>
      </c>
      <c r="S366" s="1" t="str" cm="1">
        <f t="array" ref="S366">_xlfn.IFS(I366 &gt;= 40, "High", I366&gt;=20, "Medium", I366&lt;20, "Low")</f>
        <v>Low</v>
      </c>
      <c r="T366" s="1" t="str" cm="1">
        <f t="array" ref="T366">_xlfn.IFS(O366&lt;18200, "Low", O366&lt;=50000, "Medium", O366&gt;50000, "High")</f>
        <v>Low</v>
      </c>
    </row>
    <row r="367" spans="1:20" x14ac:dyDescent="0.25">
      <c r="A367" s="2">
        <v>2013</v>
      </c>
      <c r="B367" s="1" t="s">
        <v>47</v>
      </c>
      <c r="C367" s="1" t="s">
        <v>48</v>
      </c>
      <c r="D367" s="1">
        <v>2.5</v>
      </c>
      <c r="E367" s="1" t="s">
        <v>32</v>
      </c>
      <c r="F367" s="1" t="s">
        <v>20</v>
      </c>
      <c r="G367" s="1" t="s">
        <v>627</v>
      </c>
      <c r="H367" s="1" t="s">
        <v>22</v>
      </c>
      <c r="I367" s="1">
        <v>44</v>
      </c>
      <c r="J367" s="1">
        <v>44303</v>
      </c>
      <c r="K367" s="1" t="s">
        <v>91</v>
      </c>
      <c r="L367" s="1" t="s">
        <v>24</v>
      </c>
      <c r="M367" s="1" t="s">
        <v>142</v>
      </c>
      <c r="N367" s="1">
        <v>12550</v>
      </c>
      <c r="O367" s="12">
        <v>13000</v>
      </c>
      <c r="P367" s="3" t="s">
        <v>57</v>
      </c>
      <c r="Q367" s="1" cm="1">
        <f t="array" ref="Q367">VALUE(INDEX(_xlfn.TEXTSPLIT(P367, " "), 4))</f>
        <v>2014</v>
      </c>
      <c r="R367" s="1" t="str">
        <f t="shared" si="5"/>
        <v>Nissan Altima 2.5</v>
      </c>
      <c r="S367" s="1" t="str" cm="1">
        <f t="array" ref="S367">_xlfn.IFS(I367 &gt;= 40, "High", I367&gt;=20, "Medium", I367&lt;20, "Low")</f>
        <v>High</v>
      </c>
      <c r="T367" s="1" t="str" cm="1">
        <f t="array" ref="T367">_xlfn.IFS(O367&lt;18200, "Low", O367&lt;=50000, "Medium", O367&gt;50000, "High")</f>
        <v>Low</v>
      </c>
    </row>
    <row r="368" spans="1:20" x14ac:dyDescent="0.25">
      <c r="A368" s="2">
        <v>2013</v>
      </c>
      <c r="B368" s="1" t="s">
        <v>318</v>
      </c>
      <c r="C368" s="1" t="s">
        <v>323</v>
      </c>
      <c r="D368" s="1" t="s">
        <v>324</v>
      </c>
      <c r="E368" s="1" t="s">
        <v>323</v>
      </c>
      <c r="F368" s="1" t="s">
        <v>20</v>
      </c>
      <c r="G368" s="1" t="s">
        <v>628</v>
      </c>
      <c r="H368" s="1" t="s">
        <v>22</v>
      </c>
      <c r="I368" s="1">
        <v>36</v>
      </c>
      <c r="J368" s="1">
        <v>36931</v>
      </c>
      <c r="K368" s="1" t="s">
        <v>34</v>
      </c>
      <c r="L368" s="1" t="s">
        <v>24</v>
      </c>
      <c r="M368" s="1" t="s">
        <v>322</v>
      </c>
      <c r="N368" s="1">
        <v>21300</v>
      </c>
      <c r="O368" s="12">
        <v>22250</v>
      </c>
      <c r="P368" s="3" t="s">
        <v>57</v>
      </c>
      <c r="Q368" s="1" cm="1">
        <f t="array" ref="Q368">VALUE(INDEX(_xlfn.TEXTSPLIT(P368, " "), 4))</f>
        <v>2014</v>
      </c>
      <c r="R368" s="1" t="str">
        <f t="shared" si="5"/>
        <v>Infiniti G Sedan G37 Journey</v>
      </c>
      <c r="S368" s="1" t="str" cm="1">
        <f t="array" ref="S368">_xlfn.IFS(I368 &gt;= 40, "High", I368&gt;=20, "Medium", I368&lt;20, "Low")</f>
        <v>Medium</v>
      </c>
      <c r="T368" s="1" t="str" cm="1">
        <f t="array" ref="T368">_xlfn.IFS(O368&lt;18200, "Low", O368&lt;=50000, "Medium", O368&gt;50000, "High")</f>
        <v>Medium</v>
      </c>
    </row>
    <row r="369" spans="1:20" x14ac:dyDescent="0.25">
      <c r="A369" s="2">
        <v>2013</v>
      </c>
      <c r="B369" s="1" t="s">
        <v>47</v>
      </c>
      <c r="C369" s="1" t="s">
        <v>48</v>
      </c>
      <c r="D369" s="1">
        <v>2.5</v>
      </c>
      <c r="E369" s="1" t="s">
        <v>32</v>
      </c>
      <c r="F369" s="1" t="s">
        <v>20</v>
      </c>
      <c r="G369" s="1" t="s">
        <v>629</v>
      </c>
      <c r="H369" s="1" t="s">
        <v>22</v>
      </c>
      <c r="I369" s="1">
        <v>43</v>
      </c>
      <c r="J369" s="1">
        <v>38974</v>
      </c>
      <c r="K369" s="1" t="s">
        <v>91</v>
      </c>
      <c r="L369" s="1" t="s">
        <v>24</v>
      </c>
      <c r="M369" s="1" t="s">
        <v>142</v>
      </c>
      <c r="N369" s="1">
        <v>12800</v>
      </c>
      <c r="O369" s="12">
        <v>13600</v>
      </c>
      <c r="P369" s="3" t="s">
        <v>26</v>
      </c>
      <c r="Q369" s="1" cm="1">
        <f t="array" ref="Q369">VALUE(INDEX(_xlfn.TEXTSPLIT(P369, " "), 4))</f>
        <v>2014</v>
      </c>
      <c r="R369" s="1" t="str">
        <f t="shared" si="5"/>
        <v>Nissan Altima 2.5</v>
      </c>
      <c r="S369" s="1" t="str" cm="1">
        <f t="array" ref="S369">_xlfn.IFS(I369 &gt;= 40, "High", I369&gt;=20, "Medium", I369&lt;20, "Low")</f>
        <v>High</v>
      </c>
      <c r="T369" s="1" t="str" cm="1">
        <f t="array" ref="T369">_xlfn.IFS(O369&lt;18200, "Low", O369&lt;=50000, "Medium", O369&gt;50000, "High")</f>
        <v>Low</v>
      </c>
    </row>
    <row r="370" spans="1:20" x14ac:dyDescent="0.25">
      <c r="A370" s="2">
        <v>2013</v>
      </c>
      <c r="B370" s="1" t="s">
        <v>600</v>
      </c>
      <c r="C370" s="1" t="s">
        <v>601</v>
      </c>
      <c r="D370" s="1" t="s">
        <v>630</v>
      </c>
      <c r="E370" s="1" t="s">
        <v>19</v>
      </c>
      <c r="F370" s="1" t="s">
        <v>20</v>
      </c>
      <c r="G370" s="1" t="s">
        <v>631</v>
      </c>
      <c r="H370" s="1" t="s">
        <v>22</v>
      </c>
      <c r="I370" s="1">
        <v>31</v>
      </c>
      <c r="J370" s="1">
        <v>41173</v>
      </c>
      <c r="K370" s="1" t="s">
        <v>24</v>
      </c>
      <c r="L370" s="1" t="s">
        <v>24</v>
      </c>
      <c r="M370" s="1" t="s">
        <v>182</v>
      </c>
      <c r="N370" s="1">
        <v>27100</v>
      </c>
      <c r="O370" s="12">
        <v>27000</v>
      </c>
      <c r="P370" s="3" t="s">
        <v>110</v>
      </c>
      <c r="Q370" s="1" cm="1">
        <f t="array" ref="Q370">VALUE(INDEX(_xlfn.TEXTSPLIT(P370, " "), 4))</f>
        <v>2014</v>
      </c>
      <c r="R370" s="1" t="str">
        <f t="shared" si="5"/>
        <v>Jeep Wrangler Unlimited Sahara</v>
      </c>
      <c r="S370" s="1" t="str" cm="1">
        <f t="array" ref="S370">_xlfn.IFS(I370 &gt;= 40, "High", I370&gt;=20, "Medium", I370&lt;20, "Low")</f>
        <v>Medium</v>
      </c>
      <c r="T370" s="1" t="str" cm="1">
        <f t="array" ref="T370">_xlfn.IFS(O370&lt;18200, "Low", O370&lt;=50000, "Medium", O370&gt;50000, "High")</f>
        <v>Medium</v>
      </c>
    </row>
    <row r="371" spans="1:20" x14ac:dyDescent="0.25">
      <c r="A371" s="2">
        <v>2013</v>
      </c>
      <c r="B371" s="1" t="s">
        <v>632</v>
      </c>
      <c r="C371" s="1" t="s">
        <v>633</v>
      </c>
      <c r="D371" s="1" t="s">
        <v>368</v>
      </c>
      <c r="E371" s="1" t="s">
        <v>227</v>
      </c>
      <c r="F371" s="1" t="s">
        <v>20</v>
      </c>
      <c r="G371" s="1" t="s">
        <v>634</v>
      </c>
      <c r="H371" s="1" t="s">
        <v>22</v>
      </c>
      <c r="I371" s="1">
        <v>2</v>
      </c>
      <c r="J371" s="1">
        <v>24252</v>
      </c>
      <c r="K371" s="1" t="s">
        <v>24</v>
      </c>
      <c r="L371" s="1" t="s">
        <v>24</v>
      </c>
      <c r="M371" s="1" t="s">
        <v>635</v>
      </c>
      <c r="N371" s="1">
        <v>9825</v>
      </c>
      <c r="O371" s="12">
        <v>9100</v>
      </c>
      <c r="P371" s="3" t="s">
        <v>68</v>
      </c>
      <c r="Q371" s="1" cm="1">
        <f t="array" ref="Q371">VALUE(INDEX(_xlfn.TEXTSPLIT(P371, " "), 4))</f>
        <v>2014</v>
      </c>
      <c r="R371" s="1" t="str">
        <f t="shared" si="5"/>
        <v>Mazda Mazda2 Sport</v>
      </c>
      <c r="S371" s="1" t="str" cm="1">
        <f t="array" ref="S371">_xlfn.IFS(I371 &gt;= 40, "High", I371&gt;=20, "Medium", I371&lt;20, "Low")</f>
        <v>Low</v>
      </c>
      <c r="T371" s="1" t="str" cm="1">
        <f t="array" ref="T371">_xlfn.IFS(O371&lt;18200, "Low", O371&lt;=50000, "Medium", O371&gt;50000, "High")</f>
        <v>Low</v>
      </c>
    </row>
    <row r="372" spans="1:20" x14ac:dyDescent="0.25">
      <c r="A372" s="2">
        <v>2013</v>
      </c>
      <c r="B372" s="1" t="s">
        <v>47</v>
      </c>
      <c r="C372" s="1" t="s">
        <v>48</v>
      </c>
      <c r="D372" s="1">
        <v>2.5</v>
      </c>
      <c r="E372" s="1" t="s">
        <v>32</v>
      </c>
      <c r="F372" s="1" t="s">
        <v>20</v>
      </c>
      <c r="G372" s="1" t="s">
        <v>636</v>
      </c>
      <c r="H372" s="1" t="s">
        <v>22</v>
      </c>
      <c r="I372" s="1">
        <v>4</v>
      </c>
      <c r="J372" s="1">
        <v>37020</v>
      </c>
      <c r="K372" s="1" t="s">
        <v>73</v>
      </c>
      <c r="L372" s="1" t="s">
        <v>24</v>
      </c>
      <c r="M372" s="1" t="s">
        <v>142</v>
      </c>
      <c r="N372" s="1">
        <v>13400</v>
      </c>
      <c r="O372" s="12">
        <v>13600</v>
      </c>
      <c r="P372" s="3" t="s">
        <v>26</v>
      </c>
      <c r="Q372" s="1" cm="1">
        <f t="array" ref="Q372">VALUE(INDEX(_xlfn.TEXTSPLIT(P372, " "), 4))</f>
        <v>2014</v>
      </c>
      <c r="R372" s="1" t="str">
        <f t="shared" si="5"/>
        <v>Nissan Altima 2.5</v>
      </c>
      <c r="S372" s="1" t="str" cm="1">
        <f t="array" ref="S372">_xlfn.IFS(I372 &gt;= 40, "High", I372&gt;=20, "Medium", I372&lt;20, "Low")</f>
        <v>Low</v>
      </c>
      <c r="T372" s="1" t="str" cm="1">
        <f t="array" ref="T372">_xlfn.IFS(O372&lt;18200, "Low", O372&lt;=50000, "Medium", O372&gt;50000, "High")</f>
        <v>Low</v>
      </c>
    </row>
    <row r="373" spans="1:20" x14ac:dyDescent="0.25">
      <c r="A373" s="2">
        <v>2013</v>
      </c>
      <c r="B373" s="1" t="s">
        <v>16</v>
      </c>
      <c r="C373" s="1" t="s">
        <v>637</v>
      </c>
      <c r="D373" s="1" t="s">
        <v>18</v>
      </c>
      <c r="E373" s="1" t="s">
        <v>32</v>
      </c>
      <c r="F373" s="1" t="s">
        <v>20</v>
      </c>
      <c r="G373" s="1" t="s">
        <v>638</v>
      </c>
      <c r="H373" s="1" t="s">
        <v>22</v>
      </c>
      <c r="I373" s="1">
        <v>28</v>
      </c>
      <c r="J373" s="1">
        <v>31406</v>
      </c>
      <c r="K373" s="1" t="s">
        <v>91</v>
      </c>
      <c r="L373" s="1" t="s">
        <v>24</v>
      </c>
      <c r="M373" s="1" t="s">
        <v>639</v>
      </c>
      <c r="N373" s="1">
        <v>9775</v>
      </c>
      <c r="O373" s="12">
        <v>8900</v>
      </c>
      <c r="P373" s="3" t="s">
        <v>57</v>
      </c>
      <c r="Q373" s="1" cm="1">
        <f t="array" ref="Q373">VALUE(INDEX(_xlfn.TEXTSPLIT(P373, " "), 4))</f>
        <v>2014</v>
      </c>
      <c r="R373" s="1" t="str">
        <f t="shared" si="5"/>
        <v>Kia Rio LX</v>
      </c>
      <c r="S373" s="1" t="str" cm="1">
        <f t="array" ref="S373">_xlfn.IFS(I373 &gt;= 40, "High", I373&gt;=20, "Medium", I373&lt;20, "Low")</f>
        <v>Medium</v>
      </c>
      <c r="T373" s="1" t="str" cm="1">
        <f t="array" ref="T373">_xlfn.IFS(O373&lt;18200, "Low", O373&lt;=50000, "Medium", O373&gt;50000, "High")</f>
        <v>Low</v>
      </c>
    </row>
    <row r="374" spans="1:20" x14ac:dyDescent="0.25">
      <c r="A374" s="2">
        <v>2013</v>
      </c>
      <c r="B374" s="1" t="s">
        <v>608</v>
      </c>
      <c r="C374" s="1" t="s">
        <v>620</v>
      </c>
      <c r="D374" s="1" t="s">
        <v>640</v>
      </c>
      <c r="E374" s="1" t="s">
        <v>32</v>
      </c>
      <c r="F374" s="1" t="s">
        <v>20</v>
      </c>
      <c r="G374" s="1" t="s">
        <v>641</v>
      </c>
      <c r="H374" s="1" t="s">
        <v>22</v>
      </c>
      <c r="I374" s="1">
        <v>45</v>
      </c>
      <c r="J374" s="1">
        <v>20161</v>
      </c>
      <c r="K374" s="1" t="s">
        <v>23</v>
      </c>
      <c r="L374" s="1" t="s">
        <v>24</v>
      </c>
      <c r="M374" s="1" t="s">
        <v>612</v>
      </c>
      <c r="N374" s="1">
        <v>23100</v>
      </c>
      <c r="O374" s="12">
        <v>25000</v>
      </c>
      <c r="P374" s="3" t="s">
        <v>46</v>
      </c>
      <c r="Q374" s="1" cm="1">
        <f t="array" ref="Q374">VALUE(INDEX(_xlfn.TEXTSPLIT(P374, " "), 4))</f>
        <v>2014</v>
      </c>
      <c r="R374" s="1" t="str">
        <f t="shared" si="5"/>
        <v>Mercedes-Benz C-Class C250 Sport</v>
      </c>
      <c r="S374" s="1" t="str" cm="1">
        <f t="array" ref="S374">_xlfn.IFS(I374 &gt;= 40, "High", I374&gt;=20, "Medium", I374&lt;20, "Low")</f>
        <v>High</v>
      </c>
      <c r="T374" s="1" t="str" cm="1">
        <f t="array" ref="T374">_xlfn.IFS(O374&lt;18200, "Low", O374&lt;=50000, "Medium", O374&gt;50000, "High")</f>
        <v>Medium</v>
      </c>
    </row>
    <row r="375" spans="1:20" x14ac:dyDescent="0.25">
      <c r="A375" s="2">
        <v>2013</v>
      </c>
      <c r="B375" s="1" t="s">
        <v>16</v>
      </c>
      <c r="C375" s="1" t="s">
        <v>80</v>
      </c>
      <c r="D375" s="1" t="s">
        <v>18</v>
      </c>
      <c r="E375" s="1" t="s">
        <v>32</v>
      </c>
      <c r="F375" s="1" t="s">
        <v>20</v>
      </c>
      <c r="G375" s="1" t="s">
        <v>642</v>
      </c>
      <c r="H375" s="1" t="s">
        <v>22</v>
      </c>
      <c r="I375" s="1">
        <v>22</v>
      </c>
      <c r="J375" s="1">
        <v>14061</v>
      </c>
      <c r="K375" s="1" t="s">
        <v>24</v>
      </c>
      <c r="L375" s="1" t="s">
        <v>34</v>
      </c>
      <c r="M375" s="1" t="s">
        <v>83</v>
      </c>
      <c r="N375" s="1">
        <v>14150</v>
      </c>
      <c r="O375" s="12">
        <v>11700</v>
      </c>
      <c r="P375" s="3" t="s">
        <v>84</v>
      </c>
      <c r="Q375" s="1" cm="1">
        <f t="array" ref="Q375">VALUE(INDEX(_xlfn.TEXTSPLIT(P375, " "), 4))</f>
        <v>2014</v>
      </c>
      <c r="R375" s="1" t="str">
        <f t="shared" si="5"/>
        <v>Kia Optima LX</v>
      </c>
      <c r="S375" s="1" t="str" cm="1">
        <f t="array" ref="S375">_xlfn.IFS(I375 &gt;= 40, "High", I375&gt;=20, "Medium", I375&lt;20, "Low")</f>
        <v>Medium</v>
      </c>
      <c r="T375" s="1" t="str" cm="1">
        <f t="array" ref="T375">_xlfn.IFS(O375&lt;18200, "Low", O375&lt;=50000, "Medium", O375&gt;50000, "High")</f>
        <v>Low</v>
      </c>
    </row>
    <row r="376" spans="1:20" x14ac:dyDescent="0.25">
      <c r="A376" s="2">
        <v>2013</v>
      </c>
      <c r="B376" s="1" t="s">
        <v>47</v>
      </c>
      <c r="C376" s="1" t="s">
        <v>48</v>
      </c>
      <c r="D376" s="1">
        <v>2.5</v>
      </c>
      <c r="E376" s="1" t="s">
        <v>32</v>
      </c>
      <c r="F376" s="1" t="s">
        <v>20</v>
      </c>
      <c r="G376" s="1" t="s">
        <v>643</v>
      </c>
      <c r="H376" s="1" t="s">
        <v>22</v>
      </c>
      <c r="I376" s="1">
        <v>37</v>
      </c>
      <c r="J376" s="1">
        <v>47601</v>
      </c>
      <c r="K376" s="1" t="s">
        <v>24</v>
      </c>
      <c r="L376" s="1" t="s">
        <v>24</v>
      </c>
      <c r="M376" s="1" t="s">
        <v>644</v>
      </c>
      <c r="N376" s="1">
        <v>12600</v>
      </c>
      <c r="O376" s="12">
        <v>12200</v>
      </c>
      <c r="P376" s="3" t="s">
        <v>645</v>
      </c>
      <c r="Q376" s="1" cm="1">
        <f t="array" ref="Q376">VALUE(INDEX(_xlfn.TEXTSPLIT(P376, " "), 4))</f>
        <v>2014</v>
      </c>
      <c r="R376" s="1" t="str">
        <f t="shared" si="5"/>
        <v>Nissan Altima 2.5</v>
      </c>
      <c r="S376" s="1" t="str" cm="1">
        <f t="array" ref="S376">_xlfn.IFS(I376 &gt;= 40, "High", I376&gt;=20, "Medium", I376&lt;20, "Low")</f>
        <v>Medium</v>
      </c>
      <c r="T376" s="1" t="str" cm="1">
        <f t="array" ref="T376">_xlfn.IFS(O376&lt;18200, "Low", O376&lt;=50000, "Medium", O376&gt;50000, "High")</f>
        <v>Low</v>
      </c>
    </row>
    <row r="377" spans="1:20" x14ac:dyDescent="0.25">
      <c r="A377" s="2">
        <v>2013</v>
      </c>
      <c r="B377" s="1" t="s">
        <v>632</v>
      </c>
      <c r="C377" s="1" t="s">
        <v>633</v>
      </c>
      <c r="D377" s="1" t="s">
        <v>646</v>
      </c>
      <c r="E377" s="1" t="s">
        <v>227</v>
      </c>
      <c r="F377" s="1" t="s">
        <v>20</v>
      </c>
      <c r="G377" s="1" t="s">
        <v>647</v>
      </c>
      <c r="H377" s="1" t="s">
        <v>22</v>
      </c>
      <c r="I377" s="1">
        <v>35</v>
      </c>
      <c r="J377" s="1">
        <v>44392</v>
      </c>
      <c r="K377" s="1" t="s">
        <v>73</v>
      </c>
      <c r="L377" s="1" t="s">
        <v>24</v>
      </c>
      <c r="M377" s="1" t="s">
        <v>56</v>
      </c>
      <c r="N377" s="1">
        <v>8475</v>
      </c>
      <c r="O377" s="12">
        <v>8500</v>
      </c>
      <c r="P377" s="3" t="s">
        <v>26</v>
      </c>
      <c r="Q377" s="1" cm="1">
        <f t="array" ref="Q377">VALUE(INDEX(_xlfn.TEXTSPLIT(P377, " "), 4))</f>
        <v>2014</v>
      </c>
      <c r="R377" s="1" t="str">
        <f t="shared" si="5"/>
        <v>Mazda Mazda2 Touring</v>
      </c>
      <c r="S377" s="1" t="str" cm="1">
        <f t="array" ref="S377">_xlfn.IFS(I377 &gt;= 40, "High", I377&gt;=20, "Medium", I377&lt;20, "Low")</f>
        <v>Medium</v>
      </c>
      <c r="T377" s="1" t="str" cm="1">
        <f t="array" ref="T377">_xlfn.IFS(O377&lt;18200, "Low", O377&lt;=50000, "Medium", O377&gt;50000, "High")</f>
        <v>Low</v>
      </c>
    </row>
    <row r="378" spans="1:20" x14ac:dyDescent="0.25">
      <c r="A378" s="2">
        <v>2013</v>
      </c>
      <c r="B378" s="1" t="s">
        <v>318</v>
      </c>
      <c r="C378" s="1" t="s">
        <v>648</v>
      </c>
      <c r="D378" s="1" t="s">
        <v>649</v>
      </c>
      <c r="E378" s="1" t="s">
        <v>32</v>
      </c>
      <c r="F378" s="1" t="s">
        <v>20</v>
      </c>
      <c r="G378" s="1" t="s">
        <v>650</v>
      </c>
      <c r="H378" s="1" t="s">
        <v>22</v>
      </c>
      <c r="I378" s="1">
        <v>46</v>
      </c>
      <c r="J378" s="1">
        <v>10808</v>
      </c>
      <c r="K378" s="1" t="s">
        <v>101</v>
      </c>
      <c r="L378" s="1" t="s">
        <v>24</v>
      </c>
      <c r="M378" s="1" t="s">
        <v>651</v>
      </c>
      <c r="N378" s="1">
        <v>33900</v>
      </c>
      <c r="O378" s="12">
        <v>33500</v>
      </c>
      <c r="P378" s="3" t="s">
        <v>36</v>
      </c>
      <c r="Q378" s="1" cm="1">
        <f t="array" ref="Q378">VALUE(INDEX(_xlfn.TEXTSPLIT(P378, " "), 4))</f>
        <v>2015</v>
      </c>
      <c r="R378" s="1" t="str">
        <f t="shared" si="5"/>
        <v>Infiniti M M37</v>
      </c>
      <c r="S378" s="1" t="str" cm="1">
        <f t="array" ref="S378">_xlfn.IFS(I378 &gt;= 40, "High", I378&gt;=20, "Medium", I378&lt;20, "Low")</f>
        <v>High</v>
      </c>
      <c r="T378" s="1" t="str" cm="1">
        <f t="array" ref="T378">_xlfn.IFS(O378&lt;18200, "Low", O378&lt;=50000, "Medium", O378&gt;50000, "High")</f>
        <v>Medium</v>
      </c>
    </row>
    <row r="379" spans="1:20" x14ac:dyDescent="0.25">
      <c r="A379" s="2">
        <v>2013</v>
      </c>
      <c r="B379" s="1" t="s">
        <v>16</v>
      </c>
      <c r="C379" s="1" t="s">
        <v>80</v>
      </c>
      <c r="D379" s="1" t="s">
        <v>605</v>
      </c>
      <c r="E379" s="1" t="s">
        <v>32</v>
      </c>
      <c r="F379" s="1" t="s">
        <v>20</v>
      </c>
      <c r="G379" s="1" t="s">
        <v>652</v>
      </c>
      <c r="H379" s="1" t="s">
        <v>22</v>
      </c>
      <c r="I379" s="1">
        <v>42</v>
      </c>
      <c r="J379" s="1">
        <v>19543</v>
      </c>
      <c r="K379" s="1" t="s">
        <v>24</v>
      </c>
      <c r="L379" s="1" t="s">
        <v>34</v>
      </c>
      <c r="M379" s="1" t="s">
        <v>25</v>
      </c>
      <c r="N379" s="1">
        <v>15900</v>
      </c>
      <c r="O379" s="12">
        <v>16100</v>
      </c>
      <c r="P379" s="3" t="s">
        <v>26</v>
      </c>
      <c r="Q379" s="1" cm="1">
        <f t="array" ref="Q379">VALUE(INDEX(_xlfn.TEXTSPLIT(P379, " "), 4))</f>
        <v>2014</v>
      </c>
      <c r="R379" s="1" t="str">
        <f t="shared" si="5"/>
        <v>Kia Optima EX Hybrid</v>
      </c>
      <c r="S379" s="1" t="str" cm="1">
        <f t="array" ref="S379">_xlfn.IFS(I379 &gt;= 40, "High", I379&gt;=20, "Medium", I379&lt;20, "Low")</f>
        <v>High</v>
      </c>
      <c r="T379" s="1" t="str" cm="1">
        <f t="array" ref="T379">_xlfn.IFS(O379&lt;18200, "Low", O379&lt;=50000, "Medium", O379&gt;50000, "High")</f>
        <v>Low</v>
      </c>
    </row>
    <row r="380" spans="1:20" x14ac:dyDescent="0.25">
      <c r="A380" s="2">
        <v>2013</v>
      </c>
      <c r="B380" s="1" t="s">
        <v>47</v>
      </c>
      <c r="C380" s="1" t="s">
        <v>653</v>
      </c>
      <c r="D380" s="1" t="s">
        <v>54</v>
      </c>
      <c r="E380" s="1" t="s">
        <v>71</v>
      </c>
      <c r="F380" s="1" t="s">
        <v>20</v>
      </c>
      <c r="G380" s="1" t="s">
        <v>654</v>
      </c>
      <c r="H380" s="1" t="s">
        <v>22</v>
      </c>
      <c r="I380" s="1">
        <v>43</v>
      </c>
      <c r="J380" s="1">
        <v>445</v>
      </c>
      <c r="K380" s="1" t="s">
        <v>91</v>
      </c>
      <c r="L380" s="1" t="s">
        <v>24</v>
      </c>
      <c r="M380" s="1" t="s">
        <v>651</v>
      </c>
      <c r="N380" s="1">
        <v>29800</v>
      </c>
      <c r="O380" s="12">
        <v>28750</v>
      </c>
      <c r="P380" s="3" t="s">
        <v>26</v>
      </c>
      <c r="Q380" s="1" cm="1">
        <f t="array" ref="Q380">VALUE(INDEX(_xlfn.TEXTSPLIT(P380, " "), 4))</f>
        <v>2014</v>
      </c>
      <c r="R380" s="1" t="str">
        <f t="shared" si="5"/>
        <v>Nissan 370Z Base</v>
      </c>
      <c r="S380" s="1" t="str" cm="1">
        <f t="array" ref="S380">_xlfn.IFS(I380 &gt;= 40, "High", I380&gt;=20, "Medium", I380&lt;20, "Low")</f>
        <v>High</v>
      </c>
      <c r="T380" s="1" t="str" cm="1">
        <f t="array" ref="T380">_xlfn.IFS(O380&lt;18200, "Low", O380&lt;=50000, "Medium", O380&gt;50000, "High")</f>
        <v>Medium</v>
      </c>
    </row>
    <row r="381" spans="1:20" x14ac:dyDescent="0.25">
      <c r="A381" s="2">
        <v>2013</v>
      </c>
      <c r="B381" s="1" t="s">
        <v>16</v>
      </c>
      <c r="C381" s="1" t="s">
        <v>655</v>
      </c>
      <c r="D381" s="1" t="s">
        <v>656</v>
      </c>
      <c r="E381" s="1" t="s">
        <v>130</v>
      </c>
      <c r="F381" s="1" t="s">
        <v>20</v>
      </c>
      <c r="G381" s="1" t="s">
        <v>657</v>
      </c>
      <c r="H381" s="1" t="s">
        <v>22</v>
      </c>
      <c r="I381" s="1">
        <v>28</v>
      </c>
      <c r="J381" s="1">
        <v>48270</v>
      </c>
      <c r="K381" s="1" t="s">
        <v>24</v>
      </c>
      <c r="L381" s="1" t="s">
        <v>24</v>
      </c>
      <c r="M381" s="1" t="s">
        <v>635</v>
      </c>
      <c r="N381" s="1">
        <v>11250</v>
      </c>
      <c r="O381" s="12">
        <v>11000</v>
      </c>
      <c r="P381" s="3" t="s">
        <v>110</v>
      </c>
      <c r="Q381" s="1" cm="1">
        <f t="array" ref="Q381">VALUE(INDEX(_xlfn.TEXTSPLIT(P381, " "), 4))</f>
        <v>2014</v>
      </c>
      <c r="R381" s="1" t="str">
        <f t="shared" si="5"/>
        <v>Kia Soul +</v>
      </c>
      <c r="S381" s="1" t="str" cm="1">
        <f t="array" ref="S381">_xlfn.IFS(I381 &gt;= 40, "High", I381&gt;=20, "Medium", I381&lt;20, "Low")</f>
        <v>Medium</v>
      </c>
      <c r="T381" s="1" t="str" cm="1">
        <f t="array" ref="T381">_xlfn.IFS(O381&lt;18200, "Low", O381&lt;=50000, "Medium", O381&gt;50000, "High")</f>
        <v>Low</v>
      </c>
    </row>
    <row r="382" spans="1:20" x14ac:dyDescent="0.25">
      <c r="A382" s="2">
        <v>2013</v>
      </c>
      <c r="B382" s="1" t="s">
        <v>16</v>
      </c>
      <c r="C382" s="1" t="s">
        <v>17</v>
      </c>
      <c r="D382" s="1" t="s">
        <v>18</v>
      </c>
      <c r="E382" s="1" t="s">
        <v>19</v>
      </c>
      <c r="F382" s="1" t="s">
        <v>20</v>
      </c>
      <c r="G382" s="1" t="s">
        <v>658</v>
      </c>
      <c r="H382" s="1" t="s">
        <v>22</v>
      </c>
      <c r="I382" s="1">
        <v>44</v>
      </c>
      <c r="J382" s="1">
        <v>48050</v>
      </c>
      <c r="K382" s="1" t="s">
        <v>91</v>
      </c>
      <c r="L382" s="1" t="s">
        <v>34</v>
      </c>
      <c r="M382" s="1" t="s">
        <v>659</v>
      </c>
      <c r="N382" s="1">
        <v>15700</v>
      </c>
      <c r="O382" s="12">
        <v>12750</v>
      </c>
      <c r="P382" s="3" t="s">
        <v>26</v>
      </c>
      <c r="Q382" s="1" cm="1">
        <f t="array" ref="Q382">VALUE(INDEX(_xlfn.TEXTSPLIT(P382, " "), 4))</f>
        <v>2014</v>
      </c>
      <c r="R382" s="1" t="str">
        <f t="shared" si="5"/>
        <v>Kia Sorento LX</v>
      </c>
      <c r="S382" s="1" t="str" cm="1">
        <f t="array" ref="S382">_xlfn.IFS(I382 &gt;= 40, "High", I382&gt;=20, "Medium", I382&lt;20, "Low")</f>
        <v>High</v>
      </c>
      <c r="T382" s="1" t="str" cm="1">
        <f t="array" ref="T382">_xlfn.IFS(O382&lt;18200, "Low", O382&lt;=50000, "Medium", O382&gt;50000, "High")</f>
        <v>Low</v>
      </c>
    </row>
    <row r="383" spans="1:20" x14ac:dyDescent="0.25">
      <c r="A383" s="2">
        <v>2013</v>
      </c>
      <c r="B383" s="1" t="s">
        <v>16</v>
      </c>
      <c r="C383" s="1" t="s">
        <v>637</v>
      </c>
      <c r="D383" s="1" t="s">
        <v>18</v>
      </c>
      <c r="E383" s="1" t="s">
        <v>32</v>
      </c>
      <c r="F383" s="1" t="s">
        <v>20</v>
      </c>
      <c r="G383" s="1" t="s">
        <v>660</v>
      </c>
      <c r="H383" s="1" t="s">
        <v>22</v>
      </c>
      <c r="I383" s="1">
        <v>4</v>
      </c>
      <c r="J383" s="1">
        <v>36667</v>
      </c>
      <c r="K383" s="1" t="s">
        <v>24</v>
      </c>
      <c r="L383" s="1" t="s">
        <v>28</v>
      </c>
      <c r="M383" s="1" t="s">
        <v>95</v>
      </c>
      <c r="N383" s="1">
        <v>9375</v>
      </c>
      <c r="O383" s="12">
        <v>9800</v>
      </c>
      <c r="P383" s="3" t="s">
        <v>459</v>
      </c>
      <c r="Q383" s="1" cm="1">
        <f t="array" ref="Q383">VALUE(INDEX(_xlfn.TEXTSPLIT(P383, " "), 4))</f>
        <v>2014</v>
      </c>
      <c r="R383" s="1" t="str">
        <f t="shared" si="5"/>
        <v>Kia Rio LX</v>
      </c>
      <c r="S383" s="1" t="str" cm="1">
        <f t="array" ref="S383">_xlfn.IFS(I383 &gt;= 40, "High", I383&gt;=20, "Medium", I383&lt;20, "Low")</f>
        <v>Low</v>
      </c>
      <c r="T383" s="1" t="str" cm="1">
        <f t="array" ref="T383">_xlfn.IFS(O383&lt;18200, "Low", O383&lt;=50000, "Medium", O383&gt;50000, "High")</f>
        <v>Low</v>
      </c>
    </row>
    <row r="384" spans="1:20" x14ac:dyDescent="0.25">
      <c r="A384" s="2">
        <v>2013</v>
      </c>
      <c r="B384" s="1" t="s">
        <v>16</v>
      </c>
      <c r="C384" s="1" t="s">
        <v>655</v>
      </c>
      <c r="D384" s="1" t="s">
        <v>54</v>
      </c>
      <c r="E384" s="1" t="s">
        <v>130</v>
      </c>
      <c r="F384" s="1" t="s">
        <v>214</v>
      </c>
      <c r="G384" s="1" t="s">
        <v>661</v>
      </c>
      <c r="H384" s="1" t="s">
        <v>22</v>
      </c>
      <c r="I384" s="1">
        <v>1</v>
      </c>
      <c r="J384" s="1">
        <v>11699</v>
      </c>
      <c r="K384" s="1" t="s">
        <v>91</v>
      </c>
      <c r="L384" s="1" t="s">
        <v>24</v>
      </c>
      <c r="M384" s="1" t="s">
        <v>83</v>
      </c>
      <c r="N384" s="1">
        <v>11400</v>
      </c>
      <c r="O384" s="12">
        <v>6900</v>
      </c>
      <c r="P384" s="3" t="s">
        <v>84</v>
      </c>
      <c r="Q384" s="1" cm="1">
        <f t="array" ref="Q384">VALUE(INDEX(_xlfn.TEXTSPLIT(P384, " "), 4))</f>
        <v>2014</v>
      </c>
      <c r="R384" s="1" t="str">
        <f t="shared" si="5"/>
        <v>Kia Soul Base</v>
      </c>
      <c r="S384" s="1" t="str" cm="1">
        <f t="array" ref="S384">_xlfn.IFS(I384 &gt;= 40, "High", I384&gt;=20, "Medium", I384&lt;20, "Low")</f>
        <v>Low</v>
      </c>
      <c r="T384" s="1" t="str" cm="1">
        <f t="array" ref="T384">_xlfn.IFS(O384&lt;18200, "Low", O384&lt;=50000, "Medium", O384&gt;50000, "High")</f>
        <v>Low</v>
      </c>
    </row>
    <row r="385" spans="1:20" x14ac:dyDescent="0.25">
      <c r="A385" s="2">
        <v>2013</v>
      </c>
      <c r="B385" s="1" t="s">
        <v>616</v>
      </c>
      <c r="C385" s="1" t="s">
        <v>662</v>
      </c>
      <c r="D385" s="1" t="s">
        <v>663</v>
      </c>
      <c r="E385" s="1" t="s">
        <v>19</v>
      </c>
      <c r="F385" s="1" t="s">
        <v>20</v>
      </c>
      <c r="G385" s="1" t="s">
        <v>664</v>
      </c>
      <c r="H385" s="1" t="s">
        <v>22</v>
      </c>
      <c r="I385" s="1">
        <v>27</v>
      </c>
      <c r="J385" s="1">
        <v>37713</v>
      </c>
      <c r="K385" s="1" t="s">
        <v>94</v>
      </c>
      <c r="L385" s="1" t="s">
        <v>24</v>
      </c>
      <c r="M385" s="1" t="s">
        <v>95</v>
      </c>
      <c r="N385" s="1">
        <v>15650</v>
      </c>
      <c r="O385" s="12">
        <v>14000</v>
      </c>
      <c r="P385" s="3" t="s">
        <v>57</v>
      </c>
      <c r="Q385" s="1" cm="1">
        <f t="array" ref="Q385">VALUE(INDEX(_xlfn.TEXTSPLIT(P385, " "), 4))</f>
        <v>2014</v>
      </c>
      <c r="R385" s="1" t="str">
        <f t="shared" si="5"/>
        <v>Mitsubishi Outlander Sport LE</v>
      </c>
      <c r="S385" s="1" t="str" cm="1">
        <f t="array" ref="S385">_xlfn.IFS(I385 &gt;= 40, "High", I385&gt;=20, "Medium", I385&lt;20, "Low")</f>
        <v>Medium</v>
      </c>
      <c r="T385" s="1" t="str" cm="1">
        <f t="array" ref="T385">_xlfn.IFS(O385&lt;18200, "Low", O385&lt;=50000, "Medium", O385&gt;50000, "High")</f>
        <v>Low</v>
      </c>
    </row>
    <row r="386" spans="1:20" x14ac:dyDescent="0.25">
      <c r="A386" s="2">
        <v>2013</v>
      </c>
      <c r="B386" s="1" t="s">
        <v>608</v>
      </c>
      <c r="C386" s="1" t="s">
        <v>620</v>
      </c>
      <c r="D386" s="1" t="s">
        <v>640</v>
      </c>
      <c r="E386" s="1" t="s">
        <v>32</v>
      </c>
      <c r="F386" s="1" t="s">
        <v>20</v>
      </c>
      <c r="G386" s="1" t="s">
        <v>665</v>
      </c>
      <c r="H386" s="1" t="s">
        <v>22</v>
      </c>
      <c r="I386" s="1">
        <v>28</v>
      </c>
      <c r="J386" s="1">
        <v>31978</v>
      </c>
      <c r="K386" s="1" t="s">
        <v>24</v>
      </c>
      <c r="L386" s="1" t="s">
        <v>24</v>
      </c>
      <c r="M386" s="1" t="s">
        <v>56</v>
      </c>
      <c r="N386" s="1">
        <v>22000</v>
      </c>
      <c r="O386" s="12">
        <v>21000</v>
      </c>
      <c r="P386" s="3" t="s">
        <v>143</v>
      </c>
      <c r="Q386" s="1" cm="1">
        <f t="array" ref="Q386">VALUE(INDEX(_xlfn.TEXTSPLIT(P386, " "), 4))</f>
        <v>2014</v>
      </c>
      <c r="R386" s="1" t="str">
        <f t="shared" si="5"/>
        <v>Mercedes-Benz C-Class C250 Sport</v>
      </c>
      <c r="S386" s="1" t="str" cm="1">
        <f t="array" ref="S386">_xlfn.IFS(I386 &gt;= 40, "High", I386&gt;=20, "Medium", I386&lt;20, "Low")</f>
        <v>Medium</v>
      </c>
      <c r="T386" s="1" t="str" cm="1">
        <f t="array" ref="T386">_xlfn.IFS(O386&lt;18200, "Low", O386&lt;=50000, "Medium", O386&gt;50000, "High")</f>
        <v>Medium</v>
      </c>
    </row>
    <row r="387" spans="1:20" x14ac:dyDescent="0.25">
      <c r="A387" s="2">
        <v>2013</v>
      </c>
      <c r="B387" s="1" t="s">
        <v>608</v>
      </c>
      <c r="C387" s="1" t="s">
        <v>666</v>
      </c>
      <c r="D387" s="1" t="s">
        <v>667</v>
      </c>
      <c r="E387" s="1" t="s">
        <v>71</v>
      </c>
      <c r="F387" s="1" t="s">
        <v>20</v>
      </c>
      <c r="G387" s="1" t="s">
        <v>668</v>
      </c>
      <c r="H387" s="1" t="s">
        <v>22</v>
      </c>
      <c r="I387" s="1">
        <v>44</v>
      </c>
      <c r="J387" s="1">
        <v>8470</v>
      </c>
      <c r="K387" s="1" t="s">
        <v>24</v>
      </c>
      <c r="L387" s="1" t="s">
        <v>101</v>
      </c>
      <c r="M387" s="1" t="s">
        <v>669</v>
      </c>
      <c r="N387" s="1">
        <v>44700</v>
      </c>
      <c r="O387" s="12">
        <v>37000</v>
      </c>
      <c r="P387" s="3" t="s">
        <v>36</v>
      </c>
      <c r="Q387" s="1" cm="1">
        <f t="array" ref="Q387">VALUE(INDEX(_xlfn.TEXTSPLIT(P387, " "), 4))</f>
        <v>2015</v>
      </c>
      <c r="R387" s="1" t="str">
        <f t="shared" ref="R387:R450" si="6">_xlfn.TEXTJOIN(" ", TRUE, B387, C387, D387)</f>
        <v>Mercedes-Benz SLK-Class SLK350</v>
      </c>
      <c r="S387" s="1" t="str" cm="1">
        <f t="array" ref="S387">_xlfn.IFS(I387 &gt;= 40, "High", I387&gt;=20, "Medium", I387&lt;20, "Low")</f>
        <v>High</v>
      </c>
      <c r="T387" s="1" t="str" cm="1">
        <f t="array" ref="T387">_xlfn.IFS(O387&lt;18200, "Low", O387&lt;=50000, "Medium", O387&gt;50000, "High")</f>
        <v>Medium</v>
      </c>
    </row>
    <row r="388" spans="1:20" x14ac:dyDescent="0.25">
      <c r="A388" s="2">
        <v>2013</v>
      </c>
      <c r="B388" s="1" t="s">
        <v>202</v>
      </c>
      <c r="C388" s="1" t="s">
        <v>670</v>
      </c>
      <c r="D388" s="1" t="s">
        <v>54</v>
      </c>
      <c r="E388" s="1" t="s">
        <v>32</v>
      </c>
      <c r="F388" s="1" t="s">
        <v>20</v>
      </c>
      <c r="G388" s="1" t="s">
        <v>671</v>
      </c>
      <c r="H388" s="1" t="s">
        <v>22</v>
      </c>
      <c r="I388" s="1">
        <v>38</v>
      </c>
      <c r="J388" s="1">
        <v>24478</v>
      </c>
      <c r="K388" s="1" t="s">
        <v>34</v>
      </c>
      <c r="L388" s="1" t="s">
        <v>24</v>
      </c>
      <c r="M388" s="1" t="s">
        <v>672</v>
      </c>
      <c r="N388" s="1">
        <v>28900</v>
      </c>
      <c r="O388" s="12">
        <v>27750</v>
      </c>
      <c r="P388" s="3" t="s">
        <v>68</v>
      </c>
      <c r="Q388" s="1" cm="1">
        <f t="array" ref="Q388">VALUE(INDEX(_xlfn.TEXTSPLIT(P388, " "), 4))</f>
        <v>2014</v>
      </c>
      <c r="R388" s="1" t="str">
        <f t="shared" si="6"/>
        <v>Lexus ES 350 Base</v>
      </c>
      <c r="S388" s="1" t="str" cm="1">
        <f t="array" ref="S388">_xlfn.IFS(I388 &gt;= 40, "High", I388&gt;=20, "Medium", I388&lt;20, "Low")</f>
        <v>Medium</v>
      </c>
      <c r="T388" s="1" t="str" cm="1">
        <f t="array" ref="T388">_xlfn.IFS(O388&lt;18200, "Low", O388&lt;=50000, "Medium", O388&gt;50000, "High")</f>
        <v>Medium</v>
      </c>
    </row>
    <row r="389" spans="1:20" x14ac:dyDescent="0.25">
      <c r="A389" s="2">
        <v>2013</v>
      </c>
      <c r="B389" s="1" t="s">
        <v>608</v>
      </c>
      <c r="C389" s="1" t="s">
        <v>673</v>
      </c>
      <c r="D389" s="1" t="s">
        <v>674</v>
      </c>
      <c r="E389" s="1" t="s">
        <v>32</v>
      </c>
      <c r="F389" s="1" t="s">
        <v>20</v>
      </c>
      <c r="G389" s="1" t="s">
        <v>675</v>
      </c>
      <c r="H389" s="1" t="s">
        <v>22</v>
      </c>
      <c r="I389" s="1">
        <v>25</v>
      </c>
      <c r="J389" s="1">
        <v>4995</v>
      </c>
      <c r="K389" s="1" t="s">
        <v>24</v>
      </c>
      <c r="L389" s="1" t="s">
        <v>24</v>
      </c>
      <c r="M389" s="1" t="s">
        <v>676</v>
      </c>
      <c r="N389" s="1">
        <v>35400</v>
      </c>
      <c r="O389" s="12">
        <v>31750</v>
      </c>
      <c r="P389" s="3" t="s">
        <v>36</v>
      </c>
      <c r="Q389" s="1" cm="1">
        <f t="array" ref="Q389">VALUE(INDEX(_xlfn.TEXTSPLIT(P389, " "), 4))</f>
        <v>2015</v>
      </c>
      <c r="R389" s="1" t="str">
        <f t="shared" si="6"/>
        <v>Mercedes-Benz E-Class E350 Sport</v>
      </c>
      <c r="S389" s="1" t="str" cm="1">
        <f t="array" ref="S389">_xlfn.IFS(I389 &gt;= 40, "High", I389&gt;=20, "Medium", I389&lt;20, "Low")</f>
        <v>Medium</v>
      </c>
      <c r="T389" s="1" t="str" cm="1">
        <f t="array" ref="T389">_xlfn.IFS(O389&lt;18200, "Low", O389&lt;=50000, "Medium", O389&gt;50000, "High")</f>
        <v>Medium</v>
      </c>
    </row>
    <row r="390" spans="1:20" x14ac:dyDescent="0.25">
      <c r="A390" s="2">
        <v>2013</v>
      </c>
      <c r="B390" s="1" t="s">
        <v>632</v>
      </c>
      <c r="C390" s="1" t="s">
        <v>677</v>
      </c>
      <c r="D390" s="1" t="s">
        <v>678</v>
      </c>
      <c r="E390" s="1" t="s">
        <v>32</v>
      </c>
      <c r="F390" s="1" t="s">
        <v>20</v>
      </c>
      <c r="G390" s="1" t="s">
        <v>679</v>
      </c>
      <c r="H390" s="1" t="s">
        <v>22</v>
      </c>
      <c r="I390" s="1">
        <v>36</v>
      </c>
      <c r="J390" s="1">
        <v>54715</v>
      </c>
      <c r="K390" s="1" t="s">
        <v>34</v>
      </c>
      <c r="L390" s="1" t="s">
        <v>24</v>
      </c>
      <c r="M390" s="1" t="s">
        <v>680</v>
      </c>
      <c r="N390" s="1">
        <v>9900</v>
      </c>
      <c r="O390" s="12">
        <v>10600</v>
      </c>
      <c r="P390" s="3" t="s">
        <v>57</v>
      </c>
      <c r="Q390" s="1" cm="1">
        <f t="array" ref="Q390">VALUE(INDEX(_xlfn.TEXTSPLIT(P390, " "), 4))</f>
        <v>2014</v>
      </c>
      <c r="R390" s="1" t="str">
        <f t="shared" si="6"/>
        <v>Mazda Mazda3 i SV</v>
      </c>
      <c r="S390" s="1" t="str" cm="1">
        <f t="array" ref="S390">_xlfn.IFS(I390 &gt;= 40, "High", I390&gt;=20, "Medium", I390&lt;20, "Low")</f>
        <v>Medium</v>
      </c>
      <c r="T390" s="1" t="str" cm="1">
        <f t="array" ref="T390">_xlfn.IFS(O390&lt;18200, "Low", O390&lt;=50000, "Medium", O390&gt;50000, "High")</f>
        <v>Low</v>
      </c>
    </row>
    <row r="391" spans="1:20" x14ac:dyDescent="0.25">
      <c r="A391" s="2">
        <v>2013</v>
      </c>
      <c r="B391" s="1" t="s">
        <v>681</v>
      </c>
      <c r="C391" s="1" t="s">
        <v>682</v>
      </c>
      <c r="D391" s="1" t="s">
        <v>54</v>
      </c>
      <c r="E391" s="1" t="s">
        <v>227</v>
      </c>
      <c r="F391" s="1" t="s">
        <v>20</v>
      </c>
      <c r="G391" s="1" t="s">
        <v>683</v>
      </c>
      <c r="H391" s="1" t="s">
        <v>22</v>
      </c>
      <c r="I391" s="1">
        <v>37</v>
      </c>
      <c r="J391" s="1">
        <v>36498</v>
      </c>
      <c r="K391" s="1" t="s">
        <v>549</v>
      </c>
      <c r="L391" s="1" t="s">
        <v>28</v>
      </c>
      <c r="M391" s="1" t="s">
        <v>95</v>
      </c>
      <c r="N391" s="1">
        <v>13550</v>
      </c>
      <c r="O391" s="12">
        <v>13600</v>
      </c>
      <c r="P391" s="3" t="s">
        <v>57</v>
      </c>
      <c r="Q391" s="1" cm="1">
        <f t="array" ref="Q391">VALUE(INDEX(_xlfn.TEXTSPLIT(P391, " "), 4))</f>
        <v>2014</v>
      </c>
      <c r="R391" s="1" t="str">
        <f t="shared" si="6"/>
        <v>MINI Cooper Clubman Base</v>
      </c>
      <c r="S391" s="1" t="str" cm="1">
        <f t="array" ref="S391">_xlfn.IFS(I391 &gt;= 40, "High", I391&gt;=20, "Medium", I391&lt;20, "Low")</f>
        <v>Medium</v>
      </c>
      <c r="T391" s="1" t="str" cm="1">
        <f t="array" ref="T391">_xlfn.IFS(O391&lt;18200, "Low", O391&lt;=50000, "Medium", O391&gt;50000, "High")</f>
        <v>Low</v>
      </c>
    </row>
    <row r="392" spans="1:20" x14ac:dyDescent="0.25">
      <c r="A392" s="2">
        <v>2013</v>
      </c>
      <c r="B392" s="1" t="s">
        <v>681</v>
      </c>
      <c r="C392" s="1" t="s">
        <v>684</v>
      </c>
      <c r="D392" s="1" t="s">
        <v>54</v>
      </c>
      <c r="E392" s="1" t="s">
        <v>227</v>
      </c>
      <c r="F392" s="1" t="s">
        <v>20</v>
      </c>
      <c r="G392" s="1" t="s">
        <v>685</v>
      </c>
      <c r="H392" s="1" t="s">
        <v>22</v>
      </c>
      <c r="I392" s="1">
        <v>28</v>
      </c>
      <c r="J392" s="1">
        <v>7273</v>
      </c>
      <c r="K392" s="1" t="s">
        <v>94</v>
      </c>
      <c r="L392" s="1" t="s">
        <v>101</v>
      </c>
      <c r="M392" s="1" t="s">
        <v>686</v>
      </c>
      <c r="N392" s="1">
        <v>15300</v>
      </c>
      <c r="O392" s="12">
        <v>15000</v>
      </c>
      <c r="P392" s="3" t="s">
        <v>46</v>
      </c>
      <c r="Q392" s="1" cm="1">
        <f t="array" ref="Q392">VALUE(INDEX(_xlfn.TEXTSPLIT(P392, " "), 4))</f>
        <v>2014</v>
      </c>
      <c r="R392" s="1" t="str">
        <f t="shared" si="6"/>
        <v>MINI Cooper Base</v>
      </c>
      <c r="S392" s="1" t="str" cm="1">
        <f t="array" ref="S392">_xlfn.IFS(I392 &gt;= 40, "High", I392&gt;=20, "Medium", I392&lt;20, "Low")</f>
        <v>Medium</v>
      </c>
      <c r="T392" s="1" t="str" cm="1">
        <f t="array" ref="T392">_xlfn.IFS(O392&lt;18200, "Low", O392&lt;=50000, "Medium", O392&gt;50000, "High")</f>
        <v>Low</v>
      </c>
    </row>
    <row r="393" spans="1:20" x14ac:dyDescent="0.25">
      <c r="A393" s="2">
        <v>2013</v>
      </c>
      <c r="B393" s="1" t="s">
        <v>608</v>
      </c>
      <c r="C393" s="1" t="s">
        <v>609</v>
      </c>
      <c r="D393" s="1" t="s">
        <v>610</v>
      </c>
      <c r="E393" s="1" t="s">
        <v>32</v>
      </c>
      <c r="F393" s="1"/>
      <c r="G393" s="1" t="s">
        <v>687</v>
      </c>
      <c r="H393" s="1" t="s">
        <v>22</v>
      </c>
      <c r="I393" s="1">
        <v>39</v>
      </c>
      <c r="J393" s="1">
        <v>16426</v>
      </c>
      <c r="K393" s="1" t="s">
        <v>24</v>
      </c>
      <c r="L393" s="1" t="s">
        <v>24</v>
      </c>
      <c r="M393" s="1" t="s">
        <v>612</v>
      </c>
      <c r="N393" s="1">
        <v>52600</v>
      </c>
      <c r="O393" s="12">
        <v>54250</v>
      </c>
      <c r="P393" s="3" t="s">
        <v>36</v>
      </c>
      <c r="Q393" s="1" cm="1">
        <f t="array" ref="Q393">VALUE(INDEX(_xlfn.TEXTSPLIT(P393, " "), 4))</f>
        <v>2015</v>
      </c>
      <c r="R393" s="1" t="str">
        <f t="shared" si="6"/>
        <v>Mercedes-Benz S-Class S550</v>
      </c>
      <c r="S393" s="1" t="str" cm="1">
        <f t="array" ref="S393">_xlfn.IFS(I393 &gt;= 40, "High", I393&gt;=20, "Medium", I393&lt;20, "Low")</f>
        <v>Medium</v>
      </c>
      <c r="T393" s="1" t="str" cm="1">
        <f t="array" ref="T393">_xlfn.IFS(O393&lt;18200, "Low", O393&lt;=50000, "Medium", O393&gt;50000, "High")</f>
        <v>High</v>
      </c>
    </row>
    <row r="394" spans="1:20" x14ac:dyDescent="0.25">
      <c r="A394" s="2">
        <v>2013</v>
      </c>
      <c r="B394" s="1" t="s">
        <v>632</v>
      </c>
      <c r="C394" s="1" t="s">
        <v>688</v>
      </c>
      <c r="D394" s="1" t="s">
        <v>646</v>
      </c>
      <c r="E394" s="1" t="s">
        <v>19</v>
      </c>
      <c r="F394" s="1" t="s">
        <v>20</v>
      </c>
      <c r="G394" s="1" t="s">
        <v>689</v>
      </c>
      <c r="H394" s="1" t="s">
        <v>22</v>
      </c>
      <c r="I394" s="1">
        <v>38</v>
      </c>
      <c r="J394" s="1">
        <v>46733</v>
      </c>
      <c r="K394" s="1" t="s">
        <v>73</v>
      </c>
      <c r="L394" s="1" t="s">
        <v>24</v>
      </c>
      <c r="M394" s="1" t="s">
        <v>95</v>
      </c>
      <c r="N394" s="1">
        <v>19150</v>
      </c>
      <c r="O394" s="12">
        <v>20500</v>
      </c>
      <c r="P394" s="3" t="s">
        <v>459</v>
      </c>
      <c r="Q394" s="1" cm="1">
        <f t="array" ref="Q394">VALUE(INDEX(_xlfn.TEXTSPLIT(P394, " "), 4))</f>
        <v>2014</v>
      </c>
      <c r="R394" s="1" t="str">
        <f t="shared" si="6"/>
        <v>Mazda CX-9 Touring</v>
      </c>
      <c r="S394" s="1" t="str" cm="1">
        <f t="array" ref="S394">_xlfn.IFS(I394 &gt;= 40, "High", I394&gt;=20, "Medium", I394&lt;20, "Low")</f>
        <v>Medium</v>
      </c>
      <c r="T394" s="1" t="str" cm="1">
        <f t="array" ref="T394">_xlfn.IFS(O394&lt;18200, "Low", O394&lt;=50000, "Medium", O394&gt;50000, "High")</f>
        <v>Medium</v>
      </c>
    </row>
    <row r="395" spans="1:20" x14ac:dyDescent="0.25">
      <c r="A395" s="2">
        <v>2013</v>
      </c>
      <c r="B395" s="1" t="s">
        <v>318</v>
      </c>
      <c r="C395" s="1" t="s">
        <v>323</v>
      </c>
      <c r="D395" s="1" t="s">
        <v>324</v>
      </c>
      <c r="E395" s="1" t="s">
        <v>323</v>
      </c>
      <c r="F395" s="1" t="s">
        <v>20</v>
      </c>
      <c r="G395" s="1" t="s">
        <v>690</v>
      </c>
      <c r="H395" s="1" t="s">
        <v>22</v>
      </c>
      <c r="I395" s="1">
        <v>4</v>
      </c>
      <c r="J395" s="1">
        <v>33838</v>
      </c>
      <c r="K395" s="1" t="s">
        <v>34</v>
      </c>
      <c r="L395" s="1" t="s">
        <v>24</v>
      </c>
      <c r="M395" s="1" t="s">
        <v>322</v>
      </c>
      <c r="N395" s="1">
        <v>21600</v>
      </c>
      <c r="O395" s="12">
        <v>20250</v>
      </c>
      <c r="P395" s="3" t="s">
        <v>46</v>
      </c>
      <c r="Q395" s="1" cm="1">
        <f t="array" ref="Q395">VALUE(INDEX(_xlfn.TEXTSPLIT(P395, " "), 4))</f>
        <v>2014</v>
      </c>
      <c r="R395" s="1" t="str">
        <f t="shared" si="6"/>
        <v>Infiniti G Sedan G37 Journey</v>
      </c>
      <c r="S395" s="1" t="str" cm="1">
        <f t="array" ref="S395">_xlfn.IFS(I395 &gt;= 40, "High", I395&gt;=20, "Medium", I395&lt;20, "Low")</f>
        <v>Low</v>
      </c>
      <c r="T395" s="1" t="str" cm="1">
        <f t="array" ref="T395">_xlfn.IFS(O395&lt;18200, "Low", O395&lt;=50000, "Medium", O395&gt;50000, "High")</f>
        <v>Medium</v>
      </c>
    </row>
    <row r="396" spans="1:20" x14ac:dyDescent="0.25">
      <c r="A396" s="2">
        <v>2013</v>
      </c>
      <c r="B396" s="1" t="s">
        <v>47</v>
      </c>
      <c r="C396" s="1" t="s">
        <v>48</v>
      </c>
      <c r="D396" s="1" t="s">
        <v>49</v>
      </c>
      <c r="E396" s="1" t="s">
        <v>107</v>
      </c>
      <c r="F396" s="1" t="s">
        <v>20</v>
      </c>
      <c r="G396" s="1" t="s">
        <v>691</v>
      </c>
      <c r="H396" s="1" t="s">
        <v>22</v>
      </c>
      <c r="I396" s="1">
        <v>1</v>
      </c>
      <c r="J396" s="1">
        <v>33985</v>
      </c>
      <c r="K396" s="1" t="s">
        <v>24</v>
      </c>
      <c r="L396" s="1" t="s">
        <v>24</v>
      </c>
      <c r="M396" s="1" t="s">
        <v>692</v>
      </c>
      <c r="N396" s="1">
        <v>13700</v>
      </c>
      <c r="O396" s="12">
        <v>8000</v>
      </c>
      <c r="P396" s="3" t="s">
        <v>693</v>
      </c>
      <c r="Q396" s="1" cm="1">
        <f t="array" ref="Q396">VALUE(INDEX(_xlfn.TEXTSPLIT(P396, " "), 4))</f>
        <v>2014</v>
      </c>
      <c r="R396" s="1" t="str">
        <f t="shared" si="6"/>
        <v>Nissan Altima 2.5 S</v>
      </c>
      <c r="S396" s="1" t="str" cm="1">
        <f t="array" ref="S396">_xlfn.IFS(I396 &gt;= 40, "High", I396&gt;=20, "Medium", I396&lt;20, "Low")</f>
        <v>Low</v>
      </c>
      <c r="T396" s="1" t="str" cm="1">
        <f t="array" ref="T396">_xlfn.IFS(O396&lt;18200, "Low", O396&lt;=50000, "Medium", O396&gt;50000, "High")</f>
        <v>Low</v>
      </c>
    </row>
    <row r="397" spans="1:20" x14ac:dyDescent="0.25">
      <c r="A397" s="2">
        <v>2013</v>
      </c>
      <c r="B397" s="1" t="s">
        <v>16</v>
      </c>
      <c r="C397" s="1" t="s">
        <v>694</v>
      </c>
      <c r="D397" s="1" t="s">
        <v>18</v>
      </c>
      <c r="E397" s="1" t="s">
        <v>32</v>
      </c>
      <c r="F397" s="1" t="s">
        <v>20</v>
      </c>
      <c r="G397" s="1" t="s">
        <v>695</v>
      </c>
      <c r="H397" s="1" t="s">
        <v>22</v>
      </c>
      <c r="I397" s="1">
        <v>43</v>
      </c>
      <c r="J397" s="1">
        <v>54978</v>
      </c>
      <c r="K397" s="1" t="s">
        <v>24</v>
      </c>
      <c r="L397" s="1" t="s">
        <v>34</v>
      </c>
      <c r="M397" s="1" t="s">
        <v>635</v>
      </c>
      <c r="N397" s="1">
        <v>7050</v>
      </c>
      <c r="O397" s="12">
        <v>9200</v>
      </c>
      <c r="P397" s="3" t="s">
        <v>68</v>
      </c>
      <c r="Q397" s="1" cm="1">
        <f t="array" ref="Q397">VALUE(INDEX(_xlfn.TEXTSPLIT(P397, " "), 4))</f>
        <v>2014</v>
      </c>
      <c r="R397" s="1" t="str">
        <f t="shared" si="6"/>
        <v>Kia Forte LX</v>
      </c>
      <c r="S397" s="1" t="str" cm="1">
        <f t="array" ref="S397">_xlfn.IFS(I397 &gt;= 40, "High", I397&gt;=20, "Medium", I397&lt;20, "Low")</f>
        <v>High</v>
      </c>
      <c r="T397" s="1" t="str" cm="1">
        <f t="array" ref="T397">_xlfn.IFS(O397&lt;18200, "Low", O397&lt;=50000, "Medium", O397&gt;50000, "High")</f>
        <v>Low</v>
      </c>
    </row>
    <row r="398" spans="1:20" x14ac:dyDescent="0.25">
      <c r="A398" s="2">
        <v>2013</v>
      </c>
      <c r="B398" s="1" t="s">
        <v>632</v>
      </c>
      <c r="C398" s="1" t="s">
        <v>688</v>
      </c>
      <c r="D398" s="1" t="s">
        <v>646</v>
      </c>
      <c r="E398" s="1" t="s">
        <v>19</v>
      </c>
      <c r="F398" s="1" t="s">
        <v>20</v>
      </c>
      <c r="G398" s="1" t="s">
        <v>696</v>
      </c>
      <c r="H398" s="1" t="s">
        <v>22</v>
      </c>
      <c r="I398" s="1">
        <v>36</v>
      </c>
      <c r="J398" s="1">
        <v>44289</v>
      </c>
      <c r="K398" s="1" t="s">
        <v>34</v>
      </c>
      <c r="L398" s="1" t="s">
        <v>24</v>
      </c>
      <c r="M398" s="1" t="s">
        <v>95</v>
      </c>
      <c r="N398" s="1">
        <v>19050</v>
      </c>
      <c r="O398" s="12">
        <v>20000</v>
      </c>
      <c r="P398" s="3" t="s">
        <v>459</v>
      </c>
      <c r="Q398" s="1" cm="1">
        <f t="array" ref="Q398">VALUE(INDEX(_xlfn.TEXTSPLIT(P398, " "), 4))</f>
        <v>2014</v>
      </c>
      <c r="R398" s="1" t="str">
        <f t="shared" si="6"/>
        <v>Mazda CX-9 Touring</v>
      </c>
      <c r="S398" s="1" t="str" cm="1">
        <f t="array" ref="S398">_xlfn.IFS(I398 &gt;= 40, "High", I398&gt;=20, "Medium", I398&lt;20, "Low")</f>
        <v>Medium</v>
      </c>
      <c r="T398" s="1" t="str" cm="1">
        <f t="array" ref="T398">_xlfn.IFS(O398&lt;18200, "Low", O398&lt;=50000, "Medium", O398&gt;50000, "High")</f>
        <v>Medium</v>
      </c>
    </row>
    <row r="399" spans="1:20" x14ac:dyDescent="0.25">
      <c r="A399" s="2">
        <v>2013</v>
      </c>
      <c r="B399" s="1" t="s">
        <v>16</v>
      </c>
      <c r="C399" s="1" t="s">
        <v>17</v>
      </c>
      <c r="D399" s="1" t="s">
        <v>623</v>
      </c>
      <c r="E399" s="1" t="s">
        <v>19</v>
      </c>
      <c r="F399" s="1" t="s">
        <v>20</v>
      </c>
      <c r="G399" s="1" t="s">
        <v>697</v>
      </c>
      <c r="H399" s="1" t="s">
        <v>22</v>
      </c>
      <c r="I399" s="1">
        <v>47</v>
      </c>
      <c r="J399" s="1">
        <v>20209</v>
      </c>
      <c r="K399" s="1" t="s">
        <v>288</v>
      </c>
      <c r="L399" s="1" t="s">
        <v>24</v>
      </c>
      <c r="M399" s="1" t="s">
        <v>625</v>
      </c>
      <c r="N399" s="1">
        <v>21700</v>
      </c>
      <c r="O399" s="12">
        <v>21500</v>
      </c>
      <c r="P399" s="3" t="s">
        <v>362</v>
      </c>
      <c r="Q399" s="1" cm="1">
        <f t="array" ref="Q399">VALUE(INDEX(_xlfn.TEXTSPLIT(P399, " "), 4))</f>
        <v>2014</v>
      </c>
      <c r="R399" s="1" t="str">
        <f t="shared" si="6"/>
        <v>Kia Sorento SX</v>
      </c>
      <c r="S399" s="1" t="str" cm="1">
        <f t="array" ref="S399">_xlfn.IFS(I399 &gt;= 40, "High", I399&gt;=20, "Medium", I399&lt;20, "Low")</f>
        <v>High</v>
      </c>
      <c r="T399" s="1" t="str" cm="1">
        <f t="array" ref="T399">_xlfn.IFS(O399&lt;18200, "Low", O399&lt;=50000, "Medium", O399&gt;50000, "High")</f>
        <v>Medium</v>
      </c>
    </row>
    <row r="400" spans="1:20" x14ac:dyDescent="0.25">
      <c r="A400" s="2">
        <v>2013</v>
      </c>
      <c r="B400" s="1" t="s">
        <v>47</v>
      </c>
      <c r="C400" s="1" t="s">
        <v>48</v>
      </c>
      <c r="D400" s="1">
        <v>2.5</v>
      </c>
      <c r="E400" s="1" t="s">
        <v>32</v>
      </c>
      <c r="F400" s="1" t="s">
        <v>20</v>
      </c>
      <c r="G400" s="1" t="s">
        <v>698</v>
      </c>
      <c r="H400" s="1" t="s">
        <v>22</v>
      </c>
      <c r="I400" s="1">
        <v>35</v>
      </c>
      <c r="J400" s="1">
        <v>38688</v>
      </c>
      <c r="K400" s="1" t="s">
        <v>73</v>
      </c>
      <c r="L400" s="1" t="s">
        <v>24</v>
      </c>
      <c r="M400" s="1" t="s">
        <v>182</v>
      </c>
      <c r="N400" s="1">
        <v>12850</v>
      </c>
      <c r="O400" s="12">
        <v>13500</v>
      </c>
      <c r="P400" s="3" t="s">
        <v>26</v>
      </c>
      <c r="Q400" s="1" cm="1">
        <f t="array" ref="Q400">VALUE(INDEX(_xlfn.TEXTSPLIT(P400, " "), 4))</f>
        <v>2014</v>
      </c>
      <c r="R400" s="1" t="str">
        <f t="shared" si="6"/>
        <v>Nissan Altima 2.5</v>
      </c>
      <c r="S400" s="1" t="str" cm="1">
        <f t="array" ref="S400">_xlfn.IFS(I400 &gt;= 40, "High", I400&gt;=20, "Medium", I400&lt;20, "Low")</f>
        <v>Medium</v>
      </c>
      <c r="T400" s="1" t="str" cm="1">
        <f t="array" ref="T400">_xlfn.IFS(O400&lt;18200, "Low", O400&lt;=50000, "Medium", O400&gt;50000, "High")</f>
        <v>Low</v>
      </c>
    </row>
    <row r="401" spans="1:20" x14ac:dyDescent="0.25">
      <c r="A401" s="2">
        <v>2013</v>
      </c>
      <c r="B401" s="1" t="s">
        <v>47</v>
      </c>
      <c r="C401" s="1" t="s">
        <v>48</v>
      </c>
      <c r="D401" s="1">
        <v>2.5</v>
      </c>
      <c r="E401" s="1" t="s">
        <v>32</v>
      </c>
      <c r="F401" s="1" t="s">
        <v>20</v>
      </c>
      <c r="G401" s="1" t="s">
        <v>699</v>
      </c>
      <c r="H401" s="1" t="s">
        <v>22</v>
      </c>
      <c r="I401" s="1">
        <v>33</v>
      </c>
      <c r="J401" s="1">
        <v>40931</v>
      </c>
      <c r="K401" s="1" t="s">
        <v>700</v>
      </c>
      <c r="L401" s="1" t="s">
        <v>24</v>
      </c>
      <c r="M401" s="1" t="s">
        <v>142</v>
      </c>
      <c r="N401" s="1">
        <v>12750</v>
      </c>
      <c r="O401" s="12">
        <v>13500</v>
      </c>
      <c r="P401" s="3" t="s">
        <v>26</v>
      </c>
      <c r="Q401" s="1" cm="1">
        <f t="array" ref="Q401">VALUE(INDEX(_xlfn.TEXTSPLIT(P401, " "), 4))</f>
        <v>2014</v>
      </c>
      <c r="R401" s="1" t="str">
        <f t="shared" si="6"/>
        <v>Nissan Altima 2.5</v>
      </c>
      <c r="S401" s="1" t="str" cm="1">
        <f t="array" ref="S401">_xlfn.IFS(I401 &gt;= 40, "High", I401&gt;=20, "Medium", I401&lt;20, "Low")</f>
        <v>Medium</v>
      </c>
      <c r="T401" s="1" t="str" cm="1">
        <f t="array" ref="T401">_xlfn.IFS(O401&lt;18200, "Low", O401&lt;=50000, "Medium", O401&gt;50000, "High")</f>
        <v>Low</v>
      </c>
    </row>
    <row r="402" spans="1:20" x14ac:dyDescent="0.25">
      <c r="A402" s="2">
        <v>2013</v>
      </c>
      <c r="B402" s="1" t="s">
        <v>47</v>
      </c>
      <c r="C402" s="1" t="s">
        <v>48</v>
      </c>
      <c r="D402" s="1">
        <v>2.5</v>
      </c>
      <c r="E402" s="1" t="s">
        <v>32</v>
      </c>
      <c r="F402" s="1" t="s">
        <v>20</v>
      </c>
      <c r="G402" s="1" t="s">
        <v>701</v>
      </c>
      <c r="H402" s="1" t="s">
        <v>22</v>
      </c>
      <c r="I402" s="1">
        <v>41</v>
      </c>
      <c r="J402" s="1">
        <v>39364</v>
      </c>
      <c r="K402" s="1" t="s">
        <v>91</v>
      </c>
      <c r="L402" s="1" t="s">
        <v>24</v>
      </c>
      <c r="M402" s="1" t="s">
        <v>182</v>
      </c>
      <c r="N402" s="1">
        <v>12800</v>
      </c>
      <c r="O402" s="12">
        <v>13500</v>
      </c>
      <c r="P402" s="3" t="s">
        <v>57</v>
      </c>
      <c r="Q402" s="1" cm="1">
        <f t="array" ref="Q402">VALUE(INDEX(_xlfn.TEXTSPLIT(P402, " "), 4))</f>
        <v>2014</v>
      </c>
      <c r="R402" s="1" t="str">
        <f t="shared" si="6"/>
        <v>Nissan Altima 2.5</v>
      </c>
      <c r="S402" s="1" t="str" cm="1">
        <f t="array" ref="S402">_xlfn.IFS(I402 &gt;= 40, "High", I402&gt;=20, "Medium", I402&lt;20, "Low")</f>
        <v>High</v>
      </c>
      <c r="T402" s="1" t="str" cm="1">
        <f t="array" ref="T402">_xlfn.IFS(O402&lt;18200, "Low", O402&lt;=50000, "Medium", O402&gt;50000, "High")</f>
        <v>Low</v>
      </c>
    </row>
    <row r="403" spans="1:20" x14ac:dyDescent="0.25">
      <c r="A403" s="2">
        <v>2013</v>
      </c>
      <c r="B403" s="1" t="s">
        <v>600</v>
      </c>
      <c r="C403" s="1" t="s">
        <v>702</v>
      </c>
      <c r="D403" s="1" t="s">
        <v>703</v>
      </c>
      <c r="E403" s="1" t="s">
        <v>19</v>
      </c>
      <c r="F403" s="1" t="s">
        <v>20</v>
      </c>
      <c r="G403" s="1" t="s">
        <v>704</v>
      </c>
      <c r="H403" s="1" t="s">
        <v>22</v>
      </c>
      <c r="I403" s="1">
        <v>41</v>
      </c>
      <c r="J403" s="1">
        <v>32090</v>
      </c>
      <c r="K403" s="1" t="s">
        <v>23</v>
      </c>
      <c r="L403" s="1" t="s">
        <v>24</v>
      </c>
      <c r="M403" s="1" t="s">
        <v>705</v>
      </c>
      <c r="N403" s="1">
        <v>12600</v>
      </c>
      <c r="O403" s="12">
        <v>13900</v>
      </c>
      <c r="P403" s="3" t="s">
        <v>68</v>
      </c>
      <c r="Q403" s="1" cm="1">
        <f t="array" ref="Q403">VALUE(INDEX(_xlfn.TEXTSPLIT(P403, " "), 4))</f>
        <v>2014</v>
      </c>
      <c r="R403" s="1" t="str">
        <f t="shared" si="6"/>
        <v>Jeep Compass Latitude</v>
      </c>
      <c r="S403" s="1" t="str" cm="1">
        <f t="array" ref="S403">_xlfn.IFS(I403 &gt;= 40, "High", I403&gt;=20, "Medium", I403&lt;20, "Low")</f>
        <v>High</v>
      </c>
      <c r="T403" s="1" t="str" cm="1">
        <f t="array" ref="T403">_xlfn.IFS(O403&lt;18200, "Low", O403&lt;=50000, "Medium", O403&gt;50000, "High")</f>
        <v>Low</v>
      </c>
    </row>
    <row r="404" spans="1:20" x14ac:dyDescent="0.25">
      <c r="A404" s="2">
        <v>2013</v>
      </c>
      <c r="B404" s="1" t="s">
        <v>47</v>
      </c>
      <c r="C404" s="1" t="s">
        <v>653</v>
      </c>
      <c r="D404" s="1" t="s">
        <v>54</v>
      </c>
      <c r="E404" s="1" t="s">
        <v>107</v>
      </c>
      <c r="F404" s="1" t="s">
        <v>20</v>
      </c>
      <c r="G404" s="1" t="s">
        <v>706</v>
      </c>
      <c r="H404" s="1" t="s">
        <v>22</v>
      </c>
      <c r="I404" s="1">
        <v>38</v>
      </c>
      <c r="J404" s="1">
        <v>10506</v>
      </c>
      <c r="K404" s="1" t="s">
        <v>24</v>
      </c>
      <c r="L404" s="1" t="s">
        <v>24</v>
      </c>
      <c r="M404" s="1" t="s">
        <v>651</v>
      </c>
      <c r="N404" s="1">
        <v>23600</v>
      </c>
      <c r="O404" s="12">
        <v>21500</v>
      </c>
      <c r="P404" s="3" t="s">
        <v>26</v>
      </c>
      <c r="Q404" s="1" cm="1">
        <f t="array" ref="Q404">VALUE(INDEX(_xlfn.TEXTSPLIT(P404, " "), 4))</f>
        <v>2014</v>
      </c>
      <c r="R404" s="1" t="str">
        <f t="shared" si="6"/>
        <v>Nissan 370Z Base</v>
      </c>
      <c r="S404" s="1" t="str" cm="1">
        <f t="array" ref="S404">_xlfn.IFS(I404 &gt;= 40, "High", I404&gt;=20, "Medium", I404&lt;20, "Low")</f>
        <v>Medium</v>
      </c>
      <c r="T404" s="1" t="str" cm="1">
        <f t="array" ref="T404">_xlfn.IFS(O404&lt;18200, "Low", O404&lt;=50000, "Medium", O404&gt;50000, "High")</f>
        <v>Medium</v>
      </c>
    </row>
    <row r="405" spans="1:20" x14ac:dyDescent="0.25">
      <c r="A405" s="2">
        <v>2013</v>
      </c>
      <c r="B405" s="1" t="s">
        <v>47</v>
      </c>
      <c r="C405" s="1" t="s">
        <v>48</v>
      </c>
      <c r="D405" s="1" t="s">
        <v>49</v>
      </c>
      <c r="E405" s="1" t="s">
        <v>107</v>
      </c>
      <c r="F405" s="1" t="s">
        <v>20</v>
      </c>
      <c r="G405" s="1" t="s">
        <v>707</v>
      </c>
      <c r="H405" s="1" t="s">
        <v>22</v>
      </c>
      <c r="I405" s="1">
        <v>44</v>
      </c>
      <c r="J405" s="1">
        <v>10510</v>
      </c>
      <c r="K405" s="1" t="s">
        <v>34</v>
      </c>
      <c r="L405" s="1" t="s">
        <v>24</v>
      </c>
      <c r="M405" s="1" t="s">
        <v>708</v>
      </c>
      <c r="N405" s="1">
        <v>15650</v>
      </c>
      <c r="O405" s="12">
        <v>15500</v>
      </c>
      <c r="P405" s="3" t="s">
        <v>26</v>
      </c>
      <c r="Q405" s="1" cm="1">
        <f t="array" ref="Q405">VALUE(INDEX(_xlfn.TEXTSPLIT(P405, " "), 4))</f>
        <v>2014</v>
      </c>
      <c r="R405" s="1" t="str">
        <f t="shared" si="6"/>
        <v>Nissan Altima 2.5 S</v>
      </c>
      <c r="S405" s="1" t="str" cm="1">
        <f t="array" ref="S405">_xlfn.IFS(I405 &gt;= 40, "High", I405&gt;=20, "Medium", I405&lt;20, "Low")</f>
        <v>High</v>
      </c>
      <c r="T405" s="1" t="str" cm="1">
        <f t="array" ref="T405">_xlfn.IFS(O405&lt;18200, "Low", O405&lt;=50000, "Medium", O405&gt;50000, "High")</f>
        <v>Low</v>
      </c>
    </row>
    <row r="406" spans="1:20" x14ac:dyDescent="0.25">
      <c r="A406" s="2">
        <v>2013</v>
      </c>
      <c r="B406" s="1" t="s">
        <v>632</v>
      </c>
      <c r="C406" s="1" t="s">
        <v>677</v>
      </c>
      <c r="D406" s="1" t="s">
        <v>709</v>
      </c>
      <c r="E406" s="1" t="s">
        <v>32</v>
      </c>
      <c r="F406" s="1" t="s">
        <v>20</v>
      </c>
      <c r="G406" s="1" t="s">
        <v>710</v>
      </c>
      <c r="H406" s="1" t="s">
        <v>22</v>
      </c>
      <c r="I406" s="1">
        <v>3</v>
      </c>
      <c r="J406" s="1">
        <v>47917</v>
      </c>
      <c r="K406" s="1" t="s">
        <v>24</v>
      </c>
      <c r="L406" s="1" t="s">
        <v>24</v>
      </c>
      <c r="M406" s="1" t="s">
        <v>711</v>
      </c>
      <c r="N406" s="1">
        <v>9100</v>
      </c>
      <c r="O406" s="12">
        <v>9600</v>
      </c>
      <c r="P406" s="3" t="s">
        <v>26</v>
      </c>
      <c r="Q406" s="1" cm="1">
        <f t="array" ref="Q406">VALUE(INDEX(_xlfn.TEXTSPLIT(P406, " "), 4))</f>
        <v>2014</v>
      </c>
      <c r="R406" s="1" t="str">
        <f t="shared" si="6"/>
        <v>Mazda Mazda3 i Touring</v>
      </c>
      <c r="S406" s="1" t="str" cm="1">
        <f t="array" ref="S406">_xlfn.IFS(I406 &gt;= 40, "High", I406&gt;=20, "Medium", I406&lt;20, "Low")</f>
        <v>Low</v>
      </c>
      <c r="T406" s="1" t="str" cm="1">
        <f t="array" ref="T406">_xlfn.IFS(O406&lt;18200, "Low", O406&lt;=50000, "Medium", O406&gt;50000, "High")</f>
        <v>Low</v>
      </c>
    </row>
    <row r="407" spans="1:20" x14ac:dyDescent="0.25">
      <c r="A407" s="2">
        <v>2013</v>
      </c>
      <c r="B407" s="1" t="s">
        <v>318</v>
      </c>
      <c r="C407" s="1" t="s">
        <v>712</v>
      </c>
      <c r="D407" s="1" t="s">
        <v>713</v>
      </c>
      <c r="E407" s="1" t="s">
        <v>19</v>
      </c>
      <c r="F407" s="1" t="s">
        <v>20</v>
      </c>
      <c r="G407" s="1" t="s">
        <v>714</v>
      </c>
      <c r="H407" s="1" t="s">
        <v>22</v>
      </c>
      <c r="I407" s="1">
        <v>37</v>
      </c>
      <c r="J407" s="1">
        <v>37738</v>
      </c>
      <c r="K407" s="1" t="s">
        <v>34</v>
      </c>
      <c r="L407" s="1" t="s">
        <v>28</v>
      </c>
      <c r="M407" s="1" t="s">
        <v>322</v>
      </c>
      <c r="N407" s="1">
        <v>32000</v>
      </c>
      <c r="O407" s="12">
        <v>32250</v>
      </c>
      <c r="P407" s="3" t="s">
        <v>57</v>
      </c>
      <c r="Q407" s="1" cm="1">
        <f t="array" ref="Q407">VALUE(INDEX(_xlfn.TEXTSPLIT(P407, " "), 4))</f>
        <v>2014</v>
      </c>
      <c r="R407" s="1" t="str">
        <f t="shared" si="6"/>
        <v>Infiniti JX JX35</v>
      </c>
      <c r="S407" s="1" t="str" cm="1">
        <f t="array" ref="S407">_xlfn.IFS(I407 &gt;= 40, "High", I407&gt;=20, "Medium", I407&lt;20, "Low")</f>
        <v>Medium</v>
      </c>
      <c r="T407" s="1" t="str" cm="1">
        <f t="array" ref="T407">_xlfn.IFS(O407&lt;18200, "Low", O407&lt;=50000, "Medium", O407&gt;50000, "High")</f>
        <v>Medium</v>
      </c>
    </row>
    <row r="408" spans="1:20" x14ac:dyDescent="0.25">
      <c r="A408" s="2">
        <v>2013</v>
      </c>
      <c r="B408" s="1" t="s">
        <v>318</v>
      </c>
      <c r="C408" s="1" t="s">
        <v>323</v>
      </c>
      <c r="D408" s="1" t="s">
        <v>324</v>
      </c>
      <c r="E408" s="1" t="s">
        <v>323</v>
      </c>
      <c r="F408" s="1" t="s">
        <v>20</v>
      </c>
      <c r="G408" s="1" t="s">
        <v>715</v>
      </c>
      <c r="H408" s="1" t="s">
        <v>22</v>
      </c>
      <c r="I408" s="1">
        <v>43</v>
      </c>
      <c r="J408" s="1">
        <v>19683</v>
      </c>
      <c r="K408" s="1" t="s">
        <v>34</v>
      </c>
      <c r="L408" s="1" t="s">
        <v>24</v>
      </c>
      <c r="M408" s="1" t="s">
        <v>322</v>
      </c>
      <c r="N408" s="1">
        <v>23300</v>
      </c>
      <c r="O408" s="12">
        <v>26000</v>
      </c>
      <c r="P408" s="3" t="s">
        <v>46</v>
      </c>
      <c r="Q408" s="1" cm="1">
        <f t="array" ref="Q408">VALUE(INDEX(_xlfn.TEXTSPLIT(P408, " "), 4))</f>
        <v>2014</v>
      </c>
      <c r="R408" s="1" t="str">
        <f t="shared" si="6"/>
        <v>Infiniti G Sedan G37 Journey</v>
      </c>
      <c r="S408" s="1" t="str" cm="1">
        <f t="array" ref="S408">_xlfn.IFS(I408 &gt;= 40, "High", I408&gt;=20, "Medium", I408&lt;20, "Low")</f>
        <v>High</v>
      </c>
      <c r="T408" s="1" t="str" cm="1">
        <f t="array" ref="T408">_xlfn.IFS(O408&lt;18200, "Low", O408&lt;=50000, "Medium", O408&gt;50000, "High")</f>
        <v>Medium</v>
      </c>
    </row>
    <row r="409" spans="1:20" x14ac:dyDescent="0.25">
      <c r="A409" s="2">
        <v>2013</v>
      </c>
      <c r="B409" s="1" t="s">
        <v>202</v>
      </c>
      <c r="C409" s="1" t="s">
        <v>203</v>
      </c>
      <c r="D409" s="1" t="s">
        <v>54</v>
      </c>
      <c r="E409" s="1" t="s">
        <v>19</v>
      </c>
      <c r="F409" s="1" t="s">
        <v>20</v>
      </c>
      <c r="G409" s="1" t="s">
        <v>716</v>
      </c>
      <c r="H409" s="1" t="s">
        <v>22</v>
      </c>
      <c r="I409" s="1"/>
      <c r="J409" s="1">
        <v>29353</v>
      </c>
      <c r="K409" s="1" t="s">
        <v>34</v>
      </c>
      <c r="L409" s="1" t="s">
        <v>101</v>
      </c>
      <c r="M409" s="1" t="s">
        <v>717</v>
      </c>
      <c r="N409" s="1">
        <v>32000</v>
      </c>
      <c r="O409" s="12">
        <v>29600</v>
      </c>
      <c r="P409" s="3" t="s">
        <v>57</v>
      </c>
      <c r="Q409" s="1" cm="1">
        <f t="array" ref="Q409">VALUE(INDEX(_xlfn.TEXTSPLIT(P409, " "), 4))</f>
        <v>2014</v>
      </c>
      <c r="R409" s="1" t="str">
        <f t="shared" si="6"/>
        <v>Lexus RX 350 Base</v>
      </c>
      <c r="S409" s="1" t="str" cm="1">
        <f t="array" ref="S409">_xlfn.IFS(I409 &gt;= 40, "High", I409&gt;=20, "Medium", I409&lt;20, "Low")</f>
        <v>Low</v>
      </c>
      <c r="T409" s="1" t="str" cm="1">
        <f t="array" ref="T409">_xlfn.IFS(O409&lt;18200, "Low", O409&lt;=50000, "Medium", O409&gt;50000, "High")</f>
        <v>Medium</v>
      </c>
    </row>
    <row r="410" spans="1:20" x14ac:dyDescent="0.25">
      <c r="A410" s="2">
        <v>2013</v>
      </c>
      <c r="B410" s="1" t="s">
        <v>318</v>
      </c>
      <c r="C410" s="1" t="s">
        <v>323</v>
      </c>
      <c r="D410" s="1" t="s">
        <v>718</v>
      </c>
      <c r="E410" s="1" t="s">
        <v>323</v>
      </c>
      <c r="F410" s="1" t="s">
        <v>20</v>
      </c>
      <c r="G410" s="1" t="s">
        <v>719</v>
      </c>
      <c r="H410" s="1" t="s">
        <v>22</v>
      </c>
      <c r="I410" s="1">
        <v>44</v>
      </c>
      <c r="J410" s="1">
        <v>37527</v>
      </c>
      <c r="K410" s="1" t="s">
        <v>23</v>
      </c>
      <c r="L410" s="1" t="s">
        <v>24</v>
      </c>
      <c r="M410" s="1" t="s">
        <v>322</v>
      </c>
      <c r="N410" s="1">
        <v>21700</v>
      </c>
      <c r="O410" s="12">
        <v>23000</v>
      </c>
      <c r="P410" s="3" t="s">
        <v>46</v>
      </c>
      <c r="Q410" s="1" cm="1">
        <f t="array" ref="Q410">VALUE(INDEX(_xlfn.TEXTSPLIT(P410, " "), 4))</f>
        <v>2014</v>
      </c>
      <c r="R410" s="1" t="str">
        <f t="shared" si="6"/>
        <v>Infiniti G Sedan G37x</v>
      </c>
      <c r="S410" s="1" t="str" cm="1">
        <f t="array" ref="S410">_xlfn.IFS(I410 &gt;= 40, "High", I410&gt;=20, "Medium", I410&lt;20, "Low")</f>
        <v>High</v>
      </c>
      <c r="T410" s="1" t="str" cm="1">
        <f t="array" ref="T410">_xlfn.IFS(O410&lt;18200, "Low", O410&lt;=50000, "Medium", O410&gt;50000, "High")</f>
        <v>Medium</v>
      </c>
    </row>
    <row r="411" spans="1:20" x14ac:dyDescent="0.25">
      <c r="A411" s="2">
        <v>2013</v>
      </c>
      <c r="B411" s="1" t="s">
        <v>16</v>
      </c>
      <c r="C411" s="1" t="s">
        <v>80</v>
      </c>
      <c r="D411" s="1" t="s">
        <v>623</v>
      </c>
      <c r="E411" s="1" t="s">
        <v>32</v>
      </c>
      <c r="F411" s="1" t="s">
        <v>20</v>
      </c>
      <c r="G411" s="1" t="s">
        <v>720</v>
      </c>
      <c r="H411" s="1" t="s">
        <v>22</v>
      </c>
      <c r="I411" s="1">
        <v>42</v>
      </c>
      <c r="J411" s="1">
        <v>14012</v>
      </c>
      <c r="K411" s="1" t="s">
        <v>24</v>
      </c>
      <c r="L411" s="1" t="s">
        <v>24</v>
      </c>
      <c r="M411" s="1" t="s">
        <v>83</v>
      </c>
      <c r="N411" s="1">
        <v>22200</v>
      </c>
      <c r="O411" s="12">
        <v>22200</v>
      </c>
      <c r="P411" s="3" t="s">
        <v>84</v>
      </c>
      <c r="Q411" s="1" cm="1">
        <f t="array" ref="Q411">VALUE(INDEX(_xlfn.TEXTSPLIT(P411, " "), 4))</f>
        <v>2014</v>
      </c>
      <c r="R411" s="1" t="str">
        <f t="shared" si="6"/>
        <v>Kia Optima SX</v>
      </c>
      <c r="S411" s="1" t="str" cm="1">
        <f t="array" ref="S411">_xlfn.IFS(I411 &gt;= 40, "High", I411&gt;=20, "Medium", I411&lt;20, "Low")</f>
        <v>High</v>
      </c>
      <c r="T411" s="1" t="str" cm="1">
        <f t="array" ref="T411">_xlfn.IFS(O411&lt;18200, "Low", O411&lt;=50000, "Medium", O411&gt;50000, "High")</f>
        <v>Medium</v>
      </c>
    </row>
    <row r="412" spans="1:20" x14ac:dyDescent="0.25">
      <c r="A412" s="2">
        <v>2013</v>
      </c>
      <c r="B412" s="1" t="s">
        <v>47</v>
      </c>
      <c r="C412" s="1" t="s">
        <v>48</v>
      </c>
      <c r="D412" s="1">
        <v>2.5</v>
      </c>
      <c r="E412" s="1" t="s">
        <v>32</v>
      </c>
      <c r="F412" s="1" t="s">
        <v>20</v>
      </c>
      <c r="G412" s="1" t="s">
        <v>721</v>
      </c>
      <c r="H412" s="1" t="s">
        <v>22</v>
      </c>
      <c r="I412" s="1">
        <v>39</v>
      </c>
      <c r="J412" s="1">
        <v>37395</v>
      </c>
      <c r="K412" s="1" t="s">
        <v>23</v>
      </c>
      <c r="L412" s="1" t="s">
        <v>28</v>
      </c>
      <c r="M412" s="1" t="s">
        <v>182</v>
      </c>
      <c r="N412" s="1">
        <v>13150</v>
      </c>
      <c r="O412" s="12">
        <v>13400</v>
      </c>
      <c r="P412" s="3" t="s">
        <v>143</v>
      </c>
      <c r="Q412" s="1" cm="1">
        <f t="array" ref="Q412">VALUE(INDEX(_xlfn.TEXTSPLIT(P412, " "), 4))</f>
        <v>2014</v>
      </c>
      <c r="R412" s="1" t="str">
        <f t="shared" si="6"/>
        <v>Nissan Altima 2.5</v>
      </c>
      <c r="S412" s="1" t="str" cm="1">
        <f t="array" ref="S412">_xlfn.IFS(I412 &gt;= 40, "High", I412&gt;=20, "Medium", I412&lt;20, "Low")</f>
        <v>Medium</v>
      </c>
      <c r="T412" s="1" t="str" cm="1">
        <f t="array" ref="T412">_xlfn.IFS(O412&lt;18200, "Low", O412&lt;=50000, "Medium", O412&gt;50000, "High")</f>
        <v>Low</v>
      </c>
    </row>
    <row r="413" spans="1:20" x14ac:dyDescent="0.25">
      <c r="A413" s="2">
        <v>2013</v>
      </c>
      <c r="B413" s="1" t="s">
        <v>16</v>
      </c>
      <c r="C413" s="1" t="s">
        <v>637</v>
      </c>
      <c r="D413" s="1" t="s">
        <v>623</v>
      </c>
      <c r="E413" s="1" t="s">
        <v>227</v>
      </c>
      <c r="F413" s="1" t="s">
        <v>214</v>
      </c>
      <c r="G413" s="1" t="s">
        <v>722</v>
      </c>
      <c r="H413" s="1" t="s">
        <v>22</v>
      </c>
      <c r="I413" s="1">
        <v>46</v>
      </c>
      <c r="J413" s="1">
        <v>4668</v>
      </c>
      <c r="K413" s="1" t="s">
        <v>73</v>
      </c>
      <c r="L413" s="1" t="s">
        <v>24</v>
      </c>
      <c r="M413" s="1" t="s">
        <v>83</v>
      </c>
      <c r="N413" s="1">
        <v>14050</v>
      </c>
      <c r="O413" s="12">
        <v>14200</v>
      </c>
      <c r="P413" s="3" t="s">
        <v>84</v>
      </c>
      <c r="Q413" s="1" cm="1">
        <f t="array" ref="Q413">VALUE(INDEX(_xlfn.TEXTSPLIT(P413, " "), 4))</f>
        <v>2014</v>
      </c>
      <c r="R413" s="1" t="str">
        <f t="shared" si="6"/>
        <v>Kia Rio SX</v>
      </c>
      <c r="S413" s="1" t="str" cm="1">
        <f t="array" ref="S413">_xlfn.IFS(I413 &gt;= 40, "High", I413&gt;=20, "Medium", I413&lt;20, "Low")</f>
        <v>High</v>
      </c>
      <c r="T413" s="1" t="str" cm="1">
        <f t="array" ref="T413">_xlfn.IFS(O413&lt;18200, "Low", O413&lt;=50000, "Medium", O413&gt;50000, "High")</f>
        <v>Low</v>
      </c>
    </row>
    <row r="414" spans="1:20" x14ac:dyDescent="0.25">
      <c r="A414" s="2">
        <v>2013</v>
      </c>
      <c r="B414" s="1" t="s">
        <v>47</v>
      </c>
      <c r="C414" s="1" t="s">
        <v>48</v>
      </c>
      <c r="D414" s="1">
        <v>2.5</v>
      </c>
      <c r="E414" s="1" t="s">
        <v>32</v>
      </c>
      <c r="F414" s="1" t="s">
        <v>20</v>
      </c>
      <c r="G414" s="1" t="s">
        <v>723</v>
      </c>
      <c r="H414" s="1" t="s">
        <v>22</v>
      </c>
      <c r="I414" s="1">
        <v>35</v>
      </c>
      <c r="J414" s="1">
        <v>35900</v>
      </c>
      <c r="K414" s="1" t="s">
        <v>24</v>
      </c>
      <c r="L414" s="1" t="s">
        <v>24</v>
      </c>
      <c r="M414" s="1" t="s">
        <v>95</v>
      </c>
      <c r="N414" s="1">
        <v>12950</v>
      </c>
      <c r="O414" s="12">
        <v>13500</v>
      </c>
      <c r="P414" s="3" t="s">
        <v>57</v>
      </c>
      <c r="Q414" s="1" cm="1">
        <f t="array" ref="Q414">VALUE(INDEX(_xlfn.TEXTSPLIT(P414, " "), 4))</f>
        <v>2014</v>
      </c>
      <c r="R414" s="1" t="str">
        <f t="shared" si="6"/>
        <v>Nissan Altima 2.5</v>
      </c>
      <c r="S414" s="1" t="str" cm="1">
        <f t="array" ref="S414">_xlfn.IFS(I414 &gt;= 40, "High", I414&gt;=20, "Medium", I414&lt;20, "Low")</f>
        <v>Medium</v>
      </c>
      <c r="T414" s="1" t="str" cm="1">
        <f t="array" ref="T414">_xlfn.IFS(O414&lt;18200, "Low", O414&lt;=50000, "Medium", O414&gt;50000, "High")</f>
        <v>Low</v>
      </c>
    </row>
    <row r="415" spans="1:20" x14ac:dyDescent="0.25">
      <c r="A415" s="2">
        <v>2013</v>
      </c>
      <c r="B415" s="1" t="s">
        <v>202</v>
      </c>
      <c r="C415" s="1" t="s">
        <v>724</v>
      </c>
      <c r="D415" s="1" t="s">
        <v>54</v>
      </c>
      <c r="E415" s="1" t="s">
        <v>19</v>
      </c>
      <c r="F415" s="1" t="s">
        <v>20</v>
      </c>
      <c r="G415" s="1" t="s">
        <v>725</v>
      </c>
      <c r="H415" s="1" t="s">
        <v>22</v>
      </c>
      <c r="I415" s="1"/>
      <c r="J415" s="1">
        <v>27970</v>
      </c>
      <c r="K415" s="1" t="s">
        <v>288</v>
      </c>
      <c r="L415" s="1" t="s">
        <v>101</v>
      </c>
      <c r="M415" s="1" t="s">
        <v>726</v>
      </c>
      <c r="N415" s="1">
        <v>37300</v>
      </c>
      <c r="O415" s="12">
        <v>30500</v>
      </c>
      <c r="P415" s="3" t="s">
        <v>57</v>
      </c>
      <c r="Q415" s="1" cm="1">
        <f t="array" ref="Q415">VALUE(INDEX(_xlfn.TEXTSPLIT(P415, " "), 4))</f>
        <v>2014</v>
      </c>
      <c r="R415" s="1" t="str">
        <f t="shared" si="6"/>
        <v>Lexus RX 450h Base</v>
      </c>
      <c r="S415" s="1" t="str" cm="1">
        <f t="array" ref="S415">_xlfn.IFS(I415 &gt;= 40, "High", I415&gt;=20, "Medium", I415&lt;20, "Low")</f>
        <v>Low</v>
      </c>
      <c r="T415" s="1" t="str" cm="1">
        <f t="array" ref="T415">_xlfn.IFS(O415&lt;18200, "Low", O415&lt;=50000, "Medium", O415&gt;50000, "High")</f>
        <v>Medium</v>
      </c>
    </row>
    <row r="416" spans="1:20" x14ac:dyDescent="0.25">
      <c r="A416" s="2">
        <v>2013</v>
      </c>
      <c r="B416" s="1" t="s">
        <v>47</v>
      </c>
      <c r="C416" s="1" t="s">
        <v>48</v>
      </c>
      <c r="D416" s="1">
        <v>2.5</v>
      </c>
      <c r="E416" s="1" t="s">
        <v>32</v>
      </c>
      <c r="F416" s="1" t="s">
        <v>20</v>
      </c>
      <c r="G416" s="1" t="s">
        <v>727</v>
      </c>
      <c r="H416" s="1" t="s">
        <v>22</v>
      </c>
      <c r="I416" s="1">
        <v>38</v>
      </c>
      <c r="J416" s="1">
        <v>38395</v>
      </c>
      <c r="K416" s="1" t="s">
        <v>23</v>
      </c>
      <c r="L416" s="1" t="s">
        <v>24</v>
      </c>
      <c r="M416" s="1" t="s">
        <v>728</v>
      </c>
      <c r="N416" s="1">
        <v>12850</v>
      </c>
      <c r="O416" s="12">
        <v>13100</v>
      </c>
      <c r="P416" s="3" t="s">
        <v>57</v>
      </c>
      <c r="Q416" s="1" cm="1">
        <f t="array" ref="Q416">VALUE(INDEX(_xlfn.TEXTSPLIT(P416, " "), 4))</f>
        <v>2014</v>
      </c>
      <c r="R416" s="1" t="str">
        <f t="shared" si="6"/>
        <v>Nissan Altima 2.5</v>
      </c>
      <c r="S416" s="1" t="str" cm="1">
        <f t="array" ref="S416">_xlfn.IFS(I416 &gt;= 40, "High", I416&gt;=20, "Medium", I416&lt;20, "Low")</f>
        <v>Medium</v>
      </c>
      <c r="T416" s="1" t="str" cm="1">
        <f t="array" ref="T416">_xlfn.IFS(O416&lt;18200, "Low", O416&lt;=50000, "Medium", O416&gt;50000, "High")</f>
        <v>Low</v>
      </c>
    </row>
    <row r="417" spans="1:20" x14ac:dyDescent="0.25">
      <c r="A417" s="2">
        <v>2013</v>
      </c>
      <c r="B417" s="1" t="s">
        <v>16</v>
      </c>
      <c r="C417" s="1" t="s">
        <v>655</v>
      </c>
      <c r="D417" s="1" t="s">
        <v>656</v>
      </c>
      <c r="E417" s="1" t="s">
        <v>130</v>
      </c>
      <c r="F417" s="1" t="s">
        <v>214</v>
      </c>
      <c r="G417" s="1" t="s">
        <v>729</v>
      </c>
      <c r="H417" s="1" t="s">
        <v>22</v>
      </c>
      <c r="I417" s="1">
        <v>2</v>
      </c>
      <c r="J417" s="1">
        <v>59886</v>
      </c>
      <c r="K417" s="1" t="s">
        <v>24</v>
      </c>
      <c r="L417" s="1" t="s">
        <v>24</v>
      </c>
      <c r="M417" s="1" t="s">
        <v>350</v>
      </c>
      <c r="N417" s="1">
        <v>10200</v>
      </c>
      <c r="O417" s="12">
        <v>7000</v>
      </c>
      <c r="P417" s="3" t="s">
        <v>84</v>
      </c>
      <c r="Q417" s="1" cm="1">
        <f t="array" ref="Q417">VALUE(INDEX(_xlfn.TEXTSPLIT(P417, " "), 4))</f>
        <v>2014</v>
      </c>
      <c r="R417" s="1" t="str">
        <f t="shared" si="6"/>
        <v>Kia Soul +</v>
      </c>
      <c r="S417" s="1" t="str" cm="1">
        <f t="array" ref="S417">_xlfn.IFS(I417 &gt;= 40, "High", I417&gt;=20, "Medium", I417&lt;20, "Low")</f>
        <v>Low</v>
      </c>
      <c r="T417" s="1" t="str" cm="1">
        <f t="array" ref="T417">_xlfn.IFS(O417&lt;18200, "Low", O417&lt;=50000, "Medium", O417&gt;50000, "High")</f>
        <v>Low</v>
      </c>
    </row>
    <row r="418" spans="1:20" x14ac:dyDescent="0.25">
      <c r="A418" s="2">
        <v>2013</v>
      </c>
      <c r="B418" s="1" t="s">
        <v>730</v>
      </c>
      <c r="C418" s="1" t="s">
        <v>731</v>
      </c>
      <c r="D418" s="1" t="s">
        <v>732</v>
      </c>
      <c r="E418" s="1" t="s">
        <v>19</v>
      </c>
      <c r="F418" s="1" t="s">
        <v>20</v>
      </c>
      <c r="G418" s="1" t="s">
        <v>733</v>
      </c>
      <c r="H418" s="1" t="s">
        <v>22</v>
      </c>
      <c r="I418" s="1">
        <v>44</v>
      </c>
      <c r="J418" s="1">
        <v>2059</v>
      </c>
      <c r="K418" s="1" t="s">
        <v>34</v>
      </c>
      <c r="L418" s="1" t="s">
        <v>24</v>
      </c>
      <c r="M418" s="1" t="s">
        <v>734</v>
      </c>
      <c r="N418" s="1">
        <v>58500</v>
      </c>
      <c r="O418" s="12">
        <v>42000</v>
      </c>
      <c r="P418" s="3" t="s">
        <v>46</v>
      </c>
      <c r="Q418" s="1" cm="1">
        <f t="array" ref="Q418">VALUE(INDEX(_xlfn.TEXTSPLIT(P418, " "), 4))</f>
        <v>2014</v>
      </c>
      <c r="R418" s="1" t="str">
        <f t="shared" si="6"/>
        <v>Land Rover LR4 HSE LUX</v>
      </c>
      <c r="S418" s="1" t="str" cm="1">
        <f t="array" ref="S418">_xlfn.IFS(I418 &gt;= 40, "High", I418&gt;=20, "Medium", I418&lt;20, "Low")</f>
        <v>High</v>
      </c>
      <c r="T418" s="1" t="str" cm="1">
        <f t="array" ref="T418">_xlfn.IFS(O418&lt;18200, "Low", O418&lt;=50000, "Medium", O418&gt;50000, "High")</f>
        <v>Medium</v>
      </c>
    </row>
    <row r="419" spans="1:20" x14ac:dyDescent="0.25">
      <c r="A419" s="2">
        <v>2013</v>
      </c>
      <c r="B419" s="1" t="s">
        <v>16</v>
      </c>
      <c r="C419" s="1" t="s">
        <v>80</v>
      </c>
      <c r="D419" s="1" t="s">
        <v>735</v>
      </c>
      <c r="E419" s="1" t="s">
        <v>32</v>
      </c>
      <c r="F419" s="1" t="s">
        <v>20</v>
      </c>
      <c r="G419" s="1" t="s">
        <v>736</v>
      </c>
      <c r="H419" s="1" t="s">
        <v>22</v>
      </c>
      <c r="I419" s="1">
        <v>2</v>
      </c>
      <c r="J419" s="1">
        <v>24614</v>
      </c>
      <c r="K419" s="1" t="s">
        <v>288</v>
      </c>
      <c r="L419" s="1" t="s">
        <v>28</v>
      </c>
      <c r="M419" s="1" t="s">
        <v>83</v>
      </c>
      <c r="N419" s="1">
        <v>16200</v>
      </c>
      <c r="O419" s="12">
        <v>10600</v>
      </c>
      <c r="P419" s="3" t="s">
        <v>62</v>
      </c>
      <c r="Q419" s="1" cm="1">
        <f t="array" ref="Q419">VALUE(INDEX(_xlfn.TEXTSPLIT(P419, " "), 4))</f>
        <v>2014</v>
      </c>
      <c r="R419" s="1" t="str">
        <f t="shared" si="6"/>
        <v>Kia Optima EX</v>
      </c>
      <c r="S419" s="1" t="str" cm="1">
        <f t="array" ref="S419">_xlfn.IFS(I419 &gt;= 40, "High", I419&gt;=20, "Medium", I419&lt;20, "Low")</f>
        <v>Low</v>
      </c>
      <c r="T419" s="1" t="str" cm="1">
        <f t="array" ref="T419">_xlfn.IFS(O419&lt;18200, "Low", O419&lt;=50000, "Medium", O419&gt;50000, "High")</f>
        <v>Low</v>
      </c>
    </row>
    <row r="420" spans="1:20" x14ac:dyDescent="0.25">
      <c r="A420" s="2">
        <v>2013</v>
      </c>
      <c r="B420" s="1" t="s">
        <v>632</v>
      </c>
      <c r="C420" s="1" t="s">
        <v>737</v>
      </c>
      <c r="D420" s="1" t="s">
        <v>646</v>
      </c>
      <c r="E420" s="1" t="s">
        <v>738</v>
      </c>
      <c r="F420" s="1" t="s">
        <v>20</v>
      </c>
      <c r="G420" s="1" t="s">
        <v>739</v>
      </c>
      <c r="H420" s="1" t="s">
        <v>22</v>
      </c>
      <c r="I420" s="1">
        <v>35</v>
      </c>
      <c r="J420" s="1">
        <v>39272</v>
      </c>
      <c r="K420" s="1" t="s">
        <v>73</v>
      </c>
      <c r="L420" s="1" t="s">
        <v>34</v>
      </c>
      <c r="M420" s="1" t="s">
        <v>182</v>
      </c>
      <c r="N420" s="1">
        <v>11300</v>
      </c>
      <c r="O420" s="12">
        <v>12400</v>
      </c>
      <c r="P420" s="3" t="s">
        <v>26</v>
      </c>
      <c r="Q420" s="1" cm="1">
        <f t="array" ref="Q420">VALUE(INDEX(_xlfn.TEXTSPLIT(P420, " "), 4))</f>
        <v>2014</v>
      </c>
      <c r="R420" s="1" t="str">
        <f t="shared" si="6"/>
        <v>Mazda Mazda5 Touring</v>
      </c>
      <c r="S420" s="1" t="str" cm="1">
        <f t="array" ref="S420">_xlfn.IFS(I420 &gt;= 40, "High", I420&gt;=20, "Medium", I420&lt;20, "Low")</f>
        <v>Medium</v>
      </c>
      <c r="T420" s="1" t="str" cm="1">
        <f t="array" ref="T420">_xlfn.IFS(O420&lt;18200, "Low", O420&lt;=50000, "Medium", O420&gt;50000, "High")</f>
        <v>Low</v>
      </c>
    </row>
    <row r="421" spans="1:20" x14ac:dyDescent="0.25">
      <c r="A421" s="2">
        <v>2013</v>
      </c>
      <c r="B421" s="1" t="s">
        <v>16</v>
      </c>
      <c r="C421" s="1" t="s">
        <v>637</v>
      </c>
      <c r="D421" s="1" t="s">
        <v>18</v>
      </c>
      <c r="E421" s="1" t="s">
        <v>227</v>
      </c>
      <c r="F421" s="1" t="s">
        <v>20</v>
      </c>
      <c r="G421" s="1" t="s">
        <v>740</v>
      </c>
      <c r="H421" s="1" t="s">
        <v>22</v>
      </c>
      <c r="I421" s="1">
        <v>2</v>
      </c>
      <c r="J421" s="1">
        <v>4850</v>
      </c>
      <c r="K421" s="1" t="s">
        <v>73</v>
      </c>
      <c r="L421" s="1" t="s">
        <v>24</v>
      </c>
      <c r="M421" s="1" t="s">
        <v>83</v>
      </c>
      <c r="N421" s="1">
        <v>10650</v>
      </c>
      <c r="O421" s="12">
        <v>6300</v>
      </c>
      <c r="P421" s="3" t="s">
        <v>84</v>
      </c>
      <c r="Q421" s="1" cm="1">
        <f t="array" ref="Q421">VALUE(INDEX(_xlfn.TEXTSPLIT(P421, " "), 4))</f>
        <v>2014</v>
      </c>
      <c r="R421" s="1" t="str">
        <f t="shared" si="6"/>
        <v>Kia Rio LX</v>
      </c>
      <c r="S421" s="1" t="str" cm="1">
        <f t="array" ref="S421">_xlfn.IFS(I421 &gt;= 40, "High", I421&gt;=20, "Medium", I421&lt;20, "Low")</f>
        <v>Low</v>
      </c>
      <c r="T421" s="1" t="str" cm="1">
        <f t="array" ref="T421">_xlfn.IFS(O421&lt;18200, "Low", O421&lt;=50000, "Medium", O421&gt;50000, "High")</f>
        <v>Low</v>
      </c>
    </row>
    <row r="422" spans="1:20" x14ac:dyDescent="0.25">
      <c r="A422" s="2">
        <v>2013</v>
      </c>
      <c r="B422" s="1" t="s">
        <v>47</v>
      </c>
      <c r="C422" s="1" t="s">
        <v>48</v>
      </c>
      <c r="D422" s="1">
        <v>2.5</v>
      </c>
      <c r="E422" s="1" t="s">
        <v>32</v>
      </c>
      <c r="F422" s="1" t="s">
        <v>20</v>
      </c>
      <c r="G422" s="1" t="s">
        <v>741</v>
      </c>
      <c r="H422" s="1" t="s">
        <v>22</v>
      </c>
      <c r="I422" s="1">
        <v>45</v>
      </c>
      <c r="J422" s="1">
        <v>48463</v>
      </c>
      <c r="K422" s="1" t="s">
        <v>23</v>
      </c>
      <c r="L422" s="1" t="s">
        <v>28</v>
      </c>
      <c r="M422" s="1" t="s">
        <v>742</v>
      </c>
      <c r="N422" s="1">
        <v>12350</v>
      </c>
      <c r="O422" s="12">
        <v>14000</v>
      </c>
      <c r="P422" s="3" t="s">
        <v>57</v>
      </c>
      <c r="Q422" s="1" cm="1">
        <f t="array" ref="Q422">VALUE(INDEX(_xlfn.TEXTSPLIT(P422, " "), 4))</f>
        <v>2014</v>
      </c>
      <c r="R422" s="1" t="str">
        <f t="shared" si="6"/>
        <v>Nissan Altima 2.5</v>
      </c>
      <c r="S422" s="1" t="str" cm="1">
        <f t="array" ref="S422">_xlfn.IFS(I422 &gt;= 40, "High", I422&gt;=20, "Medium", I422&lt;20, "Low")</f>
        <v>High</v>
      </c>
      <c r="T422" s="1" t="str" cm="1">
        <f t="array" ref="T422">_xlfn.IFS(O422&lt;18200, "Low", O422&lt;=50000, "Medium", O422&gt;50000, "High")</f>
        <v>Low</v>
      </c>
    </row>
    <row r="423" spans="1:20" x14ac:dyDescent="0.25">
      <c r="A423" s="2">
        <v>2013</v>
      </c>
      <c r="B423" s="1" t="s">
        <v>318</v>
      </c>
      <c r="C423" s="1" t="s">
        <v>323</v>
      </c>
      <c r="D423" s="1" t="s">
        <v>718</v>
      </c>
      <c r="E423" s="1" t="s">
        <v>323</v>
      </c>
      <c r="F423" s="1" t="s">
        <v>20</v>
      </c>
      <c r="G423" s="1" t="s">
        <v>743</v>
      </c>
      <c r="H423" s="1" t="s">
        <v>22</v>
      </c>
      <c r="I423" s="1">
        <v>38</v>
      </c>
      <c r="J423" s="1">
        <v>23642</v>
      </c>
      <c r="K423" s="1" t="s">
        <v>34</v>
      </c>
      <c r="L423" s="1" t="s">
        <v>24</v>
      </c>
      <c r="M423" s="1" t="s">
        <v>322</v>
      </c>
      <c r="N423" s="1">
        <v>23300</v>
      </c>
      <c r="O423" s="12">
        <v>23000</v>
      </c>
      <c r="P423" s="3" t="s">
        <v>46</v>
      </c>
      <c r="Q423" s="1" cm="1">
        <f t="array" ref="Q423">VALUE(INDEX(_xlfn.TEXTSPLIT(P423, " "), 4))</f>
        <v>2014</v>
      </c>
      <c r="R423" s="1" t="str">
        <f t="shared" si="6"/>
        <v>Infiniti G Sedan G37x</v>
      </c>
      <c r="S423" s="1" t="str" cm="1">
        <f t="array" ref="S423">_xlfn.IFS(I423 &gt;= 40, "High", I423&gt;=20, "Medium", I423&lt;20, "Low")</f>
        <v>Medium</v>
      </c>
      <c r="T423" s="1" t="str" cm="1">
        <f t="array" ref="T423">_xlfn.IFS(O423&lt;18200, "Low", O423&lt;=50000, "Medium", O423&gt;50000, "High")</f>
        <v>Medium</v>
      </c>
    </row>
    <row r="424" spans="1:20" x14ac:dyDescent="0.25">
      <c r="A424" s="2">
        <v>2013</v>
      </c>
      <c r="B424" s="1" t="s">
        <v>632</v>
      </c>
      <c r="C424" s="1" t="s">
        <v>677</v>
      </c>
      <c r="D424" s="1" t="s">
        <v>744</v>
      </c>
      <c r="E424" s="1" t="s">
        <v>32</v>
      </c>
      <c r="F424" s="1" t="s">
        <v>20</v>
      </c>
      <c r="G424" s="1" t="s">
        <v>745</v>
      </c>
      <c r="H424" s="1" t="s">
        <v>22</v>
      </c>
      <c r="I424" s="1">
        <v>2</v>
      </c>
      <c r="J424" s="1">
        <v>45649</v>
      </c>
      <c r="K424" s="1" t="s">
        <v>24</v>
      </c>
      <c r="L424" s="1" t="s">
        <v>24</v>
      </c>
      <c r="M424" s="1" t="s">
        <v>555</v>
      </c>
      <c r="N424" s="1">
        <v>10250</v>
      </c>
      <c r="O424" s="12">
        <v>10000</v>
      </c>
      <c r="P424" s="3" t="s">
        <v>26</v>
      </c>
      <c r="Q424" s="1" cm="1">
        <f t="array" ref="Q424">VALUE(INDEX(_xlfn.TEXTSPLIT(P424, " "), 4))</f>
        <v>2014</v>
      </c>
      <c r="R424" s="1" t="str">
        <f t="shared" si="6"/>
        <v>Mazda Mazda3 i Sport</v>
      </c>
      <c r="S424" s="1" t="str" cm="1">
        <f t="array" ref="S424">_xlfn.IFS(I424 &gt;= 40, "High", I424&gt;=20, "Medium", I424&lt;20, "Low")</f>
        <v>Low</v>
      </c>
      <c r="T424" s="1" t="str" cm="1">
        <f t="array" ref="T424">_xlfn.IFS(O424&lt;18200, "Low", O424&lt;=50000, "Medium", O424&gt;50000, "High")</f>
        <v>Low</v>
      </c>
    </row>
    <row r="425" spans="1:20" x14ac:dyDescent="0.25">
      <c r="A425" s="2">
        <v>2013</v>
      </c>
      <c r="B425" s="1" t="s">
        <v>318</v>
      </c>
      <c r="C425" s="1" t="s">
        <v>319</v>
      </c>
      <c r="D425" s="1" t="s">
        <v>718</v>
      </c>
      <c r="E425" s="1" t="s">
        <v>319</v>
      </c>
      <c r="F425" s="1" t="s">
        <v>20</v>
      </c>
      <c r="G425" s="1" t="s">
        <v>746</v>
      </c>
      <c r="H425" s="1" t="s">
        <v>22</v>
      </c>
      <c r="I425" s="1">
        <v>35</v>
      </c>
      <c r="J425" s="1">
        <v>10055</v>
      </c>
      <c r="K425" s="1" t="s">
        <v>34</v>
      </c>
      <c r="L425" s="1" t="s">
        <v>24</v>
      </c>
      <c r="M425" s="1" t="s">
        <v>322</v>
      </c>
      <c r="N425" s="1">
        <v>26300</v>
      </c>
      <c r="O425" s="12">
        <v>27000</v>
      </c>
      <c r="P425" s="3" t="s">
        <v>57</v>
      </c>
      <c r="Q425" s="1" cm="1">
        <f t="array" ref="Q425">VALUE(INDEX(_xlfn.TEXTSPLIT(P425, " "), 4))</f>
        <v>2014</v>
      </c>
      <c r="R425" s="1" t="str">
        <f t="shared" si="6"/>
        <v>Infiniti G Coupe G37x</v>
      </c>
      <c r="S425" s="1" t="str" cm="1">
        <f t="array" ref="S425">_xlfn.IFS(I425 &gt;= 40, "High", I425&gt;=20, "Medium", I425&lt;20, "Low")</f>
        <v>Medium</v>
      </c>
      <c r="T425" s="1" t="str" cm="1">
        <f t="array" ref="T425">_xlfn.IFS(O425&lt;18200, "Low", O425&lt;=50000, "Medium", O425&gt;50000, "High")</f>
        <v>Medium</v>
      </c>
    </row>
    <row r="426" spans="1:20" x14ac:dyDescent="0.25">
      <c r="A426" s="2">
        <v>2013</v>
      </c>
      <c r="B426" s="1" t="s">
        <v>318</v>
      </c>
      <c r="C426" s="1" t="s">
        <v>648</v>
      </c>
      <c r="D426" s="1" t="s">
        <v>649</v>
      </c>
      <c r="E426" s="1" t="s">
        <v>32</v>
      </c>
      <c r="F426" s="1" t="s">
        <v>20</v>
      </c>
      <c r="G426" s="1" t="s">
        <v>747</v>
      </c>
      <c r="H426" s="1" t="s">
        <v>22</v>
      </c>
      <c r="I426" s="1">
        <v>41</v>
      </c>
      <c r="J426" s="1">
        <v>9338</v>
      </c>
      <c r="K426" s="1" t="s">
        <v>23</v>
      </c>
      <c r="L426" s="1" t="s">
        <v>24</v>
      </c>
      <c r="M426" s="1" t="s">
        <v>651</v>
      </c>
      <c r="N426" s="1">
        <v>34700</v>
      </c>
      <c r="O426" s="12">
        <v>34500</v>
      </c>
      <c r="P426" s="3" t="s">
        <v>46</v>
      </c>
      <c r="Q426" s="1" cm="1">
        <f t="array" ref="Q426">VALUE(INDEX(_xlfn.TEXTSPLIT(P426, " "), 4))</f>
        <v>2014</v>
      </c>
      <c r="R426" s="1" t="str">
        <f t="shared" si="6"/>
        <v>Infiniti M M37</v>
      </c>
      <c r="S426" s="1" t="str" cm="1">
        <f t="array" ref="S426">_xlfn.IFS(I426 &gt;= 40, "High", I426&gt;=20, "Medium", I426&lt;20, "Low")</f>
        <v>High</v>
      </c>
      <c r="T426" s="1" t="str" cm="1">
        <f t="array" ref="T426">_xlfn.IFS(O426&lt;18200, "Low", O426&lt;=50000, "Medium", O426&gt;50000, "High")</f>
        <v>Medium</v>
      </c>
    </row>
    <row r="427" spans="1:20" x14ac:dyDescent="0.25">
      <c r="A427" s="2">
        <v>2013</v>
      </c>
      <c r="B427" s="1" t="s">
        <v>16</v>
      </c>
      <c r="C427" s="1" t="s">
        <v>694</v>
      </c>
      <c r="D427" s="1" t="s">
        <v>735</v>
      </c>
      <c r="E427" s="1" t="s">
        <v>32</v>
      </c>
      <c r="F427" s="1" t="s">
        <v>20</v>
      </c>
      <c r="G427" s="1" t="s">
        <v>748</v>
      </c>
      <c r="H427" s="1" t="s">
        <v>22</v>
      </c>
      <c r="I427" s="1">
        <v>27</v>
      </c>
      <c r="J427" s="1">
        <v>55885</v>
      </c>
      <c r="K427" s="1" t="s">
        <v>34</v>
      </c>
      <c r="L427" s="1" t="s">
        <v>24</v>
      </c>
      <c r="M427" s="1" t="s">
        <v>749</v>
      </c>
      <c r="N427" s="1">
        <v>9175</v>
      </c>
      <c r="O427" s="12">
        <v>8800</v>
      </c>
      <c r="P427" s="3" t="s">
        <v>97</v>
      </c>
      <c r="Q427" s="1" cm="1">
        <f t="array" ref="Q427">VALUE(INDEX(_xlfn.TEXTSPLIT(P427, " "), 4))</f>
        <v>2014</v>
      </c>
      <c r="R427" s="1" t="str">
        <f t="shared" si="6"/>
        <v>Kia Forte EX</v>
      </c>
      <c r="S427" s="1" t="str" cm="1">
        <f t="array" ref="S427">_xlfn.IFS(I427 &gt;= 40, "High", I427&gt;=20, "Medium", I427&lt;20, "Low")</f>
        <v>Medium</v>
      </c>
      <c r="T427" s="1" t="str" cm="1">
        <f t="array" ref="T427">_xlfn.IFS(O427&lt;18200, "Low", O427&lt;=50000, "Medium", O427&gt;50000, "High")</f>
        <v>Low</v>
      </c>
    </row>
    <row r="428" spans="1:20" x14ac:dyDescent="0.25">
      <c r="A428" s="2">
        <v>2013</v>
      </c>
      <c r="B428" s="1" t="s">
        <v>632</v>
      </c>
      <c r="C428" s="1" t="s">
        <v>688</v>
      </c>
      <c r="D428" s="1" t="s">
        <v>646</v>
      </c>
      <c r="E428" s="1" t="s">
        <v>19</v>
      </c>
      <c r="F428" s="1" t="s">
        <v>20</v>
      </c>
      <c r="G428" s="1" t="s">
        <v>750</v>
      </c>
      <c r="H428" s="1" t="s">
        <v>22</v>
      </c>
      <c r="I428" s="1">
        <v>29</v>
      </c>
      <c r="J428" s="1">
        <v>41807</v>
      </c>
      <c r="K428" s="1" t="s">
        <v>34</v>
      </c>
      <c r="L428" s="1" t="s">
        <v>24</v>
      </c>
      <c r="M428" s="1" t="s">
        <v>182</v>
      </c>
      <c r="N428" s="1">
        <v>18850</v>
      </c>
      <c r="O428" s="12">
        <v>19900</v>
      </c>
      <c r="P428" s="3" t="s">
        <v>26</v>
      </c>
      <c r="Q428" s="1" cm="1">
        <f t="array" ref="Q428">VALUE(INDEX(_xlfn.TEXTSPLIT(P428, " "), 4))</f>
        <v>2014</v>
      </c>
      <c r="R428" s="1" t="str">
        <f t="shared" si="6"/>
        <v>Mazda CX-9 Touring</v>
      </c>
      <c r="S428" s="1" t="str" cm="1">
        <f t="array" ref="S428">_xlfn.IFS(I428 &gt;= 40, "High", I428&gt;=20, "Medium", I428&lt;20, "Low")</f>
        <v>Medium</v>
      </c>
      <c r="T428" s="1" t="str" cm="1">
        <f t="array" ref="T428">_xlfn.IFS(O428&lt;18200, "Low", O428&lt;=50000, "Medium", O428&gt;50000, "High")</f>
        <v>Medium</v>
      </c>
    </row>
    <row r="429" spans="1:20" x14ac:dyDescent="0.25">
      <c r="A429" s="2">
        <v>2013</v>
      </c>
      <c r="B429" s="1" t="s">
        <v>47</v>
      </c>
      <c r="C429" s="1" t="s">
        <v>48</v>
      </c>
      <c r="D429" s="1" t="s">
        <v>49</v>
      </c>
      <c r="E429" s="1" t="s">
        <v>107</v>
      </c>
      <c r="F429" s="1" t="s">
        <v>20</v>
      </c>
      <c r="G429" s="1" t="s">
        <v>751</v>
      </c>
      <c r="H429" s="1" t="s">
        <v>22</v>
      </c>
      <c r="I429" s="1">
        <v>35</v>
      </c>
      <c r="J429" s="1">
        <v>42938</v>
      </c>
      <c r="K429" s="1" t="s">
        <v>34</v>
      </c>
      <c r="L429" s="1" t="s">
        <v>24</v>
      </c>
      <c r="M429" s="1" t="s">
        <v>95</v>
      </c>
      <c r="N429" s="1">
        <v>12400</v>
      </c>
      <c r="O429" s="12">
        <v>13300</v>
      </c>
      <c r="P429" s="3" t="s">
        <v>57</v>
      </c>
      <c r="Q429" s="1" cm="1">
        <f t="array" ref="Q429">VALUE(INDEX(_xlfn.TEXTSPLIT(P429, " "), 4))</f>
        <v>2014</v>
      </c>
      <c r="R429" s="1" t="str">
        <f t="shared" si="6"/>
        <v>Nissan Altima 2.5 S</v>
      </c>
      <c r="S429" s="1" t="str" cm="1">
        <f t="array" ref="S429">_xlfn.IFS(I429 &gt;= 40, "High", I429&gt;=20, "Medium", I429&lt;20, "Low")</f>
        <v>Medium</v>
      </c>
      <c r="T429" s="1" t="str" cm="1">
        <f t="array" ref="T429">_xlfn.IFS(O429&lt;18200, "Low", O429&lt;=50000, "Medium", O429&gt;50000, "High")</f>
        <v>Low</v>
      </c>
    </row>
    <row r="430" spans="1:20" x14ac:dyDescent="0.25">
      <c r="A430" s="2">
        <v>2013</v>
      </c>
      <c r="B430" s="1" t="s">
        <v>16</v>
      </c>
      <c r="C430" s="1" t="s">
        <v>80</v>
      </c>
      <c r="D430" s="1" t="s">
        <v>605</v>
      </c>
      <c r="E430" s="1" t="s">
        <v>32</v>
      </c>
      <c r="F430" s="1" t="s">
        <v>20</v>
      </c>
      <c r="G430" s="1" t="s">
        <v>752</v>
      </c>
      <c r="H430" s="1" t="s">
        <v>22</v>
      </c>
      <c r="I430" s="1">
        <v>49</v>
      </c>
      <c r="J430" s="1">
        <v>19078</v>
      </c>
      <c r="K430" s="1" t="s">
        <v>23</v>
      </c>
      <c r="L430" s="1" t="s">
        <v>34</v>
      </c>
      <c r="M430" s="1" t="s">
        <v>25</v>
      </c>
      <c r="N430" s="1">
        <v>15950</v>
      </c>
      <c r="O430" s="12">
        <v>16500</v>
      </c>
      <c r="P430" s="3" t="s">
        <v>26</v>
      </c>
      <c r="Q430" s="1" cm="1">
        <f t="array" ref="Q430">VALUE(INDEX(_xlfn.TEXTSPLIT(P430, " "), 4))</f>
        <v>2014</v>
      </c>
      <c r="R430" s="1" t="str">
        <f t="shared" si="6"/>
        <v>Kia Optima EX Hybrid</v>
      </c>
      <c r="S430" s="1" t="str" cm="1">
        <f t="array" ref="S430">_xlfn.IFS(I430 &gt;= 40, "High", I430&gt;=20, "Medium", I430&lt;20, "Low")</f>
        <v>High</v>
      </c>
      <c r="T430" s="1" t="str" cm="1">
        <f t="array" ref="T430">_xlfn.IFS(O430&lt;18200, "Low", O430&lt;=50000, "Medium", O430&gt;50000, "High")</f>
        <v>Low</v>
      </c>
    </row>
    <row r="431" spans="1:20" x14ac:dyDescent="0.25">
      <c r="A431" s="2">
        <v>2013</v>
      </c>
      <c r="B431" s="1" t="s">
        <v>681</v>
      </c>
      <c r="C431" s="1" t="s">
        <v>684</v>
      </c>
      <c r="D431" s="1" t="s">
        <v>54</v>
      </c>
      <c r="E431" s="1" t="s">
        <v>227</v>
      </c>
      <c r="F431" s="1" t="s">
        <v>20</v>
      </c>
      <c r="G431" s="1" t="s">
        <v>753</v>
      </c>
      <c r="H431" s="1" t="s">
        <v>22</v>
      </c>
      <c r="I431" s="1">
        <v>35</v>
      </c>
      <c r="J431" s="1">
        <v>36000</v>
      </c>
      <c r="K431" s="1" t="s">
        <v>549</v>
      </c>
      <c r="L431" s="1" t="s">
        <v>24</v>
      </c>
      <c r="M431" s="1" t="s">
        <v>95</v>
      </c>
      <c r="N431" s="1">
        <v>12750</v>
      </c>
      <c r="O431" s="12">
        <v>13700</v>
      </c>
      <c r="P431" s="3" t="s">
        <v>57</v>
      </c>
      <c r="Q431" s="1" cm="1">
        <f t="array" ref="Q431">VALUE(INDEX(_xlfn.TEXTSPLIT(P431, " "), 4))</f>
        <v>2014</v>
      </c>
      <c r="R431" s="1" t="str">
        <f t="shared" si="6"/>
        <v>MINI Cooper Base</v>
      </c>
      <c r="S431" s="1" t="str" cm="1">
        <f t="array" ref="S431">_xlfn.IFS(I431 &gt;= 40, "High", I431&gt;=20, "Medium", I431&lt;20, "Low")</f>
        <v>Medium</v>
      </c>
      <c r="T431" s="1" t="str" cm="1">
        <f t="array" ref="T431">_xlfn.IFS(O431&lt;18200, "Low", O431&lt;=50000, "Medium", O431&gt;50000, "High")</f>
        <v>Low</v>
      </c>
    </row>
    <row r="432" spans="1:20" x14ac:dyDescent="0.25">
      <c r="A432" s="2">
        <v>2013</v>
      </c>
      <c r="B432" s="1" t="s">
        <v>632</v>
      </c>
      <c r="C432" s="1" t="s">
        <v>737</v>
      </c>
      <c r="D432" s="1" t="s">
        <v>368</v>
      </c>
      <c r="E432" s="1" t="s">
        <v>738</v>
      </c>
      <c r="F432" s="1" t="s">
        <v>20</v>
      </c>
      <c r="G432" s="1" t="s">
        <v>754</v>
      </c>
      <c r="H432" s="1" t="s">
        <v>22</v>
      </c>
      <c r="I432" s="1">
        <v>29</v>
      </c>
      <c r="J432" s="1">
        <v>40275</v>
      </c>
      <c r="K432" s="1" t="s">
        <v>34</v>
      </c>
      <c r="L432" s="1" t="s">
        <v>24</v>
      </c>
      <c r="M432" s="1" t="s">
        <v>142</v>
      </c>
      <c r="N432" s="1">
        <v>12050</v>
      </c>
      <c r="O432" s="12">
        <v>12200</v>
      </c>
      <c r="P432" s="3" t="s">
        <v>26</v>
      </c>
      <c r="Q432" s="1" cm="1">
        <f t="array" ref="Q432">VALUE(INDEX(_xlfn.TEXTSPLIT(P432, " "), 4))</f>
        <v>2014</v>
      </c>
      <c r="R432" s="1" t="str">
        <f t="shared" si="6"/>
        <v>Mazda Mazda5 Sport</v>
      </c>
      <c r="S432" s="1" t="str" cm="1">
        <f t="array" ref="S432">_xlfn.IFS(I432 &gt;= 40, "High", I432&gt;=20, "Medium", I432&lt;20, "Low")</f>
        <v>Medium</v>
      </c>
      <c r="T432" s="1" t="str" cm="1">
        <f t="array" ref="T432">_xlfn.IFS(O432&lt;18200, "Low", O432&lt;=50000, "Medium", O432&gt;50000, "High")</f>
        <v>Low</v>
      </c>
    </row>
    <row r="433" spans="1:20" x14ac:dyDescent="0.25">
      <c r="A433" s="2">
        <v>2013</v>
      </c>
      <c r="B433" s="1" t="s">
        <v>202</v>
      </c>
      <c r="C433" s="1" t="s">
        <v>614</v>
      </c>
      <c r="D433" s="1" t="s">
        <v>54</v>
      </c>
      <c r="E433" s="1" t="s">
        <v>32</v>
      </c>
      <c r="F433" s="1" t="s">
        <v>20</v>
      </c>
      <c r="G433" s="1" t="s">
        <v>755</v>
      </c>
      <c r="H433" s="1" t="s">
        <v>22</v>
      </c>
      <c r="I433" s="1">
        <v>34</v>
      </c>
      <c r="J433" s="1">
        <v>17786</v>
      </c>
      <c r="K433" s="1" t="s">
        <v>28</v>
      </c>
      <c r="L433" s="1" t="s">
        <v>132</v>
      </c>
      <c r="M433" s="1" t="s">
        <v>205</v>
      </c>
      <c r="N433" s="1">
        <v>34500</v>
      </c>
      <c r="O433" s="12">
        <v>33000</v>
      </c>
      <c r="P433" s="3" t="s">
        <v>756</v>
      </c>
      <c r="Q433" s="1" cm="1">
        <f t="array" ref="Q433">VALUE(INDEX(_xlfn.TEXTSPLIT(P433, " "), 4))</f>
        <v>2015</v>
      </c>
      <c r="R433" s="1" t="str">
        <f t="shared" si="6"/>
        <v>Lexus GS 350 Base</v>
      </c>
      <c r="S433" s="1" t="str" cm="1">
        <f t="array" ref="S433">_xlfn.IFS(I433 &gt;= 40, "High", I433&gt;=20, "Medium", I433&lt;20, "Low")</f>
        <v>Medium</v>
      </c>
      <c r="T433" s="1" t="str" cm="1">
        <f t="array" ref="T433">_xlfn.IFS(O433&lt;18200, "Low", O433&lt;=50000, "Medium", O433&gt;50000, "High")</f>
        <v>Medium</v>
      </c>
    </row>
    <row r="434" spans="1:20" x14ac:dyDescent="0.25">
      <c r="A434" s="2">
        <v>2013</v>
      </c>
      <c r="B434" s="1" t="s">
        <v>16</v>
      </c>
      <c r="C434" s="1" t="s">
        <v>637</v>
      </c>
      <c r="D434" s="1" t="s">
        <v>18</v>
      </c>
      <c r="E434" s="1" t="s">
        <v>32</v>
      </c>
      <c r="F434" s="1" t="s">
        <v>20</v>
      </c>
      <c r="G434" s="1" t="s">
        <v>757</v>
      </c>
      <c r="H434" s="1" t="s">
        <v>22</v>
      </c>
      <c r="I434" s="1">
        <v>2</v>
      </c>
      <c r="J434" s="1">
        <v>45800</v>
      </c>
      <c r="K434" s="1" t="s">
        <v>24</v>
      </c>
      <c r="L434" s="1" t="s">
        <v>28</v>
      </c>
      <c r="M434" s="1" t="s">
        <v>83</v>
      </c>
      <c r="N434" s="1">
        <v>8550</v>
      </c>
      <c r="O434" s="12">
        <v>3850</v>
      </c>
      <c r="P434" s="3" t="s">
        <v>256</v>
      </c>
      <c r="Q434" s="1" cm="1">
        <f t="array" ref="Q434">VALUE(INDEX(_xlfn.TEXTSPLIT(P434, " "), 4))</f>
        <v>2015</v>
      </c>
      <c r="R434" s="1" t="str">
        <f t="shared" si="6"/>
        <v>Kia Rio LX</v>
      </c>
      <c r="S434" s="1" t="str" cm="1">
        <f t="array" ref="S434">_xlfn.IFS(I434 &gt;= 40, "High", I434&gt;=20, "Medium", I434&lt;20, "Low")</f>
        <v>Low</v>
      </c>
      <c r="T434" s="1" t="str" cm="1">
        <f t="array" ref="T434">_xlfn.IFS(O434&lt;18200, "Low", O434&lt;=50000, "Medium", O434&gt;50000, "High")</f>
        <v>Low</v>
      </c>
    </row>
    <row r="435" spans="1:20" x14ac:dyDescent="0.25">
      <c r="A435" s="2">
        <v>2013</v>
      </c>
      <c r="B435" s="1" t="s">
        <v>730</v>
      </c>
      <c r="C435" s="1" t="s">
        <v>758</v>
      </c>
      <c r="D435" s="1" t="s">
        <v>759</v>
      </c>
      <c r="E435" s="1" t="s">
        <v>19</v>
      </c>
      <c r="F435" s="1" t="s">
        <v>20</v>
      </c>
      <c r="G435" s="1" t="s">
        <v>760</v>
      </c>
      <c r="H435" s="1" t="s">
        <v>22</v>
      </c>
      <c r="I435" s="1">
        <v>48</v>
      </c>
      <c r="J435" s="1">
        <v>25524</v>
      </c>
      <c r="K435" s="1" t="s">
        <v>94</v>
      </c>
      <c r="L435" s="1" t="s">
        <v>24</v>
      </c>
      <c r="M435" s="1" t="s">
        <v>761</v>
      </c>
      <c r="N435" s="1">
        <v>35400</v>
      </c>
      <c r="O435" s="12">
        <v>35500</v>
      </c>
      <c r="P435" s="3" t="s">
        <v>57</v>
      </c>
      <c r="Q435" s="1" cm="1">
        <f t="array" ref="Q435">VALUE(INDEX(_xlfn.TEXTSPLIT(P435, " "), 4))</f>
        <v>2014</v>
      </c>
      <c r="R435" s="1" t="str">
        <f t="shared" si="6"/>
        <v>Land Rover Range Rover Evoque Pure Plus</v>
      </c>
      <c r="S435" s="1" t="str" cm="1">
        <f t="array" ref="S435">_xlfn.IFS(I435 &gt;= 40, "High", I435&gt;=20, "Medium", I435&lt;20, "Low")</f>
        <v>High</v>
      </c>
      <c r="T435" s="1" t="str" cm="1">
        <f t="array" ref="T435">_xlfn.IFS(O435&lt;18200, "Low", O435&lt;=50000, "Medium", O435&gt;50000, "High")</f>
        <v>Medium</v>
      </c>
    </row>
    <row r="436" spans="1:20" x14ac:dyDescent="0.25">
      <c r="A436" s="2">
        <v>2013</v>
      </c>
      <c r="B436" s="1" t="s">
        <v>681</v>
      </c>
      <c r="C436" s="1" t="s">
        <v>684</v>
      </c>
      <c r="D436" s="1" t="s">
        <v>54</v>
      </c>
      <c r="E436" s="1" t="s">
        <v>227</v>
      </c>
      <c r="F436" s="1" t="s">
        <v>20</v>
      </c>
      <c r="G436" s="1" t="s">
        <v>762</v>
      </c>
      <c r="H436" s="1" t="s">
        <v>22</v>
      </c>
      <c r="I436" s="1"/>
      <c r="J436" s="1">
        <v>28156</v>
      </c>
      <c r="K436" s="1" t="s">
        <v>24</v>
      </c>
      <c r="L436" s="1" t="s">
        <v>24</v>
      </c>
      <c r="M436" s="1" t="s">
        <v>51</v>
      </c>
      <c r="N436" s="1">
        <v>13400</v>
      </c>
      <c r="O436" s="12">
        <v>2500</v>
      </c>
      <c r="P436" s="3" t="s">
        <v>62</v>
      </c>
      <c r="Q436" s="1" cm="1">
        <f t="array" ref="Q436">VALUE(INDEX(_xlfn.TEXTSPLIT(P436, " "), 4))</f>
        <v>2014</v>
      </c>
      <c r="R436" s="1" t="str">
        <f t="shared" si="6"/>
        <v>MINI Cooper Base</v>
      </c>
      <c r="S436" s="1" t="str" cm="1">
        <f t="array" ref="S436">_xlfn.IFS(I436 &gt;= 40, "High", I436&gt;=20, "Medium", I436&lt;20, "Low")</f>
        <v>Low</v>
      </c>
      <c r="T436" s="1" t="str" cm="1">
        <f t="array" ref="T436">_xlfn.IFS(O436&lt;18200, "Low", O436&lt;=50000, "Medium", O436&gt;50000, "High")</f>
        <v>Low</v>
      </c>
    </row>
    <row r="437" spans="1:20" x14ac:dyDescent="0.25">
      <c r="A437" s="2">
        <v>2013</v>
      </c>
      <c r="B437" s="1" t="s">
        <v>47</v>
      </c>
      <c r="C437" s="1" t="s">
        <v>48</v>
      </c>
      <c r="D437" s="1">
        <v>2.5</v>
      </c>
      <c r="E437" s="1" t="s">
        <v>32</v>
      </c>
      <c r="F437" s="1" t="s">
        <v>20</v>
      </c>
      <c r="G437" s="1" t="s">
        <v>763</v>
      </c>
      <c r="H437" s="1" t="s">
        <v>22</v>
      </c>
      <c r="I437" s="1">
        <v>44</v>
      </c>
      <c r="J437" s="1">
        <v>45685</v>
      </c>
      <c r="K437" s="1" t="s">
        <v>34</v>
      </c>
      <c r="L437" s="1" t="s">
        <v>28</v>
      </c>
      <c r="M437" s="1" t="s">
        <v>495</v>
      </c>
      <c r="N437" s="1">
        <v>12550</v>
      </c>
      <c r="O437" s="12">
        <v>13200</v>
      </c>
      <c r="P437" s="3" t="s">
        <v>270</v>
      </c>
      <c r="Q437" s="1" cm="1">
        <f t="array" ref="Q437">VALUE(INDEX(_xlfn.TEXTSPLIT(P437, " "), 4))</f>
        <v>2014</v>
      </c>
      <c r="R437" s="1" t="str">
        <f t="shared" si="6"/>
        <v>Nissan Altima 2.5</v>
      </c>
      <c r="S437" s="1" t="str" cm="1">
        <f t="array" ref="S437">_xlfn.IFS(I437 &gt;= 40, "High", I437&gt;=20, "Medium", I437&lt;20, "Low")</f>
        <v>High</v>
      </c>
      <c r="T437" s="1" t="str" cm="1">
        <f t="array" ref="T437">_xlfn.IFS(O437&lt;18200, "Low", O437&lt;=50000, "Medium", O437&gt;50000, "High")</f>
        <v>Low</v>
      </c>
    </row>
    <row r="438" spans="1:20" x14ac:dyDescent="0.25">
      <c r="A438" s="2">
        <v>2013</v>
      </c>
      <c r="B438" s="1" t="s">
        <v>318</v>
      </c>
      <c r="C438" s="1" t="s">
        <v>323</v>
      </c>
      <c r="D438" s="1" t="s">
        <v>324</v>
      </c>
      <c r="E438" s="1" t="s">
        <v>323</v>
      </c>
      <c r="F438" s="1" t="s">
        <v>20</v>
      </c>
      <c r="G438" s="1" t="s">
        <v>764</v>
      </c>
      <c r="H438" s="1" t="s">
        <v>22</v>
      </c>
      <c r="I438" s="1">
        <v>44</v>
      </c>
      <c r="J438" s="1">
        <v>48156</v>
      </c>
      <c r="K438" s="1" t="s">
        <v>24</v>
      </c>
      <c r="L438" s="1" t="s">
        <v>34</v>
      </c>
      <c r="M438" s="1" t="s">
        <v>322</v>
      </c>
      <c r="N438" s="1">
        <v>19800</v>
      </c>
      <c r="O438" s="12">
        <v>22250</v>
      </c>
      <c r="P438" s="3" t="s">
        <v>57</v>
      </c>
      <c r="Q438" s="1" cm="1">
        <f t="array" ref="Q438">VALUE(INDEX(_xlfn.TEXTSPLIT(P438, " "), 4))</f>
        <v>2014</v>
      </c>
      <c r="R438" s="1" t="str">
        <f t="shared" si="6"/>
        <v>Infiniti G Sedan G37 Journey</v>
      </c>
      <c r="S438" s="1" t="str" cm="1">
        <f t="array" ref="S438">_xlfn.IFS(I438 &gt;= 40, "High", I438&gt;=20, "Medium", I438&lt;20, "Low")</f>
        <v>High</v>
      </c>
      <c r="T438" s="1" t="str" cm="1">
        <f t="array" ref="T438">_xlfn.IFS(O438&lt;18200, "Low", O438&lt;=50000, "Medium", O438&gt;50000, "High")</f>
        <v>Medium</v>
      </c>
    </row>
    <row r="439" spans="1:20" x14ac:dyDescent="0.25">
      <c r="A439" s="2">
        <v>2013</v>
      </c>
      <c r="B439" s="1" t="s">
        <v>16</v>
      </c>
      <c r="C439" s="1" t="s">
        <v>637</v>
      </c>
      <c r="D439" s="1" t="s">
        <v>18</v>
      </c>
      <c r="E439" s="1" t="s">
        <v>32</v>
      </c>
      <c r="F439" s="1" t="s">
        <v>214</v>
      </c>
      <c r="G439" s="1" t="s">
        <v>765</v>
      </c>
      <c r="H439" s="1" t="s">
        <v>22</v>
      </c>
      <c r="I439" s="1">
        <v>19</v>
      </c>
      <c r="J439" s="1">
        <v>22658</v>
      </c>
      <c r="K439" s="1" t="s">
        <v>23</v>
      </c>
      <c r="L439" s="1" t="s">
        <v>28</v>
      </c>
      <c r="M439" s="1" t="s">
        <v>292</v>
      </c>
      <c r="N439" s="1">
        <v>9225</v>
      </c>
      <c r="O439" s="12">
        <v>5500</v>
      </c>
      <c r="P439" s="3" t="s">
        <v>26</v>
      </c>
      <c r="Q439" s="1" cm="1">
        <f t="array" ref="Q439">VALUE(INDEX(_xlfn.TEXTSPLIT(P439, " "), 4))</f>
        <v>2014</v>
      </c>
      <c r="R439" s="1" t="str">
        <f t="shared" si="6"/>
        <v>Kia Rio LX</v>
      </c>
      <c r="S439" s="1" t="str" cm="1">
        <f t="array" ref="S439">_xlfn.IFS(I439 &gt;= 40, "High", I439&gt;=20, "Medium", I439&lt;20, "Low")</f>
        <v>Low</v>
      </c>
      <c r="T439" s="1" t="str" cm="1">
        <f t="array" ref="T439">_xlfn.IFS(O439&lt;18200, "Low", O439&lt;=50000, "Medium", O439&gt;50000, "High")</f>
        <v>Low</v>
      </c>
    </row>
    <row r="440" spans="1:20" x14ac:dyDescent="0.25">
      <c r="A440" s="2">
        <v>2013</v>
      </c>
      <c r="B440" s="1" t="s">
        <v>16</v>
      </c>
      <c r="C440" s="1" t="s">
        <v>637</v>
      </c>
      <c r="D440" s="1" t="s">
        <v>18</v>
      </c>
      <c r="E440" s="1" t="s">
        <v>32</v>
      </c>
      <c r="F440" s="1" t="s">
        <v>20</v>
      </c>
      <c r="G440" s="1" t="s">
        <v>766</v>
      </c>
      <c r="H440" s="1" t="s">
        <v>22</v>
      </c>
      <c r="I440" s="1">
        <v>26</v>
      </c>
      <c r="J440" s="1">
        <v>13508</v>
      </c>
      <c r="K440" s="1" t="s">
        <v>23</v>
      </c>
      <c r="L440" s="1" t="s">
        <v>24</v>
      </c>
      <c r="M440" s="1" t="s">
        <v>635</v>
      </c>
      <c r="N440" s="1">
        <v>9475</v>
      </c>
      <c r="O440" s="12">
        <v>7500</v>
      </c>
      <c r="P440" s="3" t="s">
        <v>68</v>
      </c>
      <c r="Q440" s="1" cm="1">
        <f t="array" ref="Q440">VALUE(INDEX(_xlfn.TEXTSPLIT(P440, " "), 4))</f>
        <v>2014</v>
      </c>
      <c r="R440" s="1" t="str">
        <f t="shared" si="6"/>
        <v>Kia Rio LX</v>
      </c>
      <c r="S440" s="1" t="str" cm="1">
        <f t="array" ref="S440">_xlfn.IFS(I440 &gt;= 40, "High", I440&gt;=20, "Medium", I440&lt;20, "Low")</f>
        <v>Medium</v>
      </c>
      <c r="T440" s="1" t="str" cm="1">
        <f t="array" ref="T440">_xlfn.IFS(O440&lt;18200, "Low", O440&lt;=50000, "Medium", O440&gt;50000, "High")</f>
        <v>Low</v>
      </c>
    </row>
    <row r="441" spans="1:20" x14ac:dyDescent="0.25">
      <c r="A441" s="2">
        <v>2013</v>
      </c>
      <c r="B441" s="1" t="s">
        <v>600</v>
      </c>
      <c r="C441" s="1" t="s">
        <v>702</v>
      </c>
      <c r="D441" s="1" t="s">
        <v>703</v>
      </c>
      <c r="E441" s="1" t="s">
        <v>19</v>
      </c>
      <c r="F441" s="1" t="s">
        <v>20</v>
      </c>
      <c r="G441" s="1" t="s">
        <v>767</v>
      </c>
      <c r="H441" s="1" t="s">
        <v>22</v>
      </c>
      <c r="I441" s="1">
        <v>27</v>
      </c>
      <c r="J441" s="1">
        <v>31688</v>
      </c>
      <c r="K441" s="1" t="s">
        <v>73</v>
      </c>
      <c r="L441" s="1" t="s">
        <v>24</v>
      </c>
      <c r="M441" s="1" t="s">
        <v>635</v>
      </c>
      <c r="N441" s="1">
        <v>12650</v>
      </c>
      <c r="O441" s="12">
        <v>13000</v>
      </c>
      <c r="P441" s="3" t="s">
        <v>68</v>
      </c>
      <c r="Q441" s="1" cm="1">
        <f t="array" ref="Q441">VALUE(INDEX(_xlfn.TEXTSPLIT(P441, " "), 4))</f>
        <v>2014</v>
      </c>
      <c r="R441" s="1" t="str">
        <f t="shared" si="6"/>
        <v>Jeep Compass Latitude</v>
      </c>
      <c r="S441" s="1" t="str" cm="1">
        <f t="array" ref="S441">_xlfn.IFS(I441 &gt;= 40, "High", I441&gt;=20, "Medium", I441&lt;20, "Low")</f>
        <v>Medium</v>
      </c>
      <c r="T441" s="1" t="str" cm="1">
        <f t="array" ref="T441">_xlfn.IFS(O441&lt;18200, "Low", O441&lt;=50000, "Medium", O441&gt;50000, "High")</f>
        <v>Low</v>
      </c>
    </row>
    <row r="442" spans="1:20" x14ac:dyDescent="0.25">
      <c r="A442" s="2">
        <v>2013</v>
      </c>
      <c r="B442" s="1" t="s">
        <v>616</v>
      </c>
      <c r="C442" s="1" t="s">
        <v>617</v>
      </c>
      <c r="D442" s="1" t="s">
        <v>87</v>
      </c>
      <c r="E442" s="1" t="s">
        <v>19</v>
      </c>
      <c r="F442" s="1" t="s">
        <v>20</v>
      </c>
      <c r="G442" s="1" t="s">
        <v>768</v>
      </c>
      <c r="H442" s="1" t="s">
        <v>22</v>
      </c>
      <c r="I442" s="1">
        <v>35</v>
      </c>
      <c r="J442" s="1">
        <v>39473</v>
      </c>
      <c r="K442" s="1" t="s">
        <v>34</v>
      </c>
      <c r="L442" s="1" t="s">
        <v>24</v>
      </c>
      <c r="M442" s="1" t="s">
        <v>182</v>
      </c>
      <c r="N442" s="1">
        <v>14300</v>
      </c>
      <c r="O442" s="12">
        <v>14700</v>
      </c>
      <c r="P442" s="3" t="s">
        <v>270</v>
      </c>
      <c r="Q442" s="1" cm="1">
        <f t="array" ref="Q442">VALUE(INDEX(_xlfn.TEXTSPLIT(P442, " "), 4))</f>
        <v>2014</v>
      </c>
      <c r="R442" s="1" t="str">
        <f t="shared" si="6"/>
        <v>Mitsubishi Outlander SE</v>
      </c>
      <c r="S442" s="1" t="str" cm="1">
        <f t="array" ref="S442">_xlfn.IFS(I442 &gt;= 40, "High", I442&gt;=20, "Medium", I442&lt;20, "Low")</f>
        <v>Medium</v>
      </c>
      <c r="T442" s="1" t="str" cm="1">
        <f t="array" ref="T442">_xlfn.IFS(O442&lt;18200, "Low", O442&lt;=50000, "Medium", O442&gt;50000, "High")</f>
        <v>Low</v>
      </c>
    </row>
    <row r="443" spans="1:20" x14ac:dyDescent="0.25">
      <c r="A443" s="2">
        <v>2013</v>
      </c>
      <c r="B443" s="1" t="s">
        <v>318</v>
      </c>
      <c r="C443" s="1" t="s">
        <v>323</v>
      </c>
      <c r="D443" s="1" t="s">
        <v>324</v>
      </c>
      <c r="E443" s="1" t="s">
        <v>323</v>
      </c>
      <c r="F443" s="1" t="s">
        <v>214</v>
      </c>
      <c r="G443" s="1" t="s">
        <v>769</v>
      </c>
      <c r="H443" s="1" t="s">
        <v>22</v>
      </c>
      <c r="I443" s="1">
        <v>43</v>
      </c>
      <c r="J443" s="1">
        <v>21898</v>
      </c>
      <c r="K443" s="1" t="s">
        <v>34</v>
      </c>
      <c r="L443" s="1" t="s">
        <v>24</v>
      </c>
      <c r="M443" s="1" t="s">
        <v>322</v>
      </c>
      <c r="N443" s="1">
        <v>25400</v>
      </c>
      <c r="O443" s="12">
        <v>26250</v>
      </c>
      <c r="P443" s="3" t="s">
        <v>57</v>
      </c>
      <c r="Q443" s="1" cm="1">
        <f t="array" ref="Q443">VALUE(INDEX(_xlfn.TEXTSPLIT(P443, " "), 4))</f>
        <v>2014</v>
      </c>
      <c r="R443" s="1" t="str">
        <f t="shared" si="6"/>
        <v>Infiniti G Sedan G37 Journey</v>
      </c>
      <c r="S443" s="1" t="str" cm="1">
        <f t="array" ref="S443">_xlfn.IFS(I443 &gt;= 40, "High", I443&gt;=20, "Medium", I443&lt;20, "Low")</f>
        <v>High</v>
      </c>
      <c r="T443" s="1" t="str" cm="1">
        <f t="array" ref="T443">_xlfn.IFS(O443&lt;18200, "Low", O443&lt;=50000, "Medium", O443&gt;50000, "High")</f>
        <v>Medium</v>
      </c>
    </row>
    <row r="444" spans="1:20" x14ac:dyDescent="0.25">
      <c r="A444" s="2">
        <v>2013</v>
      </c>
      <c r="B444" s="1" t="s">
        <v>608</v>
      </c>
      <c r="C444" s="1" t="s">
        <v>620</v>
      </c>
      <c r="D444" s="1" t="s">
        <v>621</v>
      </c>
      <c r="E444" s="1" t="s">
        <v>107</v>
      </c>
      <c r="F444" s="1" t="s">
        <v>20</v>
      </c>
      <c r="G444" s="1" t="s">
        <v>770</v>
      </c>
      <c r="H444" s="1" t="s">
        <v>22</v>
      </c>
      <c r="I444" s="1">
        <v>35</v>
      </c>
      <c r="J444" s="1">
        <v>10782</v>
      </c>
      <c r="K444" s="1" t="s">
        <v>34</v>
      </c>
      <c r="L444" s="1" t="s">
        <v>24</v>
      </c>
      <c r="M444" s="1" t="s">
        <v>612</v>
      </c>
      <c r="N444" s="1">
        <v>26000</v>
      </c>
      <c r="O444" s="12">
        <v>26000</v>
      </c>
      <c r="P444" s="3" t="s">
        <v>36</v>
      </c>
      <c r="Q444" s="1" cm="1">
        <f t="array" ref="Q444">VALUE(INDEX(_xlfn.TEXTSPLIT(P444, " "), 4))</f>
        <v>2015</v>
      </c>
      <c r="R444" s="1" t="str">
        <f t="shared" si="6"/>
        <v>Mercedes-Benz C-Class C250</v>
      </c>
      <c r="S444" s="1" t="str" cm="1">
        <f t="array" ref="S444">_xlfn.IFS(I444 &gt;= 40, "High", I444&gt;=20, "Medium", I444&lt;20, "Low")</f>
        <v>Medium</v>
      </c>
      <c r="T444" s="1" t="str" cm="1">
        <f t="array" ref="T444">_xlfn.IFS(O444&lt;18200, "Low", O444&lt;=50000, "Medium", O444&gt;50000, "High")</f>
        <v>Medium</v>
      </c>
    </row>
    <row r="445" spans="1:20" x14ac:dyDescent="0.25">
      <c r="A445" s="2">
        <v>2013</v>
      </c>
      <c r="B445" s="1" t="s">
        <v>318</v>
      </c>
      <c r="C445" s="1" t="s">
        <v>319</v>
      </c>
      <c r="D445" s="1" t="s">
        <v>718</v>
      </c>
      <c r="E445" s="1" t="s">
        <v>319</v>
      </c>
      <c r="F445" s="1" t="s">
        <v>20</v>
      </c>
      <c r="G445" s="1" t="s">
        <v>771</v>
      </c>
      <c r="H445" s="1" t="s">
        <v>22</v>
      </c>
      <c r="I445" s="1">
        <v>42</v>
      </c>
      <c r="J445" s="1">
        <v>46120</v>
      </c>
      <c r="K445" s="1" t="s">
        <v>101</v>
      </c>
      <c r="L445" s="1" t="s">
        <v>24</v>
      </c>
      <c r="M445" s="1" t="s">
        <v>322</v>
      </c>
      <c r="N445" s="1">
        <v>21600</v>
      </c>
      <c r="O445" s="12">
        <v>23500</v>
      </c>
      <c r="P445" s="3" t="s">
        <v>46</v>
      </c>
      <c r="Q445" s="1" cm="1">
        <f t="array" ref="Q445">VALUE(INDEX(_xlfn.TEXTSPLIT(P445, " "), 4))</f>
        <v>2014</v>
      </c>
      <c r="R445" s="1" t="str">
        <f t="shared" si="6"/>
        <v>Infiniti G Coupe G37x</v>
      </c>
      <c r="S445" s="1" t="str" cm="1">
        <f t="array" ref="S445">_xlfn.IFS(I445 &gt;= 40, "High", I445&gt;=20, "Medium", I445&lt;20, "Low")</f>
        <v>High</v>
      </c>
      <c r="T445" s="1" t="str" cm="1">
        <f t="array" ref="T445">_xlfn.IFS(O445&lt;18200, "Low", O445&lt;=50000, "Medium", O445&gt;50000, "High")</f>
        <v>Medium</v>
      </c>
    </row>
    <row r="446" spans="1:20" x14ac:dyDescent="0.25">
      <c r="A446" s="2">
        <v>2013</v>
      </c>
      <c r="B446" s="1" t="s">
        <v>202</v>
      </c>
      <c r="C446" s="1" t="s">
        <v>772</v>
      </c>
      <c r="D446" s="1" t="s">
        <v>773</v>
      </c>
      <c r="E446" s="1" t="s">
        <v>32</v>
      </c>
      <c r="F446" s="1" t="s">
        <v>20</v>
      </c>
      <c r="G446" s="1" t="s">
        <v>774</v>
      </c>
      <c r="H446" s="1" t="s">
        <v>22</v>
      </c>
      <c r="I446" s="1">
        <v>49</v>
      </c>
      <c r="J446" s="1">
        <v>71</v>
      </c>
      <c r="K446" s="1" t="s">
        <v>384</v>
      </c>
      <c r="L446" s="1" t="s">
        <v>28</v>
      </c>
      <c r="M446" s="1" t="s">
        <v>775</v>
      </c>
      <c r="N446" s="1">
        <v>66000</v>
      </c>
      <c r="O446" s="12">
        <v>64000</v>
      </c>
      <c r="P446" s="3" t="s">
        <v>143</v>
      </c>
      <c r="Q446" s="1" cm="1">
        <f t="array" ref="Q446">VALUE(INDEX(_xlfn.TEXTSPLIT(P446, " "), 4))</f>
        <v>2014</v>
      </c>
      <c r="R446" s="1" t="str">
        <f t="shared" si="6"/>
        <v>Lexus LS 460 L</v>
      </c>
      <c r="S446" s="1" t="str" cm="1">
        <f t="array" ref="S446">_xlfn.IFS(I446 &gt;= 40, "High", I446&gt;=20, "Medium", I446&lt;20, "Low")</f>
        <v>High</v>
      </c>
      <c r="T446" s="1" t="str" cm="1">
        <f t="array" ref="T446">_xlfn.IFS(O446&lt;18200, "Low", O446&lt;=50000, "Medium", O446&gt;50000, "High")</f>
        <v>High</v>
      </c>
    </row>
    <row r="447" spans="1:20" x14ac:dyDescent="0.25">
      <c r="A447" s="2">
        <v>2013</v>
      </c>
      <c r="B447" s="1" t="s">
        <v>608</v>
      </c>
      <c r="C447" s="1" t="s">
        <v>609</v>
      </c>
      <c r="D447" s="1" t="s">
        <v>610</v>
      </c>
      <c r="E447" s="1" t="s">
        <v>32</v>
      </c>
      <c r="F447" s="1" t="s">
        <v>20</v>
      </c>
      <c r="G447" s="1" t="s">
        <v>776</v>
      </c>
      <c r="H447" s="1" t="s">
        <v>22</v>
      </c>
      <c r="I447" s="1">
        <v>44</v>
      </c>
      <c r="J447" s="1">
        <v>14557</v>
      </c>
      <c r="K447" s="1" t="s">
        <v>24</v>
      </c>
      <c r="L447" s="1" t="s">
        <v>24</v>
      </c>
      <c r="M447" s="1" t="s">
        <v>612</v>
      </c>
      <c r="N447" s="1">
        <v>53000</v>
      </c>
      <c r="O447" s="12">
        <v>51500</v>
      </c>
      <c r="P447" s="3" t="s">
        <v>42</v>
      </c>
      <c r="Q447" s="1" cm="1">
        <f t="array" ref="Q447">VALUE(INDEX(_xlfn.TEXTSPLIT(P447, " "), 4))</f>
        <v>2015</v>
      </c>
      <c r="R447" s="1" t="str">
        <f t="shared" si="6"/>
        <v>Mercedes-Benz S-Class S550</v>
      </c>
      <c r="S447" s="1" t="str" cm="1">
        <f t="array" ref="S447">_xlfn.IFS(I447 &gt;= 40, "High", I447&gt;=20, "Medium", I447&lt;20, "Low")</f>
        <v>High</v>
      </c>
      <c r="T447" s="1" t="str" cm="1">
        <f t="array" ref="T447">_xlfn.IFS(O447&lt;18200, "Low", O447&lt;=50000, "Medium", O447&gt;50000, "High")</f>
        <v>High</v>
      </c>
    </row>
    <row r="448" spans="1:20" x14ac:dyDescent="0.25">
      <c r="A448" s="2">
        <v>2013</v>
      </c>
      <c r="B448" s="1" t="s">
        <v>16</v>
      </c>
      <c r="C448" s="1" t="s">
        <v>80</v>
      </c>
      <c r="D448" s="1" t="s">
        <v>605</v>
      </c>
      <c r="E448" s="1" t="s">
        <v>32</v>
      </c>
      <c r="F448" s="1" t="s">
        <v>20</v>
      </c>
      <c r="G448" s="1" t="s">
        <v>777</v>
      </c>
      <c r="H448" s="1" t="s">
        <v>22</v>
      </c>
      <c r="I448" s="1">
        <v>44</v>
      </c>
      <c r="J448" s="1">
        <v>18554</v>
      </c>
      <c r="K448" s="1" t="s">
        <v>34</v>
      </c>
      <c r="L448" s="1" t="s">
        <v>24</v>
      </c>
      <c r="M448" s="1" t="s">
        <v>25</v>
      </c>
      <c r="N448" s="1">
        <v>15950</v>
      </c>
      <c r="O448" s="12">
        <v>15700</v>
      </c>
      <c r="P448" s="3" t="s">
        <v>26</v>
      </c>
      <c r="Q448" s="1" cm="1">
        <f t="array" ref="Q448">VALUE(INDEX(_xlfn.TEXTSPLIT(P448, " "), 4))</f>
        <v>2014</v>
      </c>
      <c r="R448" s="1" t="str">
        <f t="shared" si="6"/>
        <v>Kia Optima EX Hybrid</v>
      </c>
      <c r="S448" s="1" t="str" cm="1">
        <f t="array" ref="S448">_xlfn.IFS(I448 &gt;= 40, "High", I448&gt;=20, "Medium", I448&lt;20, "Low")</f>
        <v>High</v>
      </c>
      <c r="T448" s="1" t="str" cm="1">
        <f t="array" ref="T448">_xlfn.IFS(O448&lt;18200, "Low", O448&lt;=50000, "Medium", O448&gt;50000, "High")</f>
        <v>Low</v>
      </c>
    </row>
    <row r="449" spans="1:20" x14ac:dyDescent="0.25">
      <c r="A449" s="2">
        <v>2013</v>
      </c>
      <c r="B449" s="1" t="s">
        <v>616</v>
      </c>
      <c r="C449" s="1" t="s">
        <v>617</v>
      </c>
      <c r="D449" s="1" t="s">
        <v>87</v>
      </c>
      <c r="E449" s="1" t="s">
        <v>19</v>
      </c>
      <c r="F449" s="1" t="s">
        <v>20</v>
      </c>
      <c r="G449" s="1" t="s">
        <v>778</v>
      </c>
      <c r="H449" s="1" t="s">
        <v>22</v>
      </c>
      <c r="I449" s="1">
        <v>38</v>
      </c>
      <c r="J449" s="1">
        <v>36990</v>
      </c>
      <c r="K449" s="1" t="s">
        <v>91</v>
      </c>
      <c r="L449" s="1" t="s">
        <v>24</v>
      </c>
      <c r="M449" s="1" t="s">
        <v>182</v>
      </c>
      <c r="N449" s="1">
        <v>14550</v>
      </c>
      <c r="O449" s="12">
        <v>14800</v>
      </c>
      <c r="P449" s="3" t="s">
        <v>270</v>
      </c>
      <c r="Q449" s="1" cm="1">
        <f t="array" ref="Q449">VALUE(INDEX(_xlfn.TEXTSPLIT(P449, " "), 4))</f>
        <v>2014</v>
      </c>
      <c r="R449" s="1" t="str">
        <f t="shared" si="6"/>
        <v>Mitsubishi Outlander SE</v>
      </c>
      <c r="S449" s="1" t="str" cm="1">
        <f t="array" ref="S449">_xlfn.IFS(I449 &gt;= 40, "High", I449&gt;=20, "Medium", I449&lt;20, "Low")</f>
        <v>Medium</v>
      </c>
      <c r="T449" s="1" t="str" cm="1">
        <f t="array" ref="T449">_xlfn.IFS(O449&lt;18200, "Low", O449&lt;=50000, "Medium", O449&gt;50000, "High")</f>
        <v>Low</v>
      </c>
    </row>
    <row r="450" spans="1:20" x14ac:dyDescent="0.25">
      <c r="A450" s="2">
        <v>2013</v>
      </c>
      <c r="B450" s="1" t="s">
        <v>608</v>
      </c>
      <c r="C450" s="1" t="s">
        <v>779</v>
      </c>
      <c r="D450" s="1" t="s">
        <v>780</v>
      </c>
      <c r="E450" s="1" t="s">
        <v>19</v>
      </c>
      <c r="F450" s="1" t="s">
        <v>20</v>
      </c>
      <c r="G450" s="1" t="s">
        <v>781</v>
      </c>
      <c r="H450" s="1" t="s">
        <v>22</v>
      </c>
      <c r="I450" s="1">
        <v>34</v>
      </c>
      <c r="J450" s="1">
        <v>21052</v>
      </c>
      <c r="K450" s="1" t="s">
        <v>34</v>
      </c>
      <c r="L450" s="1" t="s">
        <v>24</v>
      </c>
      <c r="M450" s="1" t="s">
        <v>676</v>
      </c>
      <c r="N450" s="1">
        <v>29500</v>
      </c>
      <c r="O450" s="12">
        <v>25500</v>
      </c>
      <c r="P450" s="3" t="s">
        <v>68</v>
      </c>
      <c r="Q450" s="1" cm="1">
        <f t="array" ref="Q450">VALUE(INDEX(_xlfn.TEXTSPLIT(P450, " "), 4))</f>
        <v>2014</v>
      </c>
      <c r="R450" s="1" t="str">
        <f t="shared" si="6"/>
        <v>Mercedes-Benz GLK-Class GLK350</v>
      </c>
      <c r="S450" s="1" t="str" cm="1">
        <f t="array" ref="S450">_xlfn.IFS(I450 &gt;= 40, "High", I450&gt;=20, "Medium", I450&lt;20, "Low")</f>
        <v>Medium</v>
      </c>
      <c r="T450" s="1" t="str" cm="1">
        <f t="array" ref="T450">_xlfn.IFS(O450&lt;18200, "Low", O450&lt;=50000, "Medium", O450&gt;50000, "High")</f>
        <v>Medium</v>
      </c>
    </row>
    <row r="451" spans="1:20" x14ac:dyDescent="0.25">
      <c r="A451" s="2">
        <v>2013</v>
      </c>
      <c r="B451" s="1" t="s">
        <v>47</v>
      </c>
      <c r="C451" s="1" t="s">
        <v>48</v>
      </c>
      <c r="D451" s="1">
        <v>2.5</v>
      </c>
      <c r="E451" s="1" t="s">
        <v>32</v>
      </c>
      <c r="F451" s="1" t="s">
        <v>20</v>
      </c>
      <c r="G451" s="1" t="s">
        <v>782</v>
      </c>
      <c r="H451" s="1" t="s">
        <v>22</v>
      </c>
      <c r="I451" s="1">
        <v>24</v>
      </c>
      <c r="J451" s="1">
        <v>35591</v>
      </c>
      <c r="K451" s="1" t="s">
        <v>34</v>
      </c>
      <c r="L451" s="1" t="s">
        <v>24</v>
      </c>
      <c r="M451" s="1" t="s">
        <v>644</v>
      </c>
      <c r="N451" s="1">
        <v>13600</v>
      </c>
      <c r="O451" s="12">
        <v>12700</v>
      </c>
      <c r="P451" s="3" t="s">
        <v>783</v>
      </c>
      <c r="Q451" s="1" cm="1">
        <f t="array" ref="Q451">VALUE(INDEX(_xlfn.TEXTSPLIT(P451, " "), 4))</f>
        <v>2015</v>
      </c>
      <c r="R451" s="1" t="str">
        <f t="shared" ref="R451:R514" si="7">_xlfn.TEXTJOIN(" ", TRUE, B451, C451, D451)</f>
        <v>Nissan Altima 2.5</v>
      </c>
      <c r="S451" s="1" t="str" cm="1">
        <f t="array" ref="S451">_xlfn.IFS(I451 &gt;= 40, "High", I451&gt;=20, "Medium", I451&lt;20, "Low")</f>
        <v>Medium</v>
      </c>
      <c r="T451" s="1" t="str" cm="1">
        <f t="array" ref="T451">_xlfn.IFS(O451&lt;18200, "Low", O451&lt;=50000, "Medium", O451&gt;50000, "High")</f>
        <v>Low</v>
      </c>
    </row>
    <row r="452" spans="1:20" x14ac:dyDescent="0.25">
      <c r="A452" s="2">
        <v>2013</v>
      </c>
      <c r="B452" s="1" t="s">
        <v>600</v>
      </c>
      <c r="C452" s="1" t="s">
        <v>601</v>
      </c>
      <c r="D452" s="1" t="s">
        <v>784</v>
      </c>
      <c r="E452" s="1" t="s">
        <v>19</v>
      </c>
      <c r="F452" s="1" t="s">
        <v>20</v>
      </c>
      <c r="G452" s="1" t="s">
        <v>785</v>
      </c>
      <c r="H452" s="1" t="s">
        <v>22</v>
      </c>
      <c r="I452" s="1">
        <v>43</v>
      </c>
      <c r="J452" s="1">
        <v>41997</v>
      </c>
      <c r="K452" s="1" t="s">
        <v>24</v>
      </c>
      <c r="L452" s="1" t="s">
        <v>24</v>
      </c>
      <c r="M452" s="1" t="s">
        <v>182</v>
      </c>
      <c r="N452" s="1">
        <v>24200</v>
      </c>
      <c r="O452" s="12">
        <v>25250</v>
      </c>
      <c r="P452" s="3" t="s">
        <v>110</v>
      </c>
      <c r="Q452" s="1" cm="1">
        <f t="array" ref="Q452">VALUE(INDEX(_xlfn.TEXTSPLIT(P452, " "), 4))</f>
        <v>2014</v>
      </c>
      <c r="R452" s="1" t="str">
        <f t="shared" si="7"/>
        <v>Jeep Wrangler Unlimited Sport</v>
      </c>
      <c r="S452" s="1" t="str" cm="1">
        <f t="array" ref="S452">_xlfn.IFS(I452 &gt;= 40, "High", I452&gt;=20, "Medium", I452&lt;20, "Low")</f>
        <v>High</v>
      </c>
      <c r="T452" s="1" t="str" cm="1">
        <f t="array" ref="T452">_xlfn.IFS(O452&lt;18200, "Low", O452&lt;=50000, "Medium", O452&gt;50000, "High")</f>
        <v>Medium</v>
      </c>
    </row>
    <row r="453" spans="1:20" x14ac:dyDescent="0.25">
      <c r="A453" s="2">
        <v>2013</v>
      </c>
      <c r="B453" s="1" t="s">
        <v>16</v>
      </c>
      <c r="C453" s="1" t="s">
        <v>786</v>
      </c>
      <c r="D453" s="1" t="s">
        <v>18</v>
      </c>
      <c r="E453" s="1" t="s">
        <v>19</v>
      </c>
      <c r="F453" s="1" t="s">
        <v>20</v>
      </c>
      <c r="G453" s="1" t="s">
        <v>787</v>
      </c>
      <c r="H453" s="1" t="s">
        <v>22</v>
      </c>
      <c r="I453" s="1">
        <v>25</v>
      </c>
      <c r="J453" s="1">
        <v>40331</v>
      </c>
      <c r="K453" s="1" t="s">
        <v>34</v>
      </c>
      <c r="L453" s="1" t="s">
        <v>34</v>
      </c>
      <c r="M453" s="1" t="s">
        <v>95</v>
      </c>
      <c r="N453" s="1">
        <v>15050</v>
      </c>
      <c r="O453" s="12">
        <v>15200</v>
      </c>
      <c r="P453" s="3" t="s">
        <v>57</v>
      </c>
      <c r="Q453" s="1" cm="1">
        <f t="array" ref="Q453">VALUE(INDEX(_xlfn.TEXTSPLIT(P453, " "), 4))</f>
        <v>2014</v>
      </c>
      <c r="R453" s="1" t="str">
        <f t="shared" si="7"/>
        <v>Kia Sportage LX</v>
      </c>
      <c r="S453" s="1" t="str" cm="1">
        <f t="array" ref="S453">_xlfn.IFS(I453 &gt;= 40, "High", I453&gt;=20, "Medium", I453&lt;20, "Low")</f>
        <v>Medium</v>
      </c>
      <c r="T453" s="1" t="str" cm="1">
        <f t="array" ref="T453">_xlfn.IFS(O453&lt;18200, "Low", O453&lt;=50000, "Medium", O453&gt;50000, "High")</f>
        <v>Low</v>
      </c>
    </row>
    <row r="454" spans="1:20" x14ac:dyDescent="0.25">
      <c r="A454" s="2">
        <v>2013</v>
      </c>
      <c r="B454" s="1" t="s">
        <v>47</v>
      </c>
      <c r="C454" s="1" t="s">
        <v>48</v>
      </c>
      <c r="D454" s="1">
        <v>2.5</v>
      </c>
      <c r="E454" s="1" t="s">
        <v>32</v>
      </c>
      <c r="F454" s="1" t="s">
        <v>20</v>
      </c>
      <c r="G454" s="1" t="s">
        <v>788</v>
      </c>
      <c r="H454" s="1" t="s">
        <v>22</v>
      </c>
      <c r="I454" s="1">
        <v>36</v>
      </c>
      <c r="J454" s="1">
        <v>40425</v>
      </c>
      <c r="K454" s="1" t="s">
        <v>23</v>
      </c>
      <c r="L454" s="1" t="s">
        <v>23</v>
      </c>
      <c r="M454" s="1" t="s">
        <v>644</v>
      </c>
      <c r="N454" s="1">
        <v>13200</v>
      </c>
      <c r="O454" s="12">
        <v>12500</v>
      </c>
      <c r="P454" s="3" t="s">
        <v>57</v>
      </c>
      <c r="Q454" s="1" cm="1">
        <f t="array" ref="Q454">VALUE(INDEX(_xlfn.TEXTSPLIT(P454, " "), 4))</f>
        <v>2014</v>
      </c>
      <c r="R454" s="1" t="str">
        <f t="shared" si="7"/>
        <v>Nissan Altima 2.5</v>
      </c>
      <c r="S454" s="1" t="str" cm="1">
        <f t="array" ref="S454">_xlfn.IFS(I454 &gt;= 40, "High", I454&gt;=20, "Medium", I454&lt;20, "Low")</f>
        <v>Medium</v>
      </c>
      <c r="T454" s="1" t="str" cm="1">
        <f t="array" ref="T454">_xlfn.IFS(O454&lt;18200, "Low", O454&lt;=50000, "Medium", O454&gt;50000, "High")</f>
        <v>Low</v>
      </c>
    </row>
    <row r="455" spans="1:20" x14ac:dyDescent="0.25">
      <c r="A455" s="2">
        <v>2013</v>
      </c>
      <c r="B455" s="1" t="s">
        <v>16</v>
      </c>
      <c r="C455" s="1" t="s">
        <v>80</v>
      </c>
      <c r="D455" s="1" t="s">
        <v>18</v>
      </c>
      <c r="E455" s="1" t="s">
        <v>32</v>
      </c>
      <c r="F455" s="1" t="s">
        <v>20</v>
      </c>
      <c r="G455" s="1" t="s">
        <v>789</v>
      </c>
      <c r="H455" s="1" t="s">
        <v>22</v>
      </c>
      <c r="I455" s="1">
        <v>48</v>
      </c>
      <c r="J455" s="1">
        <v>8177</v>
      </c>
      <c r="K455" s="1" t="s">
        <v>91</v>
      </c>
      <c r="L455" s="1" t="s">
        <v>34</v>
      </c>
      <c r="M455" s="1" t="s">
        <v>83</v>
      </c>
      <c r="N455" s="1">
        <v>14450</v>
      </c>
      <c r="O455" s="12">
        <v>15300</v>
      </c>
      <c r="P455" s="3" t="s">
        <v>84</v>
      </c>
      <c r="Q455" s="1" cm="1">
        <f t="array" ref="Q455">VALUE(INDEX(_xlfn.TEXTSPLIT(P455, " "), 4))</f>
        <v>2014</v>
      </c>
      <c r="R455" s="1" t="str">
        <f t="shared" si="7"/>
        <v>Kia Optima LX</v>
      </c>
      <c r="S455" s="1" t="str" cm="1">
        <f t="array" ref="S455">_xlfn.IFS(I455 &gt;= 40, "High", I455&gt;=20, "Medium", I455&lt;20, "Low")</f>
        <v>High</v>
      </c>
      <c r="T455" s="1" t="str" cm="1">
        <f t="array" ref="T455">_xlfn.IFS(O455&lt;18200, "Low", O455&lt;=50000, "Medium", O455&gt;50000, "High")</f>
        <v>Low</v>
      </c>
    </row>
    <row r="456" spans="1:20" x14ac:dyDescent="0.25">
      <c r="A456" s="2">
        <v>2013</v>
      </c>
      <c r="B456" s="1" t="s">
        <v>600</v>
      </c>
      <c r="C456" s="1" t="s">
        <v>790</v>
      </c>
      <c r="D456" s="1" t="s">
        <v>337</v>
      </c>
      <c r="E456" s="1" t="s">
        <v>19</v>
      </c>
      <c r="F456" s="1" t="s">
        <v>20</v>
      </c>
      <c r="G456" s="1" t="s">
        <v>791</v>
      </c>
      <c r="H456" s="1" t="s">
        <v>22</v>
      </c>
      <c r="I456" s="1">
        <v>43</v>
      </c>
      <c r="J456" s="1">
        <v>39566</v>
      </c>
      <c r="K456" s="1" t="s">
        <v>24</v>
      </c>
      <c r="L456" s="1" t="s">
        <v>24</v>
      </c>
      <c r="M456" s="1" t="s">
        <v>182</v>
      </c>
      <c r="N456" s="1">
        <v>25200</v>
      </c>
      <c r="O456" s="12">
        <v>26750</v>
      </c>
      <c r="P456" s="3" t="s">
        <v>26</v>
      </c>
      <c r="Q456" s="1" cm="1">
        <f t="array" ref="Q456">VALUE(INDEX(_xlfn.TEXTSPLIT(P456, " "), 4))</f>
        <v>2014</v>
      </c>
      <c r="R456" s="1" t="str">
        <f t="shared" si="7"/>
        <v>Jeep Grand Cherokee Limited</v>
      </c>
      <c r="S456" s="1" t="str" cm="1">
        <f t="array" ref="S456">_xlfn.IFS(I456 &gt;= 40, "High", I456&gt;=20, "Medium", I456&lt;20, "Low")</f>
        <v>High</v>
      </c>
      <c r="T456" s="1" t="str" cm="1">
        <f t="array" ref="T456">_xlfn.IFS(O456&lt;18200, "Low", O456&lt;=50000, "Medium", O456&gt;50000, "High")</f>
        <v>Medium</v>
      </c>
    </row>
    <row r="457" spans="1:20" x14ac:dyDescent="0.25">
      <c r="A457" s="2">
        <v>2013</v>
      </c>
      <c r="B457" s="1" t="s">
        <v>608</v>
      </c>
      <c r="C457" s="1" t="s">
        <v>620</v>
      </c>
      <c r="D457" s="1" t="s">
        <v>621</v>
      </c>
      <c r="E457" s="1" t="s">
        <v>107</v>
      </c>
      <c r="F457" s="1" t="s">
        <v>20</v>
      </c>
      <c r="G457" s="1" t="s">
        <v>792</v>
      </c>
      <c r="H457" s="1" t="s">
        <v>22</v>
      </c>
      <c r="I457" s="1">
        <v>37</v>
      </c>
      <c r="J457" s="1">
        <v>18960</v>
      </c>
      <c r="K457" s="1" t="s">
        <v>24</v>
      </c>
      <c r="L457" s="1" t="s">
        <v>28</v>
      </c>
      <c r="M457" s="1" t="s">
        <v>612</v>
      </c>
      <c r="N457" s="1">
        <v>25300</v>
      </c>
      <c r="O457" s="12">
        <v>22750</v>
      </c>
      <c r="P457" s="3" t="s">
        <v>36</v>
      </c>
      <c r="Q457" s="1" cm="1">
        <f t="array" ref="Q457">VALUE(INDEX(_xlfn.TEXTSPLIT(P457, " "), 4))</f>
        <v>2015</v>
      </c>
      <c r="R457" s="1" t="str">
        <f t="shared" si="7"/>
        <v>Mercedes-Benz C-Class C250</v>
      </c>
      <c r="S457" s="1" t="str" cm="1">
        <f t="array" ref="S457">_xlfn.IFS(I457 &gt;= 40, "High", I457&gt;=20, "Medium", I457&lt;20, "Low")</f>
        <v>Medium</v>
      </c>
      <c r="T457" s="1" t="str" cm="1">
        <f t="array" ref="T457">_xlfn.IFS(O457&lt;18200, "Low", O457&lt;=50000, "Medium", O457&gt;50000, "High")</f>
        <v>Medium</v>
      </c>
    </row>
    <row r="458" spans="1:20" x14ac:dyDescent="0.25">
      <c r="A458" s="2">
        <v>2013</v>
      </c>
      <c r="B458" s="1" t="s">
        <v>16</v>
      </c>
      <c r="C458" s="1" t="s">
        <v>80</v>
      </c>
      <c r="D458" s="1" t="s">
        <v>605</v>
      </c>
      <c r="E458" s="1" t="s">
        <v>32</v>
      </c>
      <c r="F458" s="1" t="s">
        <v>20</v>
      </c>
      <c r="G458" s="1" t="s">
        <v>793</v>
      </c>
      <c r="H458" s="1" t="s">
        <v>22</v>
      </c>
      <c r="I458" s="1">
        <v>41</v>
      </c>
      <c r="J458" s="1">
        <v>21258</v>
      </c>
      <c r="K458" s="1" t="s">
        <v>23</v>
      </c>
      <c r="L458" s="1" t="s">
        <v>28</v>
      </c>
      <c r="M458" s="1" t="s">
        <v>25</v>
      </c>
      <c r="N458" s="1">
        <v>15900</v>
      </c>
      <c r="O458" s="12">
        <v>16400</v>
      </c>
      <c r="P458" s="3" t="s">
        <v>26</v>
      </c>
      <c r="Q458" s="1" cm="1">
        <f t="array" ref="Q458">VALUE(INDEX(_xlfn.TEXTSPLIT(P458, " "), 4))</f>
        <v>2014</v>
      </c>
      <c r="R458" s="1" t="str">
        <f t="shared" si="7"/>
        <v>Kia Optima EX Hybrid</v>
      </c>
      <c r="S458" s="1" t="str" cm="1">
        <f t="array" ref="S458">_xlfn.IFS(I458 &gt;= 40, "High", I458&gt;=20, "Medium", I458&lt;20, "Low")</f>
        <v>High</v>
      </c>
      <c r="T458" s="1" t="str" cm="1">
        <f t="array" ref="T458">_xlfn.IFS(O458&lt;18200, "Low", O458&lt;=50000, "Medium", O458&gt;50000, "High")</f>
        <v>Low</v>
      </c>
    </row>
    <row r="459" spans="1:20" x14ac:dyDescent="0.25">
      <c r="A459" s="2">
        <v>2013</v>
      </c>
      <c r="B459" s="1" t="s">
        <v>16</v>
      </c>
      <c r="C459" s="1" t="s">
        <v>694</v>
      </c>
      <c r="D459" s="1" t="s">
        <v>18</v>
      </c>
      <c r="E459" s="1" t="s">
        <v>32</v>
      </c>
      <c r="F459" s="1" t="s">
        <v>20</v>
      </c>
      <c r="G459" s="1" t="s">
        <v>794</v>
      </c>
      <c r="H459" s="1" t="s">
        <v>22</v>
      </c>
      <c r="I459" s="1">
        <v>2</v>
      </c>
      <c r="J459" s="1">
        <v>81410</v>
      </c>
      <c r="K459" s="1" t="s">
        <v>24</v>
      </c>
      <c r="L459" s="1" t="s">
        <v>34</v>
      </c>
      <c r="M459" s="1" t="s">
        <v>83</v>
      </c>
      <c r="N459" s="1">
        <v>6775</v>
      </c>
      <c r="O459" s="12">
        <v>2700</v>
      </c>
      <c r="P459" s="3" t="s">
        <v>89</v>
      </c>
      <c r="Q459" s="1" cm="1">
        <f t="array" ref="Q459">VALUE(INDEX(_xlfn.TEXTSPLIT(P459, " "), 4))</f>
        <v>2015</v>
      </c>
      <c r="R459" s="1" t="str">
        <f t="shared" si="7"/>
        <v>Kia Forte LX</v>
      </c>
      <c r="S459" s="1" t="str" cm="1">
        <f t="array" ref="S459">_xlfn.IFS(I459 &gt;= 40, "High", I459&gt;=20, "Medium", I459&lt;20, "Low")</f>
        <v>Low</v>
      </c>
      <c r="T459" s="1" t="str" cm="1">
        <f t="array" ref="T459">_xlfn.IFS(O459&lt;18200, "Low", O459&lt;=50000, "Medium", O459&gt;50000, "High")</f>
        <v>Low</v>
      </c>
    </row>
    <row r="460" spans="1:20" x14ac:dyDescent="0.25">
      <c r="A460" s="2">
        <v>2013</v>
      </c>
      <c r="B460" s="1" t="s">
        <v>16</v>
      </c>
      <c r="C460" s="1" t="s">
        <v>80</v>
      </c>
      <c r="D460" s="1" t="s">
        <v>605</v>
      </c>
      <c r="E460" s="1" t="s">
        <v>32</v>
      </c>
      <c r="F460" s="1" t="s">
        <v>20</v>
      </c>
      <c r="G460" s="1" t="s">
        <v>795</v>
      </c>
      <c r="H460" s="1" t="s">
        <v>22</v>
      </c>
      <c r="I460" s="1">
        <v>44</v>
      </c>
      <c r="J460" s="1">
        <v>20984</v>
      </c>
      <c r="K460" s="1" t="s">
        <v>23</v>
      </c>
      <c r="L460" s="1" t="s">
        <v>24</v>
      </c>
      <c r="M460" s="1" t="s">
        <v>25</v>
      </c>
      <c r="N460" s="1">
        <v>15900</v>
      </c>
      <c r="O460" s="12">
        <v>16500</v>
      </c>
      <c r="P460" s="3" t="s">
        <v>26</v>
      </c>
      <c r="Q460" s="1" cm="1">
        <f t="array" ref="Q460">VALUE(INDEX(_xlfn.TEXTSPLIT(P460, " "), 4))</f>
        <v>2014</v>
      </c>
      <c r="R460" s="1" t="str">
        <f t="shared" si="7"/>
        <v>Kia Optima EX Hybrid</v>
      </c>
      <c r="S460" s="1" t="str" cm="1">
        <f t="array" ref="S460">_xlfn.IFS(I460 &gt;= 40, "High", I460&gt;=20, "Medium", I460&lt;20, "Low")</f>
        <v>High</v>
      </c>
      <c r="T460" s="1" t="str" cm="1">
        <f t="array" ref="T460">_xlfn.IFS(O460&lt;18200, "Low", O460&lt;=50000, "Medium", O460&gt;50000, "High")</f>
        <v>Low</v>
      </c>
    </row>
    <row r="461" spans="1:20" x14ac:dyDescent="0.25">
      <c r="A461" s="2">
        <v>2013</v>
      </c>
      <c r="B461" s="1" t="s">
        <v>16</v>
      </c>
      <c r="C461" s="1" t="s">
        <v>80</v>
      </c>
      <c r="D461" s="1" t="s">
        <v>18</v>
      </c>
      <c r="E461" s="1" t="s">
        <v>32</v>
      </c>
      <c r="F461" s="1" t="s">
        <v>20</v>
      </c>
      <c r="G461" s="1" t="s">
        <v>796</v>
      </c>
      <c r="H461" s="1" t="s">
        <v>22</v>
      </c>
      <c r="I461" s="1">
        <v>33</v>
      </c>
      <c r="J461" s="1">
        <v>26360</v>
      </c>
      <c r="K461" s="1" t="s">
        <v>132</v>
      </c>
      <c r="L461" s="1" t="s">
        <v>28</v>
      </c>
      <c r="M461" s="1" t="s">
        <v>377</v>
      </c>
      <c r="N461" s="1">
        <v>13450</v>
      </c>
      <c r="O461" s="12">
        <v>13300</v>
      </c>
      <c r="P461" s="3" t="s">
        <v>57</v>
      </c>
      <c r="Q461" s="1" cm="1">
        <f t="array" ref="Q461">VALUE(INDEX(_xlfn.TEXTSPLIT(P461, " "), 4))</f>
        <v>2014</v>
      </c>
      <c r="R461" s="1" t="str">
        <f t="shared" si="7"/>
        <v>Kia Optima LX</v>
      </c>
      <c r="S461" s="1" t="str" cm="1">
        <f t="array" ref="S461">_xlfn.IFS(I461 &gt;= 40, "High", I461&gt;=20, "Medium", I461&lt;20, "Low")</f>
        <v>Medium</v>
      </c>
      <c r="T461" s="1" t="str" cm="1">
        <f t="array" ref="T461">_xlfn.IFS(O461&lt;18200, "Low", O461&lt;=50000, "Medium", O461&gt;50000, "High")</f>
        <v>Low</v>
      </c>
    </row>
    <row r="462" spans="1:20" x14ac:dyDescent="0.25">
      <c r="A462" s="2">
        <v>2013</v>
      </c>
      <c r="B462" s="1" t="s">
        <v>16</v>
      </c>
      <c r="C462" s="1" t="s">
        <v>80</v>
      </c>
      <c r="D462" s="1" t="s">
        <v>18</v>
      </c>
      <c r="E462" s="1" t="s">
        <v>32</v>
      </c>
      <c r="F462" s="1"/>
      <c r="G462" s="1" t="s">
        <v>797</v>
      </c>
      <c r="H462" s="1" t="s">
        <v>22</v>
      </c>
      <c r="I462" s="1">
        <v>38</v>
      </c>
      <c r="J462" s="1">
        <v>17689</v>
      </c>
      <c r="K462" s="1" t="s">
        <v>216</v>
      </c>
      <c r="L462" s="1" t="s">
        <v>34</v>
      </c>
      <c r="M462" s="1" t="s">
        <v>83</v>
      </c>
      <c r="N462" s="1">
        <v>13900</v>
      </c>
      <c r="O462" s="12">
        <v>14800</v>
      </c>
      <c r="P462" s="3" t="s">
        <v>84</v>
      </c>
      <c r="Q462" s="1" cm="1">
        <f t="array" ref="Q462">VALUE(INDEX(_xlfn.TEXTSPLIT(P462, " "), 4))</f>
        <v>2014</v>
      </c>
      <c r="R462" s="1" t="str">
        <f t="shared" si="7"/>
        <v>Kia Optima LX</v>
      </c>
      <c r="S462" s="1" t="str" cm="1">
        <f t="array" ref="S462">_xlfn.IFS(I462 &gt;= 40, "High", I462&gt;=20, "Medium", I462&lt;20, "Low")</f>
        <v>Medium</v>
      </c>
      <c r="T462" s="1" t="str" cm="1">
        <f t="array" ref="T462">_xlfn.IFS(O462&lt;18200, "Low", O462&lt;=50000, "Medium", O462&gt;50000, "High")</f>
        <v>Low</v>
      </c>
    </row>
    <row r="463" spans="1:20" x14ac:dyDescent="0.25">
      <c r="A463" s="2">
        <v>2013</v>
      </c>
      <c r="B463" s="1" t="s">
        <v>318</v>
      </c>
      <c r="C463" s="1" t="s">
        <v>323</v>
      </c>
      <c r="D463" s="1" t="s">
        <v>718</v>
      </c>
      <c r="E463" s="1" t="s">
        <v>323</v>
      </c>
      <c r="F463" s="1" t="s">
        <v>20</v>
      </c>
      <c r="G463" s="1" t="s">
        <v>798</v>
      </c>
      <c r="H463" s="1" t="s">
        <v>22</v>
      </c>
      <c r="I463" s="1">
        <v>38</v>
      </c>
      <c r="J463" s="1">
        <v>46548</v>
      </c>
      <c r="K463" s="1" t="s">
        <v>34</v>
      </c>
      <c r="L463" s="1" t="s">
        <v>34</v>
      </c>
      <c r="M463" s="1" t="s">
        <v>322</v>
      </c>
      <c r="N463" s="1">
        <v>20700</v>
      </c>
      <c r="O463" s="12">
        <v>21000</v>
      </c>
      <c r="P463" s="3" t="s">
        <v>46</v>
      </c>
      <c r="Q463" s="1" cm="1">
        <f t="array" ref="Q463">VALUE(INDEX(_xlfn.TEXTSPLIT(P463, " "), 4))</f>
        <v>2014</v>
      </c>
      <c r="R463" s="1" t="str">
        <f t="shared" si="7"/>
        <v>Infiniti G Sedan G37x</v>
      </c>
      <c r="S463" s="1" t="str" cm="1">
        <f t="array" ref="S463">_xlfn.IFS(I463 &gt;= 40, "High", I463&gt;=20, "Medium", I463&lt;20, "Low")</f>
        <v>Medium</v>
      </c>
      <c r="T463" s="1" t="str" cm="1">
        <f t="array" ref="T463">_xlfn.IFS(O463&lt;18200, "Low", O463&lt;=50000, "Medium", O463&gt;50000, "High")</f>
        <v>Medium</v>
      </c>
    </row>
    <row r="464" spans="1:20" x14ac:dyDescent="0.25">
      <c r="A464" s="2">
        <v>2013</v>
      </c>
      <c r="B464" s="1" t="s">
        <v>318</v>
      </c>
      <c r="C464" s="1" t="s">
        <v>323</v>
      </c>
      <c r="D464" s="1" t="s">
        <v>324</v>
      </c>
      <c r="E464" s="1" t="s">
        <v>323</v>
      </c>
      <c r="F464" s="1" t="s">
        <v>20</v>
      </c>
      <c r="G464" s="1" t="s">
        <v>799</v>
      </c>
      <c r="H464" s="1" t="s">
        <v>22</v>
      </c>
      <c r="I464" s="1">
        <v>45</v>
      </c>
      <c r="J464" s="1">
        <v>35450</v>
      </c>
      <c r="K464" s="1" t="s">
        <v>34</v>
      </c>
      <c r="L464" s="1" t="s">
        <v>24</v>
      </c>
      <c r="M464" s="1" t="s">
        <v>322</v>
      </c>
      <c r="N464" s="1">
        <v>21400</v>
      </c>
      <c r="O464" s="12">
        <v>23000</v>
      </c>
      <c r="P464" s="3" t="s">
        <v>46</v>
      </c>
      <c r="Q464" s="1" cm="1">
        <f t="array" ref="Q464">VALUE(INDEX(_xlfn.TEXTSPLIT(P464, " "), 4))</f>
        <v>2014</v>
      </c>
      <c r="R464" s="1" t="str">
        <f t="shared" si="7"/>
        <v>Infiniti G Sedan G37 Journey</v>
      </c>
      <c r="S464" s="1" t="str" cm="1">
        <f t="array" ref="S464">_xlfn.IFS(I464 &gt;= 40, "High", I464&gt;=20, "Medium", I464&lt;20, "Low")</f>
        <v>High</v>
      </c>
      <c r="T464" s="1" t="str" cm="1">
        <f t="array" ref="T464">_xlfn.IFS(O464&lt;18200, "Low", O464&lt;=50000, "Medium", O464&gt;50000, "High")</f>
        <v>Medium</v>
      </c>
    </row>
    <row r="465" spans="1:20" x14ac:dyDescent="0.25">
      <c r="A465" s="2">
        <v>2013</v>
      </c>
      <c r="B465" s="1" t="s">
        <v>608</v>
      </c>
      <c r="C465" s="1" t="s">
        <v>673</v>
      </c>
      <c r="D465" s="1" t="s">
        <v>800</v>
      </c>
      <c r="E465" s="1" t="s">
        <v>32</v>
      </c>
      <c r="F465" s="1" t="s">
        <v>20</v>
      </c>
      <c r="G465" s="1" t="s">
        <v>801</v>
      </c>
      <c r="H465" s="1" t="s">
        <v>22</v>
      </c>
      <c r="I465" s="1">
        <v>47</v>
      </c>
      <c r="J465" s="1">
        <v>28463</v>
      </c>
      <c r="K465" s="1" t="s">
        <v>101</v>
      </c>
      <c r="L465" s="1" t="s">
        <v>24</v>
      </c>
      <c r="M465" s="1" t="s">
        <v>612</v>
      </c>
      <c r="N465" s="1">
        <v>36900</v>
      </c>
      <c r="O465" s="12">
        <v>36250</v>
      </c>
      <c r="P465" s="3" t="s">
        <v>46</v>
      </c>
      <c r="Q465" s="1" cm="1">
        <f t="array" ref="Q465">VALUE(INDEX(_xlfn.TEXTSPLIT(P465, " "), 4))</f>
        <v>2014</v>
      </c>
      <c r="R465" s="1" t="str">
        <f t="shared" si="7"/>
        <v>Mercedes-Benz E-Class E350 Sport BlueTEC</v>
      </c>
      <c r="S465" s="1" t="str" cm="1">
        <f t="array" ref="S465">_xlfn.IFS(I465 &gt;= 40, "High", I465&gt;=20, "Medium", I465&lt;20, "Low")</f>
        <v>High</v>
      </c>
      <c r="T465" s="1" t="str" cm="1">
        <f t="array" ref="T465">_xlfn.IFS(O465&lt;18200, "Low", O465&lt;=50000, "Medium", O465&gt;50000, "High")</f>
        <v>Medium</v>
      </c>
    </row>
    <row r="466" spans="1:20" x14ac:dyDescent="0.25">
      <c r="A466" s="2">
        <v>2013</v>
      </c>
      <c r="B466" s="1" t="s">
        <v>608</v>
      </c>
      <c r="C466" s="1" t="s">
        <v>609</v>
      </c>
      <c r="D466" s="1" t="s">
        <v>610</v>
      </c>
      <c r="E466" s="1" t="s">
        <v>32</v>
      </c>
      <c r="F466" s="1" t="s">
        <v>20</v>
      </c>
      <c r="G466" s="1" t="s">
        <v>802</v>
      </c>
      <c r="H466" s="1" t="s">
        <v>22</v>
      </c>
      <c r="I466" s="1">
        <v>36</v>
      </c>
      <c r="J466" s="1">
        <v>24168</v>
      </c>
      <c r="K466" s="1" t="s">
        <v>24</v>
      </c>
      <c r="L466" s="1" t="s">
        <v>24</v>
      </c>
      <c r="M466" s="1" t="s">
        <v>612</v>
      </c>
      <c r="N466" s="1">
        <v>55300</v>
      </c>
      <c r="O466" s="12">
        <v>56250</v>
      </c>
      <c r="P466" s="3" t="s">
        <v>46</v>
      </c>
      <c r="Q466" s="1" cm="1">
        <f t="array" ref="Q466">VALUE(INDEX(_xlfn.TEXTSPLIT(P466, " "), 4))</f>
        <v>2014</v>
      </c>
      <c r="R466" s="1" t="str">
        <f t="shared" si="7"/>
        <v>Mercedes-Benz S-Class S550</v>
      </c>
      <c r="S466" s="1" t="str" cm="1">
        <f t="array" ref="S466">_xlfn.IFS(I466 &gt;= 40, "High", I466&gt;=20, "Medium", I466&lt;20, "Low")</f>
        <v>Medium</v>
      </c>
      <c r="T466" s="1" t="str" cm="1">
        <f t="array" ref="T466">_xlfn.IFS(O466&lt;18200, "Low", O466&lt;=50000, "Medium", O466&gt;50000, "High")</f>
        <v>High</v>
      </c>
    </row>
    <row r="467" spans="1:20" x14ac:dyDescent="0.25">
      <c r="A467" s="2">
        <v>2013</v>
      </c>
      <c r="B467" s="1" t="s">
        <v>803</v>
      </c>
      <c r="C467" s="1" t="s">
        <v>804</v>
      </c>
      <c r="D467" s="1" t="s">
        <v>54</v>
      </c>
      <c r="E467" s="1" t="s">
        <v>19</v>
      </c>
      <c r="F467" s="1" t="s">
        <v>20</v>
      </c>
      <c r="G467" s="1" t="s">
        <v>805</v>
      </c>
      <c r="H467" s="1" t="s">
        <v>22</v>
      </c>
      <c r="I467" s="1">
        <v>43</v>
      </c>
      <c r="J467" s="1">
        <v>39459</v>
      </c>
      <c r="K467" s="1" t="s">
        <v>288</v>
      </c>
      <c r="L467" s="1" t="s">
        <v>82</v>
      </c>
      <c r="M467" s="1" t="s">
        <v>95</v>
      </c>
      <c r="N467" s="1">
        <v>24700</v>
      </c>
      <c r="O467" s="12">
        <v>24500</v>
      </c>
      <c r="P467" s="3" t="s">
        <v>57</v>
      </c>
      <c r="Q467" s="1" cm="1">
        <f t="array" ref="Q467">VALUE(INDEX(_xlfn.TEXTSPLIT(P467, " "), 4))</f>
        <v>2014</v>
      </c>
      <c r="R467" s="1" t="str">
        <f t="shared" si="7"/>
        <v>Lincoln MKX Base</v>
      </c>
      <c r="S467" s="1" t="str" cm="1">
        <f t="array" ref="S467">_xlfn.IFS(I467 &gt;= 40, "High", I467&gt;=20, "Medium", I467&lt;20, "Low")</f>
        <v>High</v>
      </c>
      <c r="T467" s="1" t="str" cm="1">
        <f t="array" ref="T467">_xlfn.IFS(O467&lt;18200, "Low", O467&lt;=50000, "Medium", O467&gt;50000, "High")</f>
        <v>Medium</v>
      </c>
    </row>
    <row r="468" spans="1:20" x14ac:dyDescent="0.25">
      <c r="A468" s="2">
        <v>2013</v>
      </c>
      <c r="B468" s="1" t="s">
        <v>730</v>
      </c>
      <c r="C468" s="1" t="s">
        <v>758</v>
      </c>
      <c r="D468" s="1" t="s">
        <v>806</v>
      </c>
      <c r="E468" s="1" t="s">
        <v>19</v>
      </c>
      <c r="F468" s="1" t="s">
        <v>20</v>
      </c>
      <c r="G468" s="1" t="s">
        <v>807</v>
      </c>
      <c r="H468" s="1" t="s">
        <v>22</v>
      </c>
      <c r="I468" s="1"/>
      <c r="J468" s="1">
        <v>25808</v>
      </c>
      <c r="K468" s="1" t="s">
        <v>23</v>
      </c>
      <c r="L468" s="1" t="s">
        <v>82</v>
      </c>
      <c r="M468" s="1" t="s">
        <v>555</v>
      </c>
      <c r="N468" s="1">
        <v>31700</v>
      </c>
      <c r="O468" s="12">
        <v>30000</v>
      </c>
      <c r="P468" s="3" t="s">
        <v>46</v>
      </c>
      <c r="Q468" s="1" cm="1">
        <f t="array" ref="Q468">VALUE(INDEX(_xlfn.TEXTSPLIT(P468, " "), 4))</f>
        <v>2014</v>
      </c>
      <c r="R468" s="1" t="str">
        <f t="shared" si="7"/>
        <v>Land Rover Range Rover Evoque Pure</v>
      </c>
      <c r="S468" s="1" t="str" cm="1">
        <f t="array" ref="S468">_xlfn.IFS(I468 &gt;= 40, "High", I468&gt;=20, "Medium", I468&lt;20, "Low")</f>
        <v>Low</v>
      </c>
      <c r="T468" s="1" t="str" cm="1">
        <f t="array" ref="T468">_xlfn.IFS(O468&lt;18200, "Low", O468&lt;=50000, "Medium", O468&gt;50000, "High")</f>
        <v>Medium</v>
      </c>
    </row>
    <row r="469" spans="1:20" x14ac:dyDescent="0.25">
      <c r="A469" s="2">
        <v>2013</v>
      </c>
      <c r="B469" s="1" t="s">
        <v>632</v>
      </c>
      <c r="C469" s="1" t="s">
        <v>737</v>
      </c>
      <c r="D469" s="1" t="s">
        <v>368</v>
      </c>
      <c r="E469" s="1" t="s">
        <v>738</v>
      </c>
      <c r="F469" s="1" t="s">
        <v>20</v>
      </c>
      <c r="G469" s="1" t="s">
        <v>808</v>
      </c>
      <c r="H469" s="1" t="s">
        <v>22</v>
      </c>
      <c r="I469" s="1">
        <v>45</v>
      </c>
      <c r="J469" s="1">
        <v>7787</v>
      </c>
      <c r="K469" s="1" t="s">
        <v>23</v>
      </c>
      <c r="L469" s="1" t="s">
        <v>28</v>
      </c>
      <c r="M469" s="1" t="s">
        <v>809</v>
      </c>
      <c r="N469" s="1">
        <v>14200</v>
      </c>
      <c r="O469" s="12">
        <v>14000</v>
      </c>
      <c r="P469" s="3" t="s">
        <v>26</v>
      </c>
      <c r="Q469" s="1" cm="1">
        <f t="array" ref="Q469">VALUE(INDEX(_xlfn.TEXTSPLIT(P469, " "), 4))</f>
        <v>2014</v>
      </c>
      <c r="R469" s="1" t="str">
        <f t="shared" si="7"/>
        <v>Mazda Mazda5 Sport</v>
      </c>
      <c r="S469" s="1" t="str" cm="1">
        <f t="array" ref="S469">_xlfn.IFS(I469 &gt;= 40, "High", I469&gt;=20, "Medium", I469&lt;20, "Low")</f>
        <v>High</v>
      </c>
      <c r="T469" s="1" t="str" cm="1">
        <f t="array" ref="T469">_xlfn.IFS(O469&lt;18200, "Low", O469&lt;=50000, "Medium", O469&gt;50000, "High")</f>
        <v>Low</v>
      </c>
    </row>
    <row r="470" spans="1:20" x14ac:dyDescent="0.25">
      <c r="A470" s="2">
        <v>2013</v>
      </c>
      <c r="B470" s="1" t="s">
        <v>810</v>
      </c>
      <c r="C470" s="1" t="s">
        <v>811</v>
      </c>
      <c r="D470" s="1" t="s">
        <v>812</v>
      </c>
      <c r="E470" s="1"/>
      <c r="F470" s="1" t="s">
        <v>20</v>
      </c>
      <c r="G470" s="1" t="s">
        <v>813</v>
      </c>
      <c r="H470" s="1" t="s">
        <v>22</v>
      </c>
      <c r="I470" s="1">
        <v>41</v>
      </c>
      <c r="J470" s="1">
        <v>74874</v>
      </c>
      <c r="K470" s="1" t="s">
        <v>24</v>
      </c>
      <c r="L470" s="1" t="s">
        <v>24</v>
      </c>
      <c r="M470" s="1" t="s">
        <v>692</v>
      </c>
      <c r="N470" s="1">
        <v>19300</v>
      </c>
      <c r="O470" s="12">
        <v>17750</v>
      </c>
      <c r="P470" s="3" t="s">
        <v>68</v>
      </c>
      <c r="Q470" s="1" cm="1">
        <f t="array" ref="Q470">VALUE(INDEX(_xlfn.TEXTSPLIT(P470, " "), 4))</f>
        <v>2014</v>
      </c>
      <c r="R470" s="1" t="str">
        <f t="shared" si="7"/>
        <v>lincoln mkt awd v6</v>
      </c>
      <c r="S470" s="1" t="str" cm="1">
        <f t="array" ref="S470">_xlfn.IFS(I470 &gt;= 40, "High", I470&gt;=20, "Medium", I470&lt;20, "Low")</f>
        <v>High</v>
      </c>
      <c r="T470" s="1" t="str" cm="1">
        <f t="array" ref="T470">_xlfn.IFS(O470&lt;18200, "Low", O470&lt;=50000, "Medium", O470&gt;50000, "High")</f>
        <v>Low</v>
      </c>
    </row>
    <row r="471" spans="1:20" x14ac:dyDescent="0.25">
      <c r="A471" s="2">
        <v>2013</v>
      </c>
      <c r="B471" s="1" t="s">
        <v>318</v>
      </c>
      <c r="C471" s="1" t="s">
        <v>323</v>
      </c>
      <c r="D471" s="1" t="s">
        <v>324</v>
      </c>
      <c r="E471" s="1" t="s">
        <v>323</v>
      </c>
      <c r="F471" s="1" t="s">
        <v>214</v>
      </c>
      <c r="G471" s="1" t="s">
        <v>814</v>
      </c>
      <c r="H471" s="1" t="s">
        <v>22</v>
      </c>
      <c r="I471" s="1">
        <v>43</v>
      </c>
      <c r="J471" s="1">
        <v>13149</v>
      </c>
      <c r="K471" s="1" t="s">
        <v>24</v>
      </c>
      <c r="L471" s="1" t="s">
        <v>24</v>
      </c>
      <c r="M471" s="1" t="s">
        <v>322</v>
      </c>
      <c r="N471" s="1">
        <v>27100</v>
      </c>
      <c r="O471" s="12">
        <v>28250</v>
      </c>
      <c r="P471" s="3" t="s">
        <v>46</v>
      </c>
      <c r="Q471" s="1" cm="1">
        <f t="array" ref="Q471">VALUE(INDEX(_xlfn.TEXTSPLIT(P471, " "), 4))</f>
        <v>2014</v>
      </c>
      <c r="R471" s="1" t="str">
        <f t="shared" si="7"/>
        <v>Infiniti G Sedan G37 Journey</v>
      </c>
      <c r="S471" s="1" t="str" cm="1">
        <f t="array" ref="S471">_xlfn.IFS(I471 &gt;= 40, "High", I471&gt;=20, "Medium", I471&lt;20, "Low")</f>
        <v>High</v>
      </c>
      <c r="T471" s="1" t="str" cm="1">
        <f t="array" ref="T471">_xlfn.IFS(O471&lt;18200, "Low", O471&lt;=50000, "Medium", O471&gt;50000, "High")</f>
        <v>Medium</v>
      </c>
    </row>
    <row r="472" spans="1:20" x14ac:dyDescent="0.25">
      <c r="A472" s="2">
        <v>2013</v>
      </c>
      <c r="B472" s="1" t="s">
        <v>202</v>
      </c>
      <c r="C472" s="1" t="s">
        <v>614</v>
      </c>
      <c r="D472" s="1" t="s">
        <v>54</v>
      </c>
      <c r="E472" s="1" t="s">
        <v>32</v>
      </c>
      <c r="F472" s="1" t="s">
        <v>20</v>
      </c>
      <c r="G472" s="1" t="s">
        <v>815</v>
      </c>
      <c r="H472" s="1" t="s">
        <v>22</v>
      </c>
      <c r="I472" s="1">
        <v>35</v>
      </c>
      <c r="J472" s="1">
        <v>21189</v>
      </c>
      <c r="K472" s="1" t="s">
        <v>91</v>
      </c>
      <c r="L472" s="1" t="s">
        <v>24</v>
      </c>
      <c r="M472" s="1" t="s">
        <v>205</v>
      </c>
      <c r="N472" s="1">
        <v>34200</v>
      </c>
      <c r="O472" s="12">
        <v>31900</v>
      </c>
      <c r="P472" s="3" t="s">
        <v>816</v>
      </c>
      <c r="Q472" s="1" cm="1">
        <f t="array" ref="Q472">VALUE(INDEX(_xlfn.TEXTSPLIT(P472, " "), 4))</f>
        <v>2015</v>
      </c>
      <c r="R472" s="1" t="str">
        <f t="shared" si="7"/>
        <v>Lexus GS 350 Base</v>
      </c>
      <c r="S472" s="1" t="str" cm="1">
        <f t="array" ref="S472">_xlfn.IFS(I472 &gt;= 40, "High", I472&gt;=20, "Medium", I472&lt;20, "Low")</f>
        <v>Medium</v>
      </c>
      <c r="T472" s="1" t="str" cm="1">
        <f t="array" ref="T472">_xlfn.IFS(O472&lt;18200, "Low", O472&lt;=50000, "Medium", O472&gt;50000, "High")</f>
        <v>Medium</v>
      </c>
    </row>
    <row r="473" spans="1:20" x14ac:dyDescent="0.25">
      <c r="A473" s="2">
        <v>2013</v>
      </c>
      <c r="B473" s="1" t="s">
        <v>817</v>
      </c>
      <c r="C473" s="1" t="s">
        <v>818</v>
      </c>
      <c r="D473" s="1" t="s">
        <v>54</v>
      </c>
      <c r="E473" s="1" t="s">
        <v>32</v>
      </c>
      <c r="F473" s="1" t="s">
        <v>20</v>
      </c>
      <c r="G473" s="1" t="s">
        <v>819</v>
      </c>
      <c r="H473" s="1" t="s">
        <v>22</v>
      </c>
      <c r="I473" s="1">
        <v>42</v>
      </c>
      <c r="J473" s="1">
        <v>10067</v>
      </c>
      <c r="K473" s="1" t="s">
        <v>24</v>
      </c>
      <c r="L473" s="1" t="s">
        <v>82</v>
      </c>
      <c r="M473" s="1" t="s">
        <v>820</v>
      </c>
      <c r="N473" s="1">
        <v>33700</v>
      </c>
      <c r="O473" s="12">
        <v>26000</v>
      </c>
      <c r="P473" s="3" t="s">
        <v>46</v>
      </c>
      <c r="Q473" s="1" cm="1">
        <f t="array" ref="Q473">VALUE(INDEX(_xlfn.TEXTSPLIT(P473, " "), 4))</f>
        <v>2014</v>
      </c>
      <c r="R473" s="1" t="str">
        <f t="shared" si="7"/>
        <v>Jaguar XF Base</v>
      </c>
      <c r="S473" s="1" t="str" cm="1">
        <f t="array" ref="S473">_xlfn.IFS(I473 &gt;= 40, "High", I473&gt;=20, "Medium", I473&lt;20, "Low")</f>
        <v>High</v>
      </c>
      <c r="T473" s="1" t="str" cm="1">
        <f t="array" ref="T473">_xlfn.IFS(O473&lt;18200, "Low", O473&lt;=50000, "Medium", O473&gt;50000, "High")</f>
        <v>Medium</v>
      </c>
    </row>
    <row r="474" spans="1:20" x14ac:dyDescent="0.25">
      <c r="A474" s="2">
        <v>2013</v>
      </c>
      <c r="B474" s="1" t="s">
        <v>608</v>
      </c>
      <c r="C474" s="1" t="s">
        <v>620</v>
      </c>
      <c r="D474" s="1" t="s">
        <v>640</v>
      </c>
      <c r="E474" s="1" t="s">
        <v>32</v>
      </c>
      <c r="F474" s="1" t="s">
        <v>20</v>
      </c>
      <c r="G474" s="1" t="s">
        <v>821</v>
      </c>
      <c r="H474" s="1" t="s">
        <v>22</v>
      </c>
      <c r="I474" s="1">
        <v>43</v>
      </c>
      <c r="J474" s="1">
        <v>23615</v>
      </c>
      <c r="K474" s="1" t="s">
        <v>23</v>
      </c>
      <c r="L474" s="1" t="s">
        <v>24</v>
      </c>
      <c r="M474" s="1" t="s">
        <v>822</v>
      </c>
      <c r="N474" s="1">
        <v>22600</v>
      </c>
      <c r="O474" s="12">
        <v>22250</v>
      </c>
      <c r="P474" s="3" t="s">
        <v>26</v>
      </c>
      <c r="Q474" s="1" cm="1">
        <f t="array" ref="Q474">VALUE(INDEX(_xlfn.TEXTSPLIT(P474, " "), 4))</f>
        <v>2014</v>
      </c>
      <c r="R474" s="1" t="str">
        <f t="shared" si="7"/>
        <v>Mercedes-Benz C-Class C250 Sport</v>
      </c>
      <c r="S474" s="1" t="str" cm="1">
        <f t="array" ref="S474">_xlfn.IFS(I474 &gt;= 40, "High", I474&gt;=20, "Medium", I474&lt;20, "Low")</f>
        <v>High</v>
      </c>
      <c r="T474" s="1" t="str" cm="1">
        <f t="array" ref="T474">_xlfn.IFS(O474&lt;18200, "Low", O474&lt;=50000, "Medium", O474&gt;50000, "High")</f>
        <v>Medium</v>
      </c>
    </row>
    <row r="475" spans="1:20" x14ac:dyDescent="0.25">
      <c r="A475" s="2">
        <v>2013</v>
      </c>
      <c r="B475" s="1" t="s">
        <v>16</v>
      </c>
      <c r="C475" s="1" t="s">
        <v>655</v>
      </c>
      <c r="D475" s="1" t="s">
        <v>656</v>
      </c>
      <c r="E475" s="1" t="s">
        <v>130</v>
      </c>
      <c r="F475" s="1" t="s">
        <v>20</v>
      </c>
      <c r="G475" s="1" t="s">
        <v>823</v>
      </c>
      <c r="H475" s="1" t="s">
        <v>22</v>
      </c>
      <c r="I475" s="1">
        <v>3</v>
      </c>
      <c r="J475" s="1">
        <v>39476</v>
      </c>
      <c r="K475" s="1" t="s">
        <v>24</v>
      </c>
      <c r="L475" s="1" t="s">
        <v>24</v>
      </c>
      <c r="M475" s="1" t="s">
        <v>824</v>
      </c>
      <c r="N475" s="1">
        <v>11400</v>
      </c>
      <c r="O475" s="12">
        <v>6000</v>
      </c>
      <c r="P475" s="3" t="s">
        <v>62</v>
      </c>
      <c r="Q475" s="1" cm="1">
        <f t="array" ref="Q475">VALUE(INDEX(_xlfn.TEXTSPLIT(P475, " "), 4))</f>
        <v>2014</v>
      </c>
      <c r="R475" s="1" t="str">
        <f t="shared" si="7"/>
        <v>Kia Soul +</v>
      </c>
      <c r="S475" s="1" t="str" cm="1">
        <f t="array" ref="S475">_xlfn.IFS(I475 &gt;= 40, "High", I475&gt;=20, "Medium", I475&lt;20, "Low")</f>
        <v>Low</v>
      </c>
      <c r="T475" s="1" t="str" cm="1">
        <f t="array" ref="T475">_xlfn.IFS(O475&lt;18200, "Low", O475&lt;=50000, "Medium", O475&gt;50000, "High")</f>
        <v>Low</v>
      </c>
    </row>
    <row r="476" spans="1:20" x14ac:dyDescent="0.25">
      <c r="A476" s="2">
        <v>2013</v>
      </c>
      <c r="B476" s="1" t="s">
        <v>16</v>
      </c>
      <c r="C476" s="1" t="s">
        <v>80</v>
      </c>
      <c r="D476" s="1" t="s">
        <v>18</v>
      </c>
      <c r="E476" s="1" t="s">
        <v>32</v>
      </c>
      <c r="F476" s="1" t="s">
        <v>20</v>
      </c>
      <c r="G476" s="1" t="s">
        <v>825</v>
      </c>
      <c r="H476" s="1" t="s">
        <v>22</v>
      </c>
      <c r="I476" s="1">
        <v>42</v>
      </c>
      <c r="J476" s="1">
        <v>13929</v>
      </c>
      <c r="K476" s="1" t="s">
        <v>23</v>
      </c>
      <c r="L476" s="1" t="s">
        <v>28</v>
      </c>
      <c r="M476" s="1" t="s">
        <v>83</v>
      </c>
      <c r="N476" s="1">
        <v>14150</v>
      </c>
      <c r="O476" s="12">
        <v>14300</v>
      </c>
      <c r="P476" s="3" t="s">
        <v>84</v>
      </c>
      <c r="Q476" s="1" cm="1">
        <f t="array" ref="Q476">VALUE(INDEX(_xlfn.TEXTSPLIT(P476, " "), 4))</f>
        <v>2014</v>
      </c>
      <c r="R476" s="1" t="str">
        <f t="shared" si="7"/>
        <v>Kia Optima LX</v>
      </c>
      <c r="S476" s="1" t="str" cm="1">
        <f t="array" ref="S476">_xlfn.IFS(I476 &gt;= 40, "High", I476&gt;=20, "Medium", I476&lt;20, "Low")</f>
        <v>High</v>
      </c>
      <c r="T476" s="1" t="str" cm="1">
        <f t="array" ref="T476">_xlfn.IFS(O476&lt;18200, "Low", O476&lt;=50000, "Medium", O476&gt;50000, "High")</f>
        <v>Low</v>
      </c>
    </row>
    <row r="477" spans="1:20" x14ac:dyDescent="0.25">
      <c r="A477" s="2">
        <v>2013</v>
      </c>
      <c r="B477" s="1" t="s">
        <v>47</v>
      </c>
      <c r="C477" s="1" t="s">
        <v>48</v>
      </c>
      <c r="D477" s="1">
        <v>2.5</v>
      </c>
      <c r="E477" s="1" t="s">
        <v>32</v>
      </c>
      <c r="F477" s="1" t="s">
        <v>20</v>
      </c>
      <c r="G477" s="1" t="s">
        <v>826</v>
      </c>
      <c r="H477" s="1" t="s">
        <v>22</v>
      </c>
      <c r="I477" s="1">
        <v>4</v>
      </c>
      <c r="J477" s="1">
        <v>39159</v>
      </c>
      <c r="K477" s="1" t="s">
        <v>91</v>
      </c>
      <c r="L477" s="1" t="s">
        <v>24</v>
      </c>
      <c r="M477" s="1" t="s">
        <v>142</v>
      </c>
      <c r="N477" s="1">
        <v>12800</v>
      </c>
      <c r="O477" s="12">
        <v>13500</v>
      </c>
      <c r="P477" s="3" t="s">
        <v>26</v>
      </c>
      <c r="Q477" s="1" cm="1">
        <f t="array" ref="Q477">VALUE(INDEX(_xlfn.TEXTSPLIT(P477, " "), 4))</f>
        <v>2014</v>
      </c>
      <c r="R477" s="1" t="str">
        <f t="shared" si="7"/>
        <v>Nissan Altima 2.5</v>
      </c>
      <c r="S477" s="1" t="str" cm="1">
        <f t="array" ref="S477">_xlfn.IFS(I477 &gt;= 40, "High", I477&gt;=20, "Medium", I477&lt;20, "Low")</f>
        <v>Low</v>
      </c>
      <c r="T477" s="1" t="str" cm="1">
        <f t="array" ref="T477">_xlfn.IFS(O477&lt;18200, "Low", O477&lt;=50000, "Medium", O477&gt;50000, "High")</f>
        <v>Low</v>
      </c>
    </row>
    <row r="478" spans="1:20" x14ac:dyDescent="0.25">
      <c r="A478" s="2">
        <v>2013</v>
      </c>
      <c r="B478" s="1" t="s">
        <v>47</v>
      </c>
      <c r="C478" s="1" t="s">
        <v>48</v>
      </c>
      <c r="D478" s="1">
        <v>2.5</v>
      </c>
      <c r="E478" s="1" t="s">
        <v>32</v>
      </c>
      <c r="F478" s="1" t="s">
        <v>20</v>
      </c>
      <c r="G478" s="1" t="s">
        <v>827</v>
      </c>
      <c r="H478" s="1" t="s">
        <v>22</v>
      </c>
      <c r="I478" s="1">
        <v>4</v>
      </c>
      <c r="J478" s="1">
        <v>37182</v>
      </c>
      <c r="K478" s="1" t="s">
        <v>34</v>
      </c>
      <c r="L478" s="1" t="s">
        <v>24</v>
      </c>
      <c r="M478" s="1" t="s">
        <v>182</v>
      </c>
      <c r="N478" s="1">
        <v>12900</v>
      </c>
      <c r="O478" s="12">
        <v>13300</v>
      </c>
      <c r="P478" s="3" t="s">
        <v>26</v>
      </c>
      <c r="Q478" s="1" cm="1">
        <f t="array" ref="Q478">VALUE(INDEX(_xlfn.TEXTSPLIT(P478, " "), 4))</f>
        <v>2014</v>
      </c>
      <c r="R478" s="1" t="str">
        <f t="shared" si="7"/>
        <v>Nissan Altima 2.5</v>
      </c>
      <c r="S478" s="1" t="str" cm="1">
        <f t="array" ref="S478">_xlfn.IFS(I478 &gt;= 40, "High", I478&gt;=20, "Medium", I478&lt;20, "Low")</f>
        <v>Low</v>
      </c>
      <c r="T478" s="1" t="str" cm="1">
        <f t="array" ref="T478">_xlfn.IFS(O478&lt;18200, "Low", O478&lt;=50000, "Medium", O478&gt;50000, "High")</f>
        <v>Low</v>
      </c>
    </row>
    <row r="479" spans="1:20" x14ac:dyDescent="0.25">
      <c r="A479" s="2">
        <v>2013</v>
      </c>
      <c r="B479" s="1" t="s">
        <v>608</v>
      </c>
      <c r="C479" s="1" t="s">
        <v>620</v>
      </c>
      <c r="D479" s="1" t="s">
        <v>621</v>
      </c>
      <c r="E479" s="1" t="s">
        <v>107</v>
      </c>
      <c r="F479" s="1" t="s">
        <v>20</v>
      </c>
      <c r="G479" s="1" t="s">
        <v>828</v>
      </c>
      <c r="H479" s="1" t="s">
        <v>22</v>
      </c>
      <c r="I479" s="1">
        <v>41</v>
      </c>
      <c r="J479" s="1">
        <v>19780</v>
      </c>
      <c r="K479" s="1" t="s">
        <v>24</v>
      </c>
      <c r="L479" s="1" t="s">
        <v>24</v>
      </c>
      <c r="M479" s="1" t="s">
        <v>612</v>
      </c>
      <c r="N479" s="1">
        <v>25300</v>
      </c>
      <c r="O479" s="12">
        <v>23750</v>
      </c>
      <c r="P479" s="3" t="s">
        <v>36</v>
      </c>
      <c r="Q479" s="1" cm="1">
        <f t="array" ref="Q479">VALUE(INDEX(_xlfn.TEXTSPLIT(P479, " "), 4))</f>
        <v>2015</v>
      </c>
      <c r="R479" s="1" t="str">
        <f t="shared" si="7"/>
        <v>Mercedes-Benz C-Class C250</v>
      </c>
      <c r="S479" s="1" t="str" cm="1">
        <f t="array" ref="S479">_xlfn.IFS(I479 &gt;= 40, "High", I479&gt;=20, "Medium", I479&lt;20, "Low")</f>
        <v>High</v>
      </c>
      <c r="T479" s="1" t="str" cm="1">
        <f t="array" ref="T479">_xlfn.IFS(O479&lt;18200, "Low", O479&lt;=50000, "Medium", O479&gt;50000, "High")</f>
        <v>Medium</v>
      </c>
    </row>
    <row r="480" spans="1:20" x14ac:dyDescent="0.25">
      <c r="A480" s="2">
        <v>2013</v>
      </c>
      <c r="B480" s="1" t="s">
        <v>16</v>
      </c>
      <c r="C480" s="1" t="s">
        <v>80</v>
      </c>
      <c r="D480" s="1" t="s">
        <v>605</v>
      </c>
      <c r="E480" s="1" t="s">
        <v>32</v>
      </c>
      <c r="F480" s="1" t="s">
        <v>20</v>
      </c>
      <c r="G480" s="1" t="s">
        <v>829</v>
      </c>
      <c r="H480" s="1" t="s">
        <v>22</v>
      </c>
      <c r="I480" s="1">
        <v>43</v>
      </c>
      <c r="J480" s="1">
        <v>21642</v>
      </c>
      <c r="K480" s="1" t="s">
        <v>23</v>
      </c>
      <c r="L480" s="1" t="s">
        <v>24</v>
      </c>
      <c r="M480" s="1" t="s">
        <v>25</v>
      </c>
      <c r="N480" s="1">
        <v>15900</v>
      </c>
      <c r="O480" s="12">
        <v>16600</v>
      </c>
      <c r="P480" s="3" t="s">
        <v>26</v>
      </c>
      <c r="Q480" s="1" cm="1">
        <f t="array" ref="Q480">VALUE(INDEX(_xlfn.TEXTSPLIT(P480, " "), 4))</f>
        <v>2014</v>
      </c>
      <c r="R480" s="1" t="str">
        <f t="shared" si="7"/>
        <v>Kia Optima EX Hybrid</v>
      </c>
      <c r="S480" s="1" t="str" cm="1">
        <f t="array" ref="S480">_xlfn.IFS(I480 &gt;= 40, "High", I480&gt;=20, "Medium", I480&lt;20, "Low")</f>
        <v>High</v>
      </c>
      <c r="T480" s="1" t="str" cm="1">
        <f t="array" ref="T480">_xlfn.IFS(O480&lt;18200, "Low", O480&lt;=50000, "Medium", O480&gt;50000, "High")</f>
        <v>Low</v>
      </c>
    </row>
    <row r="481" spans="1:20" x14ac:dyDescent="0.25">
      <c r="A481" s="2">
        <v>2013</v>
      </c>
      <c r="B481" s="1" t="s">
        <v>608</v>
      </c>
      <c r="C481" s="1" t="s">
        <v>830</v>
      </c>
      <c r="D481" s="1" t="s">
        <v>831</v>
      </c>
      <c r="E481" s="1" t="s">
        <v>19</v>
      </c>
      <c r="F481" s="1" t="s">
        <v>20</v>
      </c>
      <c r="G481" s="1" t="s">
        <v>832</v>
      </c>
      <c r="H481" s="1" t="s">
        <v>22</v>
      </c>
      <c r="I481" s="1">
        <v>42</v>
      </c>
      <c r="J481" s="1">
        <v>26853</v>
      </c>
      <c r="K481" s="1" t="s">
        <v>34</v>
      </c>
      <c r="L481" s="1" t="s">
        <v>24</v>
      </c>
      <c r="M481" s="1" t="s">
        <v>676</v>
      </c>
      <c r="N481" s="1">
        <v>46200</v>
      </c>
      <c r="O481" s="12">
        <v>48000</v>
      </c>
      <c r="P481" s="3" t="s">
        <v>68</v>
      </c>
      <c r="Q481" s="1" cm="1">
        <f t="array" ref="Q481">VALUE(INDEX(_xlfn.TEXTSPLIT(P481, " "), 4))</f>
        <v>2014</v>
      </c>
      <c r="R481" s="1" t="str">
        <f t="shared" si="7"/>
        <v>Mercedes-Benz GL-Class GL450 4MATIC</v>
      </c>
      <c r="S481" s="1" t="str" cm="1">
        <f t="array" ref="S481">_xlfn.IFS(I481 &gt;= 40, "High", I481&gt;=20, "Medium", I481&lt;20, "Low")</f>
        <v>High</v>
      </c>
      <c r="T481" s="1" t="str" cm="1">
        <f t="array" ref="T481">_xlfn.IFS(O481&lt;18200, "Low", O481&lt;=50000, "Medium", O481&gt;50000, "High")</f>
        <v>Medium</v>
      </c>
    </row>
    <row r="482" spans="1:20" x14ac:dyDescent="0.25">
      <c r="A482" s="2">
        <v>2013</v>
      </c>
      <c r="B482" s="1" t="s">
        <v>632</v>
      </c>
      <c r="C482" s="1" t="s">
        <v>737</v>
      </c>
      <c r="D482" s="1" t="s">
        <v>368</v>
      </c>
      <c r="E482" s="1" t="s">
        <v>738</v>
      </c>
      <c r="F482" s="1" t="s">
        <v>20</v>
      </c>
      <c r="G482" s="1" t="s">
        <v>833</v>
      </c>
      <c r="H482" s="1" t="s">
        <v>22</v>
      </c>
      <c r="I482" s="1">
        <v>35</v>
      </c>
      <c r="J482" s="1">
        <v>36898</v>
      </c>
      <c r="K482" s="1" t="s">
        <v>34</v>
      </c>
      <c r="L482" s="1" t="s">
        <v>82</v>
      </c>
      <c r="M482" s="1" t="s">
        <v>182</v>
      </c>
      <c r="N482" s="1">
        <v>12400</v>
      </c>
      <c r="O482" s="12">
        <v>13100</v>
      </c>
      <c r="P482" s="3" t="s">
        <v>834</v>
      </c>
      <c r="Q482" s="1" cm="1">
        <f t="array" ref="Q482">VALUE(INDEX(_xlfn.TEXTSPLIT(P482, " "), 4))</f>
        <v>2014</v>
      </c>
      <c r="R482" s="1" t="str">
        <f t="shared" si="7"/>
        <v>Mazda Mazda5 Sport</v>
      </c>
      <c r="S482" s="1" t="str" cm="1">
        <f t="array" ref="S482">_xlfn.IFS(I482 &gt;= 40, "High", I482&gt;=20, "Medium", I482&lt;20, "Low")</f>
        <v>Medium</v>
      </c>
      <c r="T482" s="1" t="str" cm="1">
        <f t="array" ref="T482">_xlfn.IFS(O482&lt;18200, "Low", O482&lt;=50000, "Medium", O482&gt;50000, "High")</f>
        <v>Low</v>
      </c>
    </row>
    <row r="483" spans="1:20" x14ac:dyDescent="0.25">
      <c r="A483" s="2">
        <v>2013</v>
      </c>
      <c r="B483" s="1" t="s">
        <v>16</v>
      </c>
      <c r="C483" s="1" t="s">
        <v>786</v>
      </c>
      <c r="D483" s="1" t="s">
        <v>18</v>
      </c>
      <c r="E483" s="1" t="s">
        <v>19</v>
      </c>
      <c r="F483" s="1" t="s">
        <v>20</v>
      </c>
      <c r="G483" s="1" t="s">
        <v>835</v>
      </c>
      <c r="H483" s="1" t="s">
        <v>22</v>
      </c>
      <c r="I483" s="1">
        <v>46</v>
      </c>
      <c r="J483" s="1">
        <v>32685</v>
      </c>
      <c r="K483" s="1" t="s">
        <v>94</v>
      </c>
      <c r="L483" s="1" t="s">
        <v>24</v>
      </c>
      <c r="M483" s="1" t="s">
        <v>25</v>
      </c>
      <c r="N483" s="1">
        <v>14000</v>
      </c>
      <c r="O483" s="12">
        <v>15250</v>
      </c>
      <c r="P483" s="3" t="s">
        <v>26</v>
      </c>
      <c r="Q483" s="1" cm="1">
        <f t="array" ref="Q483">VALUE(INDEX(_xlfn.TEXTSPLIT(P483, " "), 4))</f>
        <v>2014</v>
      </c>
      <c r="R483" s="1" t="str">
        <f t="shared" si="7"/>
        <v>Kia Sportage LX</v>
      </c>
      <c r="S483" s="1" t="str" cm="1">
        <f t="array" ref="S483">_xlfn.IFS(I483 &gt;= 40, "High", I483&gt;=20, "Medium", I483&lt;20, "Low")</f>
        <v>High</v>
      </c>
      <c r="T483" s="1" t="str" cm="1">
        <f t="array" ref="T483">_xlfn.IFS(O483&lt;18200, "Low", O483&lt;=50000, "Medium", O483&gt;50000, "High")</f>
        <v>Low</v>
      </c>
    </row>
    <row r="484" spans="1:20" x14ac:dyDescent="0.25">
      <c r="A484" s="2">
        <v>2013</v>
      </c>
      <c r="B484" s="1" t="s">
        <v>608</v>
      </c>
      <c r="C484" s="1" t="s">
        <v>830</v>
      </c>
      <c r="D484" s="1" t="s">
        <v>831</v>
      </c>
      <c r="E484" s="1" t="s">
        <v>19</v>
      </c>
      <c r="F484" s="1" t="s">
        <v>20</v>
      </c>
      <c r="G484" s="1" t="s">
        <v>836</v>
      </c>
      <c r="H484" s="1" t="s">
        <v>22</v>
      </c>
      <c r="I484" s="1">
        <v>43</v>
      </c>
      <c r="J484" s="1">
        <v>16584</v>
      </c>
      <c r="K484" s="1" t="s">
        <v>91</v>
      </c>
      <c r="L484" s="1" t="s">
        <v>24</v>
      </c>
      <c r="M484" s="1" t="s">
        <v>676</v>
      </c>
      <c r="N484" s="1">
        <v>47300</v>
      </c>
      <c r="O484" s="12">
        <v>46750</v>
      </c>
      <c r="P484" s="3" t="s">
        <v>68</v>
      </c>
      <c r="Q484" s="1" cm="1">
        <f t="array" ref="Q484">VALUE(INDEX(_xlfn.TEXTSPLIT(P484, " "), 4))</f>
        <v>2014</v>
      </c>
      <c r="R484" s="1" t="str">
        <f t="shared" si="7"/>
        <v>Mercedes-Benz GL-Class GL450 4MATIC</v>
      </c>
      <c r="S484" s="1" t="str" cm="1">
        <f t="array" ref="S484">_xlfn.IFS(I484 &gt;= 40, "High", I484&gt;=20, "Medium", I484&lt;20, "Low")</f>
        <v>High</v>
      </c>
      <c r="T484" s="1" t="str" cm="1">
        <f t="array" ref="T484">_xlfn.IFS(O484&lt;18200, "Low", O484&lt;=50000, "Medium", O484&gt;50000, "High")</f>
        <v>Medium</v>
      </c>
    </row>
    <row r="485" spans="1:20" x14ac:dyDescent="0.25">
      <c r="A485" s="2">
        <v>2013</v>
      </c>
      <c r="B485" s="1" t="s">
        <v>817</v>
      </c>
      <c r="C485" s="1" t="s">
        <v>818</v>
      </c>
      <c r="D485" s="1" t="s">
        <v>54</v>
      </c>
      <c r="E485" s="1" t="s">
        <v>32</v>
      </c>
      <c r="F485" s="1" t="s">
        <v>20</v>
      </c>
      <c r="G485" s="1" t="s">
        <v>837</v>
      </c>
      <c r="H485" s="1" t="s">
        <v>22</v>
      </c>
      <c r="I485" s="1">
        <v>5</v>
      </c>
      <c r="J485" s="1">
        <v>6891</v>
      </c>
      <c r="K485" s="1" t="s">
        <v>94</v>
      </c>
      <c r="L485" s="1" t="s">
        <v>34</v>
      </c>
      <c r="M485" s="1" t="s">
        <v>820</v>
      </c>
      <c r="N485" s="1">
        <v>34100</v>
      </c>
      <c r="O485" s="12">
        <v>26000</v>
      </c>
      <c r="P485" s="3" t="s">
        <v>46</v>
      </c>
      <c r="Q485" s="1" cm="1">
        <f t="array" ref="Q485">VALUE(INDEX(_xlfn.TEXTSPLIT(P485, " "), 4))</f>
        <v>2014</v>
      </c>
      <c r="R485" s="1" t="str">
        <f t="shared" si="7"/>
        <v>Jaguar XF Base</v>
      </c>
      <c r="S485" s="1" t="str" cm="1">
        <f t="array" ref="S485">_xlfn.IFS(I485 &gt;= 40, "High", I485&gt;=20, "Medium", I485&lt;20, "Low")</f>
        <v>Low</v>
      </c>
      <c r="T485" s="1" t="str" cm="1">
        <f t="array" ref="T485">_xlfn.IFS(O485&lt;18200, "Low", O485&lt;=50000, "Medium", O485&gt;50000, "High")</f>
        <v>Medium</v>
      </c>
    </row>
    <row r="486" spans="1:20" x14ac:dyDescent="0.25">
      <c r="A486" s="2">
        <v>2013</v>
      </c>
      <c r="B486" s="1" t="s">
        <v>16</v>
      </c>
      <c r="C486" s="1" t="s">
        <v>637</v>
      </c>
      <c r="D486" s="1" t="s">
        <v>735</v>
      </c>
      <c r="E486" s="1" t="s">
        <v>227</v>
      </c>
      <c r="F486" s="1" t="s">
        <v>20</v>
      </c>
      <c r="G486" s="1" t="s">
        <v>838</v>
      </c>
      <c r="H486" s="1" t="s">
        <v>22</v>
      </c>
      <c r="I486" s="1">
        <v>41</v>
      </c>
      <c r="J486" s="1">
        <v>11342</v>
      </c>
      <c r="K486" s="1" t="s">
        <v>24</v>
      </c>
      <c r="L486" s="1" t="s">
        <v>24</v>
      </c>
      <c r="M486" s="1" t="s">
        <v>555</v>
      </c>
      <c r="N486" s="1">
        <v>10500</v>
      </c>
      <c r="O486" s="12">
        <v>12000</v>
      </c>
      <c r="P486" s="3" t="s">
        <v>68</v>
      </c>
      <c r="Q486" s="1" cm="1">
        <f t="array" ref="Q486">VALUE(INDEX(_xlfn.TEXTSPLIT(P486, " "), 4))</f>
        <v>2014</v>
      </c>
      <c r="R486" s="1" t="str">
        <f t="shared" si="7"/>
        <v>Kia Rio EX</v>
      </c>
      <c r="S486" s="1" t="str" cm="1">
        <f t="array" ref="S486">_xlfn.IFS(I486 &gt;= 40, "High", I486&gt;=20, "Medium", I486&lt;20, "Low")</f>
        <v>High</v>
      </c>
      <c r="T486" s="1" t="str" cm="1">
        <f t="array" ref="T486">_xlfn.IFS(O486&lt;18200, "Low", O486&lt;=50000, "Medium", O486&gt;50000, "High")</f>
        <v>Low</v>
      </c>
    </row>
    <row r="487" spans="1:20" x14ac:dyDescent="0.25">
      <c r="A487" s="2">
        <v>2013</v>
      </c>
      <c r="B487" s="1" t="s">
        <v>608</v>
      </c>
      <c r="C487" s="1" t="s">
        <v>839</v>
      </c>
      <c r="D487" s="1" t="s">
        <v>840</v>
      </c>
      <c r="E487" s="1" t="s">
        <v>19</v>
      </c>
      <c r="F487" s="1" t="s">
        <v>20</v>
      </c>
      <c r="G487" s="1" t="s">
        <v>841</v>
      </c>
      <c r="H487" s="1" t="s">
        <v>22</v>
      </c>
      <c r="I487" s="1">
        <v>5</v>
      </c>
      <c r="J487" s="1">
        <v>6536</v>
      </c>
      <c r="K487" s="1" t="s">
        <v>91</v>
      </c>
      <c r="L487" s="1" t="s">
        <v>24</v>
      </c>
      <c r="M487" s="1" t="s">
        <v>842</v>
      </c>
      <c r="N487" s="1">
        <v>40400</v>
      </c>
      <c r="O487" s="12">
        <v>42750</v>
      </c>
      <c r="P487" s="3" t="s">
        <v>46</v>
      </c>
      <c r="Q487" s="1" cm="1">
        <f t="array" ref="Q487">VALUE(INDEX(_xlfn.TEXTSPLIT(P487, " "), 4))</f>
        <v>2014</v>
      </c>
      <c r="R487" s="1" t="str">
        <f t="shared" si="7"/>
        <v>Mercedes-Benz M-Class ML350</v>
      </c>
      <c r="S487" s="1" t="str" cm="1">
        <f t="array" ref="S487">_xlfn.IFS(I487 &gt;= 40, "High", I487&gt;=20, "Medium", I487&lt;20, "Low")</f>
        <v>Low</v>
      </c>
      <c r="T487" s="1" t="str" cm="1">
        <f t="array" ref="T487">_xlfn.IFS(O487&lt;18200, "Low", O487&lt;=50000, "Medium", O487&gt;50000, "High")</f>
        <v>Medium</v>
      </c>
    </row>
    <row r="488" spans="1:20" x14ac:dyDescent="0.25">
      <c r="A488" s="2">
        <v>2013</v>
      </c>
      <c r="B488" s="1" t="s">
        <v>681</v>
      </c>
      <c r="C488" s="1" t="s">
        <v>843</v>
      </c>
      <c r="D488" s="1" t="s">
        <v>54</v>
      </c>
      <c r="E488" s="1" t="s">
        <v>130</v>
      </c>
      <c r="F488" s="1" t="s">
        <v>20</v>
      </c>
      <c r="G488" s="1" t="s">
        <v>844</v>
      </c>
      <c r="H488" s="1" t="s">
        <v>22</v>
      </c>
      <c r="I488" s="1">
        <v>39</v>
      </c>
      <c r="J488" s="1">
        <v>41357</v>
      </c>
      <c r="K488" s="1" t="s">
        <v>91</v>
      </c>
      <c r="L488" s="1" t="s">
        <v>24</v>
      </c>
      <c r="M488" s="1" t="s">
        <v>95</v>
      </c>
      <c r="N488" s="1">
        <v>16300</v>
      </c>
      <c r="O488" s="12">
        <v>16500</v>
      </c>
      <c r="P488" s="3" t="s">
        <v>459</v>
      </c>
      <c r="Q488" s="1" cm="1">
        <f t="array" ref="Q488">VALUE(INDEX(_xlfn.TEXTSPLIT(P488, " "), 4))</f>
        <v>2014</v>
      </c>
      <c r="R488" s="1" t="str">
        <f t="shared" si="7"/>
        <v>MINI Cooper Countryman Base</v>
      </c>
      <c r="S488" s="1" t="str" cm="1">
        <f t="array" ref="S488">_xlfn.IFS(I488 &gt;= 40, "High", I488&gt;=20, "Medium", I488&lt;20, "Low")</f>
        <v>Medium</v>
      </c>
      <c r="T488" s="1" t="str" cm="1">
        <f t="array" ref="T488">_xlfn.IFS(O488&lt;18200, "Low", O488&lt;=50000, "Medium", O488&gt;50000, "High")</f>
        <v>Low</v>
      </c>
    </row>
    <row r="489" spans="1:20" x14ac:dyDescent="0.25">
      <c r="A489" s="2">
        <v>2013</v>
      </c>
      <c r="B489" s="1" t="s">
        <v>318</v>
      </c>
      <c r="C489" s="1" t="s">
        <v>323</v>
      </c>
      <c r="D489" s="1" t="s">
        <v>718</v>
      </c>
      <c r="E489" s="1" t="s">
        <v>323</v>
      </c>
      <c r="F489" s="1" t="s">
        <v>20</v>
      </c>
      <c r="G489" s="1" t="s">
        <v>845</v>
      </c>
      <c r="H489" s="1" t="s">
        <v>22</v>
      </c>
      <c r="I489" s="1">
        <v>37</v>
      </c>
      <c r="J489" s="1">
        <v>44723</v>
      </c>
      <c r="K489" s="1" t="s">
        <v>24</v>
      </c>
      <c r="L489" s="1" t="s">
        <v>101</v>
      </c>
      <c r="M489" s="1" t="s">
        <v>56</v>
      </c>
      <c r="N489" s="1">
        <v>20900</v>
      </c>
      <c r="O489" s="12">
        <v>20401</v>
      </c>
      <c r="P489" s="3" t="s">
        <v>46</v>
      </c>
      <c r="Q489" s="1" cm="1">
        <f t="array" ref="Q489">VALUE(INDEX(_xlfn.TEXTSPLIT(P489, " "), 4))</f>
        <v>2014</v>
      </c>
      <c r="R489" s="1" t="str">
        <f t="shared" si="7"/>
        <v>Infiniti G Sedan G37x</v>
      </c>
      <c r="S489" s="1" t="str" cm="1">
        <f t="array" ref="S489">_xlfn.IFS(I489 &gt;= 40, "High", I489&gt;=20, "Medium", I489&lt;20, "Low")</f>
        <v>Medium</v>
      </c>
      <c r="T489" s="1" t="str" cm="1">
        <f t="array" ref="T489">_xlfn.IFS(O489&lt;18200, "Low", O489&lt;=50000, "Medium", O489&gt;50000, "High")</f>
        <v>Medium</v>
      </c>
    </row>
    <row r="490" spans="1:20" x14ac:dyDescent="0.25">
      <c r="A490" s="2">
        <v>2013</v>
      </c>
      <c r="B490" s="1" t="s">
        <v>16</v>
      </c>
      <c r="C490" s="1" t="s">
        <v>17</v>
      </c>
      <c r="D490" s="1" t="s">
        <v>735</v>
      </c>
      <c r="E490" s="1" t="s">
        <v>19</v>
      </c>
      <c r="F490" s="1" t="s">
        <v>20</v>
      </c>
      <c r="G490" s="1" t="s">
        <v>846</v>
      </c>
      <c r="H490" s="1" t="s">
        <v>22</v>
      </c>
      <c r="I490" s="1">
        <v>33</v>
      </c>
      <c r="J490" s="1">
        <v>71662</v>
      </c>
      <c r="K490" s="1" t="s">
        <v>24</v>
      </c>
      <c r="L490" s="1" t="s">
        <v>28</v>
      </c>
      <c r="M490" s="1" t="s">
        <v>847</v>
      </c>
      <c r="N490" s="1">
        <v>14050</v>
      </c>
      <c r="O490" s="12">
        <v>14000</v>
      </c>
      <c r="P490" s="3" t="s">
        <v>26</v>
      </c>
      <c r="Q490" s="1" cm="1">
        <f t="array" ref="Q490">VALUE(INDEX(_xlfn.TEXTSPLIT(P490, " "), 4))</f>
        <v>2014</v>
      </c>
      <c r="R490" s="1" t="str">
        <f t="shared" si="7"/>
        <v>Kia Sorento EX</v>
      </c>
      <c r="S490" s="1" t="str" cm="1">
        <f t="array" ref="S490">_xlfn.IFS(I490 &gt;= 40, "High", I490&gt;=20, "Medium", I490&lt;20, "Low")</f>
        <v>Medium</v>
      </c>
      <c r="T490" s="1" t="str" cm="1">
        <f t="array" ref="T490">_xlfn.IFS(O490&lt;18200, "Low", O490&lt;=50000, "Medium", O490&gt;50000, "High")</f>
        <v>Low</v>
      </c>
    </row>
    <row r="491" spans="1:20" x14ac:dyDescent="0.25">
      <c r="A491" s="2">
        <v>2013</v>
      </c>
      <c r="B491" s="1" t="s">
        <v>608</v>
      </c>
      <c r="C491" s="1" t="s">
        <v>609</v>
      </c>
      <c r="D491" s="1" t="s">
        <v>610</v>
      </c>
      <c r="E491" s="1" t="s">
        <v>32</v>
      </c>
      <c r="F491" s="1" t="s">
        <v>20</v>
      </c>
      <c r="G491" s="1" t="s">
        <v>848</v>
      </c>
      <c r="H491" s="1" t="s">
        <v>22</v>
      </c>
      <c r="I491" s="1">
        <v>35</v>
      </c>
      <c r="J491" s="1">
        <v>38407</v>
      </c>
      <c r="K491" s="1" t="s">
        <v>24</v>
      </c>
      <c r="L491" s="1" t="s">
        <v>24</v>
      </c>
      <c r="M491" s="1" t="s">
        <v>849</v>
      </c>
      <c r="N491" s="1">
        <v>53300</v>
      </c>
      <c r="O491" s="12">
        <v>54000</v>
      </c>
      <c r="P491" s="3" t="s">
        <v>46</v>
      </c>
      <c r="Q491" s="1" cm="1">
        <f t="array" ref="Q491">VALUE(INDEX(_xlfn.TEXTSPLIT(P491, " "), 4))</f>
        <v>2014</v>
      </c>
      <c r="R491" s="1" t="str">
        <f t="shared" si="7"/>
        <v>Mercedes-Benz S-Class S550</v>
      </c>
      <c r="S491" s="1" t="str" cm="1">
        <f t="array" ref="S491">_xlfn.IFS(I491 &gt;= 40, "High", I491&gt;=20, "Medium", I491&lt;20, "Low")</f>
        <v>Medium</v>
      </c>
      <c r="T491" s="1" t="str" cm="1">
        <f t="array" ref="T491">_xlfn.IFS(O491&lt;18200, "Low", O491&lt;=50000, "Medium", O491&gt;50000, "High")</f>
        <v>High</v>
      </c>
    </row>
    <row r="492" spans="1:20" x14ac:dyDescent="0.25">
      <c r="A492" s="2">
        <v>2013</v>
      </c>
      <c r="B492" s="1" t="s">
        <v>47</v>
      </c>
      <c r="C492" s="1" t="s">
        <v>48</v>
      </c>
      <c r="D492" s="1" t="s">
        <v>49</v>
      </c>
      <c r="E492" s="1" t="s">
        <v>107</v>
      </c>
      <c r="F492" s="1" t="s">
        <v>20</v>
      </c>
      <c r="G492" s="1" t="s">
        <v>850</v>
      </c>
      <c r="H492" s="1" t="s">
        <v>22</v>
      </c>
      <c r="I492" s="1">
        <v>34</v>
      </c>
      <c r="J492" s="1">
        <v>36975</v>
      </c>
      <c r="K492" s="1" t="s">
        <v>73</v>
      </c>
      <c r="L492" s="1" t="s">
        <v>24</v>
      </c>
      <c r="M492" s="1" t="s">
        <v>95</v>
      </c>
      <c r="N492" s="1">
        <v>13000</v>
      </c>
      <c r="O492" s="12">
        <v>13500</v>
      </c>
      <c r="P492" s="3" t="s">
        <v>57</v>
      </c>
      <c r="Q492" s="1" cm="1">
        <f t="array" ref="Q492">VALUE(INDEX(_xlfn.TEXTSPLIT(P492, " "), 4))</f>
        <v>2014</v>
      </c>
      <c r="R492" s="1" t="str">
        <f t="shared" si="7"/>
        <v>Nissan Altima 2.5 S</v>
      </c>
      <c r="S492" s="1" t="str" cm="1">
        <f t="array" ref="S492">_xlfn.IFS(I492 &gt;= 40, "High", I492&gt;=20, "Medium", I492&lt;20, "Low")</f>
        <v>Medium</v>
      </c>
      <c r="T492" s="1" t="str" cm="1">
        <f t="array" ref="T492">_xlfn.IFS(O492&lt;18200, "Low", O492&lt;=50000, "Medium", O492&gt;50000, "High")</f>
        <v>Low</v>
      </c>
    </row>
    <row r="493" spans="1:20" x14ac:dyDescent="0.25">
      <c r="A493" s="2">
        <v>2013</v>
      </c>
      <c r="B493" s="1" t="s">
        <v>16</v>
      </c>
      <c r="C493" s="1" t="s">
        <v>17</v>
      </c>
      <c r="D493" s="1" t="s">
        <v>18</v>
      </c>
      <c r="E493" s="1" t="s">
        <v>19</v>
      </c>
      <c r="F493" s="1" t="s">
        <v>20</v>
      </c>
      <c r="G493" s="1" t="s">
        <v>851</v>
      </c>
      <c r="H493" s="1" t="s">
        <v>22</v>
      </c>
      <c r="I493" s="1">
        <v>43</v>
      </c>
      <c r="J493" s="1">
        <v>28790</v>
      </c>
      <c r="K493" s="1" t="s">
        <v>94</v>
      </c>
      <c r="L493" s="1" t="s">
        <v>24</v>
      </c>
      <c r="M493" s="1" t="s">
        <v>659</v>
      </c>
      <c r="N493" s="1">
        <v>16800</v>
      </c>
      <c r="O493" s="12">
        <v>13500</v>
      </c>
      <c r="P493" s="3" t="s">
        <v>26</v>
      </c>
      <c r="Q493" s="1" cm="1">
        <f t="array" ref="Q493">VALUE(INDEX(_xlfn.TEXTSPLIT(P493, " "), 4))</f>
        <v>2014</v>
      </c>
      <c r="R493" s="1" t="str">
        <f t="shared" si="7"/>
        <v>Kia Sorento LX</v>
      </c>
      <c r="S493" s="1" t="str" cm="1">
        <f t="array" ref="S493">_xlfn.IFS(I493 &gt;= 40, "High", I493&gt;=20, "Medium", I493&lt;20, "Low")</f>
        <v>High</v>
      </c>
      <c r="T493" s="1" t="str" cm="1">
        <f t="array" ref="T493">_xlfn.IFS(O493&lt;18200, "Low", O493&lt;=50000, "Medium", O493&gt;50000, "High")</f>
        <v>Low</v>
      </c>
    </row>
    <row r="494" spans="1:20" x14ac:dyDescent="0.25">
      <c r="A494" s="2">
        <v>2013</v>
      </c>
      <c r="B494" s="1" t="s">
        <v>47</v>
      </c>
      <c r="C494" s="1" t="s">
        <v>48</v>
      </c>
      <c r="D494" s="1" t="s">
        <v>49</v>
      </c>
      <c r="E494" s="1" t="s">
        <v>107</v>
      </c>
      <c r="F494" s="1" t="s">
        <v>20</v>
      </c>
      <c r="G494" s="1" t="s">
        <v>852</v>
      </c>
      <c r="H494" s="1" t="s">
        <v>22</v>
      </c>
      <c r="I494" s="1">
        <v>35</v>
      </c>
      <c r="J494" s="1">
        <v>38530</v>
      </c>
      <c r="K494" s="1" t="s">
        <v>23</v>
      </c>
      <c r="L494" s="1" t="s">
        <v>24</v>
      </c>
      <c r="M494" s="1" t="s">
        <v>182</v>
      </c>
      <c r="N494" s="1">
        <v>13200</v>
      </c>
      <c r="O494" s="12">
        <v>13600</v>
      </c>
      <c r="P494" s="3" t="s">
        <v>853</v>
      </c>
      <c r="Q494" s="1" cm="1">
        <f t="array" ref="Q494">VALUE(INDEX(_xlfn.TEXTSPLIT(P494, " "), 4))</f>
        <v>2015</v>
      </c>
      <c r="R494" s="1" t="str">
        <f t="shared" si="7"/>
        <v>Nissan Altima 2.5 S</v>
      </c>
      <c r="S494" s="1" t="str" cm="1">
        <f t="array" ref="S494">_xlfn.IFS(I494 &gt;= 40, "High", I494&gt;=20, "Medium", I494&lt;20, "Low")</f>
        <v>Medium</v>
      </c>
      <c r="T494" s="1" t="str" cm="1">
        <f t="array" ref="T494">_xlfn.IFS(O494&lt;18200, "Low", O494&lt;=50000, "Medium", O494&gt;50000, "High")</f>
        <v>Low</v>
      </c>
    </row>
    <row r="495" spans="1:20" x14ac:dyDescent="0.25">
      <c r="A495" s="2">
        <v>2013</v>
      </c>
      <c r="B495" s="1" t="s">
        <v>608</v>
      </c>
      <c r="C495" s="1" t="s">
        <v>839</v>
      </c>
      <c r="D495" s="1" t="s">
        <v>840</v>
      </c>
      <c r="E495" s="1" t="s">
        <v>19</v>
      </c>
      <c r="F495" s="1"/>
      <c r="G495" s="1" t="s">
        <v>854</v>
      </c>
      <c r="H495" s="1" t="s">
        <v>22</v>
      </c>
      <c r="I495" s="1"/>
      <c r="J495" s="1">
        <v>32532</v>
      </c>
      <c r="K495" s="1"/>
      <c r="L495" s="1"/>
      <c r="M495" s="1" t="s">
        <v>855</v>
      </c>
      <c r="N495" s="1">
        <v>36100</v>
      </c>
      <c r="O495" s="12">
        <v>34500</v>
      </c>
      <c r="P495" s="3" t="s">
        <v>26</v>
      </c>
      <c r="Q495" s="1" cm="1">
        <f t="array" ref="Q495">VALUE(INDEX(_xlfn.TEXTSPLIT(P495, " "), 4))</f>
        <v>2014</v>
      </c>
      <c r="R495" s="1" t="str">
        <f t="shared" si="7"/>
        <v>Mercedes-Benz M-Class ML350</v>
      </c>
      <c r="S495" s="1" t="str" cm="1">
        <f t="array" ref="S495">_xlfn.IFS(I495 &gt;= 40, "High", I495&gt;=20, "Medium", I495&lt;20, "Low")</f>
        <v>Low</v>
      </c>
      <c r="T495" s="1" t="str" cm="1">
        <f t="array" ref="T495">_xlfn.IFS(O495&lt;18200, "Low", O495&lt;=50000, "Medium", O495&gt;50000, "High")</f>
        <v>Medium</v>
      </c>
    </row>
    <row r="496" spans="1:20" x14ac:dyDescent="0.25">
      <c r="A496" s="2">
        <v>2013</v>
      </c>
      <c r="B496" s="1" t="s">
        <v>730</v>
      </c>
      <c r="C496" s="1" t="s">
        <v>758</v>
      </c>
      <c r="D496" s="1" t="s">
        <v>759</v>
      </c>
      <c r="E496" s="1" t="s">
        <v>19</v>
      </c>
      <c r="F496" s="1" t="s">
        <v>20</v>
      </c>
      <c r="G496" s="1" t="s">
        <v>856</v>
      </c>
      <c r="H496" s="1" t="s">
        <v>22</v>
      </c>
      <c r="I496" s="1">
        <v>46</v>
      </c>
      <c r="J496" s="1">
        <v>9214</v>
      </c>
      <c r="K496" s="1" t="s">
        <v>23</v>
      </c>
      <c r="L496" s="1" t="s">
        <v>24</v>
      </c>
      <c r="M496" s="1" t="s">
        <v>625</v>
      </c>
      <c r="N496" s="1">
        <v>37400</v>
      </c>
      <c r="O496" s="12">
        <v>39000</v>
      </c>
      <c r="P496" s="3" t="s">
        <v>68</v>
      </c>
      <c r="Q496" s="1" cm="1">
        <f t="array" ref="Q496">VALUE(INDEX(_xlfn.TEXTSPLIT(P496, " "), 4))</f>
        <v>2014</v>
      </c>
      <c r="R496" s="1" t="str">
        <f t="shared" si="7"/>
        <v>Land Rover Range Rover Evoque Pure Plus</v>
      </c>
      <c r="S496" s="1" t="str" cm="1">
        <f t="array" ref="S496">_xlfn.IFS(I496 &gt;= 40, "High", I496&gt;=20, "Medium", I496&lt;20, "Low")</f>
        <v>High</v>
      </c>
      <c r="T496" s="1" t="str" cm="1">
        <f t="array" ref="T496">_xlfn.IFS(O496&lt;18200, "Low", O496&lt;=50000, "Medium", O496&gt;50000, "High")</f>
        <v>Medium</v>
      </c>
    </row>
    <row r="497" spans="1:20" x14ac:dyDescent="0.25">
      <c r="A497" s="2">
        <v>2013</v>
      </c>
      <c r="B497" s="1" t="s">
        <v>16</v>
      </c>
      <c r="C497" s="1" t="s">
        <v>694</v>
      </c>
      <c r="D497" s="1" t="s">
        <v>18</v>
      </c>
      <c r="E497" s="1" t="s">
        <v>32</v>
      </c>
      <c r="F497" s="1" t="s">
        <v>20</v>
      </c>
      <c r="G497" s="1" t="s">
        <v>857</v>
      </c>
      <c r="H497" s="1" t="s">
        <v>22</v>
      </c>
      <c r="I497" s="1">
        <v>37</v>
      </c>
      <c r="J497" s="1">
        <v>39081</v>
      </c>
      <c r="K497" s="1" t="s">
        <v>23</v>
      </c>
      <c r="L497" s="1" t="s">
        <v>28</v>
      </c>
      <c r="M497" s="1" t="s">
        <v>83</v>
      </c>
      <c r="N497" s="1">
        <v>8075</v>
      </c>
      <c r="O497" s="12">
        <v>8500</v>
      </c>
      <c r="P497" s="3" t="s">
        <v>593</v>
      </c>
      <c r="Q497" s="1" cm="1">
        <f t="array" ref="Q497">VALUE(INDEX(_xlfn.TEXTSPLIT(P497, " "), 4))</f>
        <v>2015</v>
      </c>
      <c r="R497" s="1" t="str">
        <f t="shared" si="7"/>
        <v>Kia Forte LX</v>
      </c>
      <c r="S497" s="1" t="str" cm="1">
        <f t="array" ref="S497">_xlfn.IFS(I497 &gt;= 40, "High", I497&gt;=20, "Medium", I497&lt;20, "Low")</f>
        <v>Medium</v>
      </c>
      <c r="T497" s="1" t="str" cm="1">
        <f t="array" ref="T497">_xlfn.IFS(O497&lt;18200, "Low", O497&lt;=50000, "Medium", O497&gt;50000, "High")</f>
        <v>Low</v>
      </c>
    </row>
    <row r="498" spans="1:20" x14ac:dyDescent="0.25">
      <c r="A498" s="2">
        <v>2013</v>
      </c>
      <c r="B498" s="1" t="s">
        <v>16</v>
      </c>
      <c r="C498" s="1" t="s">
        <v>80</v>
      </c>
      <c r="D498" s="1" t="s">
        <v>18</v>
      </c>
      <c r="E498" s="1" t="s">
        <v>32</v>
      </c>
      <c r="F498" s="1" t="s">
        <v>20</v>
      </c>
      <c r="G498" s="1" t="s">
        <v>858</v>
      </c>
      <c r="H498" s="1" t="s">
        <v>22</v>
      </c>
      <c r="I498" s="1">
        <v>37</v>
      </c>
      <c r="J498" s="1">
        <v>35707</v>
      </c>
      <c r="K498" s="1" t="s">
        <v>91</v>
      </c>
      <c r="L498" s="1" t="s">
        <v>34</v>
      </c>
      <c r="M498" s="1" t="s">
        <v>495</v>
      </c>
      <c r="N498" s="1">
        <v>12900</v>
      </c>
      <c r="O498" s="12">
        <v>13300</v>
      </c>
      <c r="P498" s="3" t="s">
        <v>57</v>
      </c>
      <c r="Q498" s="1" cm="1">
        <f t="array" ref="Q498">VALUE(INDEX(_xlfn.TEXTSPLIT(P498, " "), 4))</f>
        <v>2014</v>
      </c>
      <c r="R498" s="1" t="str">
        <f t="shared" si="7"/>
        <v>Kia Optima LX</v>
      </c>
      <c r="S498" s="1" t="str" cm="1">
        <f t="array" ref="S498">_xlfn.IFS(I498 &gt;= 40, "High", I498&gt;=20, "Medium", I498&lt;20, "Low")</f>
        <v>Medium</v>
      </c>
      <c r="T498" s="1" t="str" cm="1">
        <f t="array" ref="T498">_xlfn.IFS(O498&lt;18200, "Low", O498&lt;=50000, "Medium", O498&gt;50000, "High")</f>
        <v>Low</v>
      </c>
    </row>
    <row r="499" spans="1:20" x14ac:dyDescent="0.25">
      <c r="A499" s="2">
        <v>2013</v>
      </c>
      <c r="B499" s="1" t="s">
        <v>608</v>
      </c>
      <c r="C499" s="1" t="s">
        <v>609</v>
      </c>
      <c r="D499" s="1" t="s">
        <v>610</v>
      </c>
      <c r="E499" s="1" t="s">
        <v>32</v>
      </c>
      <c r="F499" s="1" t="s">
        <v>20</v>
      </c>
      <c r="G499" s="1" t="s">
        <v>859</v>
      </c>
      <c r="H499" s="1" t="s">
        <v>22</v>
      </c>
      <c r="I499" s="1">
        <v>42</v>
      </c>
      <c r="J499" s="1">
        <v>38691</v>
      </c>
      <c r="K499" s="1" t="s">
        <v>24</v>
      </c>
      <c r="L499" s="1" t="s">
        <v>24</v>
      </c>
      <c r="M499" s="1" t="s">
        <v>612</v>
      </c>
      <c r="N499" s="1">
        <v>47900</v>
      </c>
      <c r="O499" s="12">
        <v>48000</v>
      </c>
      <c r="P499" s="3" t="s">
        <v>42</v>
      </c>
      <c r="Q499" s="1" cm="1">
        <f t="array" ref="Q499">VALUE(INDEX(_xlfn.TEXTSPLIT(P499, " "), 4))</f>
        <v>2015</v>
      </c>
      <c r="R499" s="1" t="str">
        <f t="shared" si="7"/>
        <v>Mercedes-Benz S-Class S550</v>
      </c>
      <c r="S499" s="1" t="str" cm="1">
        <f t="array" ref="S499">_xlfn.IFS(I499 &gt;= 40, "High", I499&gt;=20, "Medium", I499&lt;20, "Low")</f>
        <v>High</v>
      </c>
      <c r="T499" s="1" t="str" cm="1">
        <f t="array" ref="T499">_xlfn.IFS(O499&lt;18200, "Low", O499&lt;=50000, "Medium", O499&gt;50000, "High")</f>
        <v>Medium</v>
      </c>
    </row>
    <row r="500" spans="1:20" x14ac:dyDescent="0.25">
      <c r="A500" s="2">
        <v>2013</v>
      </c>
      <c r="B500" s="1" t="s">
        <v>47</v>
      </c>
      <c r="C500" s="1" t="s">
        <v>48</v>
      </c>
      <c r="D500" s="1">
        <v>2.5</v>
      </c>
      <c r="E500" s="1" t="s">
        <v>32</v>
      </c>
      <c r="F500" s="1" t="s">
        <v>20</v>
      </c>
      <c r="G500" s="1" t="s">
        <v>860</v>
      </c>
      <c r="H500" s="1" t="s">
        <v>22</v>
      </c>
      <c r="I500" s="1">
        <v>4</v>
      </c>
      <c r="J500" s="1">
        <v>38666</v>
      </c>
      <c r="K500" s="1" t="s">
        <v>91</v>
      </c>
      <c r="L500" s="1" t="s">
        <v>24</v>
      </c>
      <c r="M500" s="1" t="s">
        <v>95</v>
      </c>
      <c r="N500" s="1">
        <v>12850</v>
      </c>
      <c r="O500" s="12">
        <v>13300</v>
      </c>
      <c r="P500" s="3" t="s">
        <v>57</v>
      </c>
      <c r="Q500" s="1" cm="1">
        <f t="array" ref="Q500">VALUE(INDEX(_xlfn.TEXTSPLIT(P500, " "), 4))</f>
        <v>2014</v>
      </c>
      <c r="R500" s="1" t="str">
        <f t="shared" si="7"/>
        <v>Nissan Altima 2.5</v>
      </c>
      <c r="S500" s="1" t="str" cm="1">
        <f t="array" ref="S500">_xlfn.IFS(I500 &gt;= 40, "High", I500&gt;=20, "Medium", I500&lt;20, "Low")</f>
        <v>Low</v>
      </c>
      <c r="T500" s="1" t="str" cm="1">
        <f t="array" ref="T500">_xlfn.IFS(O500&lt;18200, "Low", O500&lt;=50000, "Medium", O500&gt;50000, "High")</f>
        <v>Low</v>
      </c>
    </row>
    <row r="501" spans="1:20" x14ac:dyDescent="0.25">
      <c r="A501" s="2">
        <v>2013</v>
      </c>
      <c r="B501" s="1" t="s">
        <v>600</v>
      </c>
      <c r="C501" s="1" t="s">
        <v>601</v>
      </c>
      <c r="D501" s="1" t="s">
        <v>784</v>
      </c>
      <c r="E501" s="1" t="s">
        <v>19</v>
      </c>
      <c r="F501" s="1" t="s">
        <v>20</v>
      </c>
      <c r="G501" s="1" t="s">
        <v>861</v>
      </c>
      <c r="H501" s="1" t="s">
        <v>22</v>
      </c>
      <c r="I501" s="1">
        <v>37</v>
      </c>
      <c r="J501" s="1">
        <v>42482</v>
      </c>
      <c r="K501" s="1" t="s">
        <v>24</v>
      </c>
      <c r="L501" s="1" t="s">
        <v>24</v>
      </c>
      <c r="M501" s="1" t="s">
        <v>182</v>
      </c>
      <c r="N501" s="1">
        <v>24200</v>
      </c>
      <c r="O501" s="12">
        <v>25000</v>
      </c>
      <c r="P501" s="3" t="s">
        <v>110</v>
      </c>
      <c r="Q501" s="1" cm="1">
        <f t="array" ref="Q501">VALUE(INDEX(_xlfn.TEXTSPLIT(P501, " "), 4))</f>
        <v>2014</v>
      </c>
      <c r="R501" s="1" t="str">
        <f t="shared" si="7"/>
        <v>Jeep Wrangler Unlimited Sport</v>
      </c>
      <c r="S501" s="1" t="str" cm="1">
        <f t="array" ref="S501">_xlfn.IFS(I501 &gt;= 40, "High", I501&gt;=20, "Medium", I501&lt;20, "Low")</f>
        <v>Medium</v>
      </c>
      <c r="T501" s="1" t="str" cm="1">
        <f t="array" ref="T501">_xlfn.IFS(O501&lt;18200, "Low", O501&lt;=50000, "Medium", O501&gt;50000, "High")</f>
        <v>Medium</v>
      </c>
    </row>
    <row r="502" spans="1:20" x14ac:dyDescent="0.25">
      <c r="A502" s="2">
        <v>2013</v>
      </c>
      <c r="B502" s="1" t="s">
        <v>730</v>
      </c>
      <c r="C502" s="1" t="s">
        <v>758</v>
      </c>
      <c r="D502" s="1" t="s">
        <v>862</v>
      </c>
      <c r="E502" s="1" t="s">
        <v>19</v>
      </c>
      <c r="F502" s="1" t="s">
        <v>20</v>
      </c>
      <c r="G502" s="1" t="s">
        <v>863</v>
      </c>
      <c r="H502" s="1" t="s">
        <v>22</v>
      </c>
      <c r="I502" s="1">
        <v>5</v>
      </c>
      <c r="J502" s="1">
        <v>5403</v>
      </c>
      <c r="K502" s="1" t="s">
        <v>34</v>
      </c>
      <c r="L502" s="1" t="s">
        <v>24</v>
      </c>
      <c r="M502" s="1" t="s">
        <v>734</v>
      </c>
      <c r="N502" s="1">
        <v>38600</v>
      </c>
      <c r="O502" s="12">
        <v>30500</v>
      </c>
      <c r="P502" s="3" t="s">
        <v>46</v>
      </c>
      <c r="Q502" s="1" cm="1">
        <f t="array" ref="Q502">VALUE(INDEX(_xlfn.TEXTSPLIT(P502, " "), 4))</f>
        <v>2014</v>
      </c>
      <c r="R502" s="1" t="str">
        <f t="shared" si="7"/>
        <v>Land Rover Range Rover Evoque Pure Premium</v>
      </c>
      <c r="S502" s="1" t="str" cm="1">
        <f t="array" ref="S502">_xlfn.IFS(I502 &gt;= 40, "High", I502&gt;=20, "Medium", I502&lt;20, "Low")</f>
        <v>Low</v>
      </c>
      <c r="T502" s="1" t="str" cm="1">
        <f t="array" ref="T502">_xlfn.IFS(O502&lt;18200, "Low", O502&lt;=50000, "Medium", O502&gt;50000, "High")</f>
        <v>Medium</v>
      </c>
    </row>
    <row r="503" spans="1:20" x14ac:dyDescent="0.25">
      <c r="A503" s="2">
        <v>2013</v>
      </c>
      <c r="B503" s="1" t="s">
        <v>632</v>
      </c>
      <c r="C503" s="1" t="s">
        <v>688</v>
      </c>
      <c r="D503" s="1" t="s">
        <v>646</v>
      </c>
      <c r="E503" s="1" t="s">
        <v>19</v>
      </c>
      <c r="F503" s="1" t="s">
        <v>20</v>
      </c>
      <c r="G503" s="1" t="s">
        <v>864</v>
      </c>
      <c r="H503" s="1" t="s">
        <v>22</v>
      </c>
      <c r="I503" s="1">
        <v>45</v>
      </c>
      <c r="J503" s="1">
        <v>40884</v>
      </c>
      <c r="K503" s="1" t="s">
        <v>24</v>
      </c>
      <c r="L503" s="1" t="s">
        <v>24</v>
      </c>
      <c r="M503" s="1" t="s">
        <v>182</v>
      </c>
      <c r="N503" s="1">
        <v>18800</v>
      </c>
      <c r="O503" s="12">
        <v>19600</v>
      </c>
      <c r="P503" s="3" t="s">
        <v>270</v>
      </c>
      <c r="Q503" s="1" cm="1">
        <f t="array" ref="Q503">VALUE(INDEX(_xlfn.TEXTSPLIT(P503, " "), 4))</f>
        <v>2014</v>
      </c>
      <c r="R503" s="1" t="str">
        <f t="shared" si="7"/>
        <v>Mazda CX-9 Touring</v>
      </c>
      <c r="S503" s="1" t="str" cm="1">
        <f t="array" ref="S503">_xlfn.IFS(I503 &gt;= 40, "High", I503&gt;=20, "Medium", I503&lt;20, "Low")</f>
        <v>High</v>
      </c>
      <c r="T503" s="1" t="str" cm="1">
        <f t="array" ref="T503">_xlfn.IFS(O503&lt;18200, "Low", O503&lt;=50000, "Medium", O503&gt;50000, "High")</f>
        <v>Medium</v>
      </c>
    </row>
    <row r="504" spans="1:20" x14ac:dyDescent="0.25">
      <c r="A504" s="2">
        <v>2013</v>
      </c>
      <c r="B504" s="1" t="s">
        <v>632</v>
      </c>
      <c r="C504" s="1" t="s">
        <v>633</v>
      </c>
      <c r="D504" s="1" t="s">
        <v>646</v>
      </c>
      <c r="E504" s="1" t="s">
        <v>227</v>
      </c>
      <c r="F504" s="1" t="s">
        <v>20</v>
      </c>
      <c r="G504" s="1" t="s">
        <v>865</v>
      </c>
      <c r="H504" s="1" t="s">
        <v>22</v>
      </c>
      <c r="I504" s="1"/>
      <c r="J504" s="1">
        <v>37317</v>
      </c>
      <c r="K504" s="1" t="s">
        <v>23</v>
      </c>
      <c r="L504" s="1" t="s">
        <v>24</v>
      </c>
      <c r="M504" s="1" t="s">
        <v>406</v>
      </c>
      <c r="N504" s="1">
        <v>8625</v>
      </c>
      <c r="O504" s="12">
        <v>2600</v>
      </c>
      <c r="P504" s="3" t="s">
        <v>280</v>
      </c>
      <c r="Q504" s="1" cm="1">
        <f t="array" ref="Q504">VALUE(INDEX(_xlfn.TEXTSPLIT(P504, " "), 4))</f>
        <v>2014</v>
      </c>
      <c r="R504" s="1" t="str">
        <f t="shared" si="7"/>
        <v>Mazda Mazda2 Touring</v>
      </c>
      <c r="S504" s="1" t="str" cm="1">
        <f t="array" ref="S504">_xlfn.IFS(I504 &gt;= 40, "High", I504&gt;=20, "Medium", I504&lt;20, "Low")</f>
        <v>Low</v>
      </c>
      <c r="T504" s="1" t="str" cm="1">
        <f t="array" ref="T504">_xlfn.IFS(O504&lt;18200, "Low", O504&lt;=50000, "Medium", O504&gt;50000, "High")</f>
        <v>Low</v>
      </c>
    </row>
    <row r="505" spans="1:20" x14ac:dyDescent="0.25">
      <c r="A505" s="2">
        <v>2013</v>
      </c>
      <c r="B505" s="1" t="s">
        <v>608</v>
      </c>
      <c r="C505" s="1" t="s">
        <v>609</v>
      </c>
      <c r="D505" s="1" t="s">
        <v>610</v>
      </c>
      <c r="E505" s="1" t="s">
        <v>32</v>
      </c>
      <c r="F505" s="1" t="s">
        <v>20</v>
      </c>
      <c r="G505" s="1" t="s">
        <v>866</v>
      </c>
      <c r="H505" s="1" t="s">
        <v>22</v>
      </c>
      <c r="I505" s="1">
        <v>41</v>
      </c>
      <c r="J505" s="1">
        <v>33776</v>
      </c>
      <c r="K505" s="1" t="s">
        <v>24</v>
      </c>
      <c r="L505" s="1" t="s">
        <v>24</v>
      </c>
      <c r="M505" s="1" t="s">
        <v>612</v>
      </c>
      <c r="N505" s="1">
        <v>49500</v>
      </c>
      <c r="O505" s="12">
        <v>46500</v>
      </c>
      <c r="P505" s="3" t="s">
        <v>36</v>
      </c>
      <c r="Q505" s="1" cm="1">
        <f t="array" ref="Q505">VALUE(INDEX(_xlfn.TEXTSPLIT(P505, " "), 4))</f>
        <v>2015</v>
      </c>
      <c r="R505" s="1" t="str">
        <f t="shared" si="7"/>
        <v>Mercedes-Benz S-Class S550</v>
      </c>
      <c r="S505" s="1" t="str" cm="1">
        <f t="array" ref="S505">_xlfn.IFS(I505 &gt;= 40, "High", I505&gt;=20, "Medium", I505&lt;20, "Low")</f>
        <v>High</v>
      </c>
      <c r="T505" s="1" t="str" cm="1">
        <f t="array" ref="T505">_xlfn.IFS(O505&lt;18200, "Low", O505&lt;=50000, "Medium", O505&gt;50000, "High")</f>
        <v>Medium</v>
      </c>
    </row>
    <row r="506" spans="1:20" x14ac:dyDescent="0.25">
      <c r="A506" s="2">
        <v>2013</v>
      </c>
      <c r="B506" s="1" t="s">
        <v>47</v>
      </c>
      <c r="C506" s="1" t="s">
        <v>48</v>
      </c>
      <c r="D506" s="1">
        <v>2.5</v>
      </c>
      <c r="E506" s="1" t="s">
        <v>32</v>
      </c>
      <c r="F506" s="1" t="s">
        <v>20</v>
      </c>
      <c r="G506" s="1" t="s">
        <v>867</v>
      </c>
      <c r="H506" s="1" t="s">
        <v>22</v>
      </c>
      <c r="I506" s="1">
        <v>37</v>
      </c>
      <c r="J506" s="1">
        <v>43262</v>
      </c>
      <c r="K506" s="1" t="s">
        <v>24</v>
      </c>
      <c r="L506" s="1" t="s">
        <v>82</v>
      </c>
      <c r="M506" s="1" t="s">
        <v>182</v>
      </c>
      <c r="N506" s="1">
        <v>12750</v>
      </c>
      <c r="O506" s="12">
        <v>13400</v>
      </c>
      <c r="P506" s="3" t="s">
        <v>459</v>
      </c>
      <c r="Q506" s="1" cm="1">
        <f t="array" ref="Q506">VALUE(INDEX(_xlfn.TEXTSPLIT(P506, " "), 4))</f>
        <v>2014</v>
      </c>
      <c r="R506" s="1" t="str">
        <f t="shared" si="7"/>
        <v>Nissan Altima 2.5</v>
      </c>
      <c r="S506" s="1" t="str" cm="1">
        <f t="array" ref="S506">_xlfn.IFS(I506 &gt;= 40, "High", I506&gt;=20, "Medium", I506&lt;20, "Low")</f>
        <v>Medium</v>
      </c>
      <c r="T506" s="1" t="str" cm="1">
        <f t="array" ref="T506">_xlfn.IFS(O506&lt;18200, "Low", O506&lt;=50000, "Medium", O506&gt;50000, "High")</f>
        <v>Low</v>
      </c>
    </row>
    <row r="507" spans="1:20" x14ac:dyDescent="0.25">
      <c r="A507" s="2">
        <v>2013</v>
      </c>
      <c r="B507" s="1" t="s">
        <v>318</v>
      </c>
      <c r="C507" s="1" t="s">
        <v>323</v>
      </c>
      <c r="D507" s="1" t="s">
        <v>718</v>
      </c>
      <c r="E507" s="1" t="s">
        <v>323</v>
      </c>
      <c r="F507" s="1" t="s">
        <v>20</v>
      </c>
      <c r="G507" s="1" t="s">
        <v>868</v>
      </c>
      <c r="H507" s="1" t="s">
        <v>22</v>
      </c>
      <c r="I507" s="1">
        <v>29</v>
      </c>
      <c r="J507" s="1">
        <v>42887</v>
      </c>
      <c r="K507" s="1" t="s">
        <v>24</v>
      </c>
      <c r="L507" s="1" t="s">
        <v>24</v>
      </c>
      <c r="M507" s="1" t="s">
        <v>56</v>
      </c>
      <c r="N507" s="1">
        <v>21300</v>
      </c>
      <c r="O507" s="12">
        <v>19900</v>
      </c>
      <c r="P507" s="3" t="s">
        <v>26</v>
      </c>
      <c r="Q507" s="1" cm="1">
        <f t="array" ref="Q507">VALUE(INDEX(_xlfn.TEXTSPLIT(P507, " "), 4))</f>
        <v>2014</v>
      </c>
      <c r="R507" s="1" t="str">
        <f t="shared" si="7"/>
        <v>Infiniti G Sedan G37x</v>
      </c>
      <c r="S507" s="1" t="str" cm="1">
        <f t="array" ref="S507">_xlfn.IFS(I507 &gt;= 40, "High", I507&gt;=20, "Medium", I507&lt;20, "Low")</f>
        <v>Medium</v>
      </c>
      <c r="T507" s="1" t="str" cm="1">
        <f t="array" ref="T507">_xlfn.IFS(O507&lt;18200, "Low", O507&lt;=50000, "Medium", O507&gt;50000, "High")</f>
        <v>Medium</v>
      </c>
    </row>
    <row r="508" spans="1:20" x14ac:dyDescent="0.25">
      <c r="A508" s="2">
        <v>2013</v>
      </c>
      <c r="B508" s="1" t="s">
        <v>318</v>
      </c>
      <c r="C508" s="1" t="s">
        <v>323</v>
      </c>
      <c r="D508" s="1" t="s">
        <v>718</v>
      </c>
      <c r="E508" s="1" t="s">
        <v>323</v>
      </c>
      <c r="F508" s="1" t="s">
        <v>20</v>
      </c>
      <c r="G508" s="1" t="s">
        <v>869</v>
      </c>
      <c r="H508" s="1" t="s">
        <v>22</v>
      </c>
      <c r="I508" s="1">
        <v>43</v>
      </c>
      <c r="J508" s="1">
        <v>40101</v>
      </c>
      <c r="K508" s="1" t="s">
        <v>94</v>
      </c>
      <c r="L508" s="1" t="s">
        <v>24</v>
      </c>
      <c r="M508" s="1" t="s">
        <v>322</v>
      </c>
      <c r="N508" s="1">
        <v>21600</v>
      </c>
      <c r="O508" s="12">
        <v>20250</v>
      </c>
      <c r="P508" s="3" t="s">
        <v>251</v>
      </c>
      <c r="Q508" s="1" cm="1">
        <f t="array" ref="Q508">VALUE(INDEX(_xlfn.TEXTSPLIT(P508, " "), 4))</f>
        <v>2014</v>
      </c>
      <c r="R508" s="1" t="str">
        <f t="shared" si="7"/>
        <v>Infiniti G Sedan G37x</v>
      </c>
      <c r="S508" s="1" t="str" cm="1">
        <f t="array" ref="S508">_xlfn.IFS(I508 &gt;= 40, "High", I508&gt;=20, "Medium", I508&lt;20, "Low")</f>
        <v>High</v>
      </c>
      <c r="T508" s="1" t="str" cm="1">
        <f t="array" ref="T508">_xlfn.IFS(O508&lt;18200, "Low", O508&lt;=50000, "Medium", O508&gt;50000, "High")</f>
        <v>Medium</v>
      </c>
    </row>
    <row r="509" spans="1:20" x14ac:dyDescent="0.25">
      <c r="A509" s="2">
        <v>2013</v>
      </c>
      <c r="B509" s="1" t="s">
        <v>318</v>
      </c>
      <c r="C509" s="1" t="s">
        <v>648</v>
      </c>
      <c r="D509" s="1" t="s">
        <v>649</v>
      </c>
      <c r="E509" s="1" t="s">
        <v>32</v>
      </c>
      <c r="F509" s="1" t="s">
        <v>20</v>
      </c>
      <c r="G509" s="1" t="s">
        <v>870</v>
      </c>
      <c r="H509" s="1" t="s">
        <v>22</v>
      </c>
      <c r="I509" s="1">
        <v>42</v>
      </c>
      <c r="J509" s="1">
        <v>6787</v>
      </c>
      <c r="K509" s="1" t="s">
        <v>91</v>
      </c>
      <c r="L509" s="1" t="s">
        <v>24</v>
      </c>
      <c r="M509" s="1" t="s">
        <v>651</v>
      </c>
      <c r="N509" s="1">
        <v>34600</v>
      </c>
      <c r="O509" s="12">
        <v>33500</v>
      </c>
      <c r="P509" s="3" t="s">
        <v>36</v>
      </c>
      <c r="Q509" s="1" cm="1">
        <f t="array" ref="Q509">VALUE(INDEX(_xlfn.TEXTSPLIT(P509, " "), 4))</f>
        <v>2015</v>
      </c>
      <c r="R509" s="1" t="str">
        <f t="shared" si="7"/>
        <v>Infiniti M M37</v>
      </c>
      <c r="S509" s="1" t="str" cm="1">
        <f t="array" ref="S509">_xlfn.IFS(I509 &gt;= 40, "High", I509&gt;=20, "Medium", I509&lt;20, "Low")</f>
        <v>High</v>
      </c>
      <c r="T509" s="1" t="str" cm="1">
        <f t="array" ref="T509">_xlfn.IFS(O509&lt;18200, "Low", O509&lt;=50000, "Medium", O509&gt;50000, "High")</f>
        <v>Medium</v>
      </c>
    </row>
    <row r="510" spans="1:20" x14ac:dyDescent="0.25">
      <c r="A510" s="2">
        <v>2013</v>
      </c>
      <c r="B510" s="1" t="s">
        <v>608</v>
      </c>
      <c r="C510" s="1" t="s">
        <v>620</v>
      </c>
      <c r="D510" s="1" t="s">
        <v>621</v>
      </c>
      <c r="E510" s="1" t="s">
        <v>107</v>
      </c>
      <c r="F510" s="1" t="s">
        <v>20</v>
      </c>
      <c r="G510" s="1" t="s">
        <v>871</v>
      </c>
      <c r="H510" s="1" t="s">
        <v>22</v>
      </c>
      <c r="I510" s="1">
        <v>41</v>
      </c>
      <c r="J510" s="1">
        <v>16486</v>
      </c>
      <c r="K510" s="1" t="s">
        <v>101</v>
      </c>
      <c r="L510" s="1" t="s">
        <v>24</v>
      </c>
      <c r="M510" s="1" t="s">
        <v>612</v>
      </c>
      <c r="N510" s="1">
        <v>25600</v>
      </c>
      <c r="O510" s="12">
        <v>23500</v>
      </c>
      <c r="P510" s="3" t="s">
        <v>36</v>
      </c>
      <c r="Q510" s="1" cm="1">
        <f t="array" ref="Q510">VALUE(INDEX(_xlfn.TEXTSPLIT(P510, " "), 4))</f>
        <v>2015</v>
      </c>
      <c r="R510" s="1" t="str">
        <f t="shared" si="7"/>
        <v>Mercedes-Benz C-Class C250</v>
      </c>
      <c r="S510" s="1" t="str" cm="1">
        <f t="array" ref="S510">_xlfn.IFS(I510 &gt;= 40, "High", I510&gt;=20, "Medium", I510&lt;20, "Low")</f>
        <v>High</v>
      </c>
      <c r="T510" s="1" t="str" cm="1">
        <f t="array" ref="T510">_xlfn.IFS(O510&lt;18200, "Low", O510&lt;=50000, "Medium", O510&gt;50000, "High")</f>
        <v>Medium</v>
      </c>
    </row>
    <row r="511" spans="1:20" x14ac:dyDescent="0.25">
      <c r="A511" s="2">
        <v>2013</v>
      </c>
      <c r="B511" s="1" t="s">
        <v>632</v>
      </c>
      <c r="C511" s="1" t="s">
        <v>677</v>
      </c>
      <c r="D511" s="1" t="s">
        <v>744</v>
      </c>
      <c r="E511" s="1" t="s">
        <v>32</v>
      </c>
      <c r="F511" s="1" t="s">
        <v>20</v>
      </c>
      <c r="G511" s="1" t="s">
        <v>872</v>
      </c>
      <c r="H511" s="1" t="s">
        <v>22</v>
      </c>
      <c r="I511" s="1">
        <v>38</v>
      </c>
      <c r="J511" s="1">
        <v>39573</v>
      </c>
      <c r="K511" s="1" t="s">
        <v>94</v>
      </c>
      <c r="L511" s="1" t="s">
        <v>24</v>
      </c>
      <c r="M511" s="1" t="s">
        <v>182</v>
      </c>
      <c r="N511" s="1">
        <v>10650</v>
      </c>
      <c r="O511" s="12">
        <v>11800</v>
      </c>
      <c r="P511" s="3" t="s">
        <v>26</v>
      </c>
      <c r="Q511" s="1" cm="1">
        <f t="array" ref="Q511">VALUE(INDEX(_xlfn.TEXTSPLIT(P511, " "), 4))</f>
        <v>2014</v>
      </c>
      <c r="R511" s="1" t="str">
        <f t="shared" si="7"/>
        <v>Mazda Mazda3 i Sport</v>
      </c>
      <c r="S511" s="1" t="str" cm="1">
        <f t="array" ref="S511">_xlfn.IFS(I511 &gt;= 40, "High", I511&gt;=20, "Medium", I511&lt;20, "Low")</f>
        <v>Medium</v>
      </c>
      <c r="T511" s="1" t="str" cm="1">
        <f t="array" ref="T511">_xlfn.IFS(O511&lt;18200, "Low", O511&lt;=50000, "Medium", O511&gt;50000, "High")</f>
        <v>Low</v>
      </c>
    </row>
    <row r="512" spans="1:20" x14ac:dyDescent="0.25">
      <c r="A512" s="2">
        <v>2013</v>
      </c>
      <c r="B512" s="1" t="s">
        <v>318</v>
      </c>
      <c r="C512" s="1" t="s">
        <v>323</v>
      </c>
      <c r="D512" s="1" t="s">
        <v>324</v>
      </c>
      <c r="E512" s="1" t="s">
        <v>323</v>
      </c>
      <c r="F512" s="1" t="s">
        <v>20</v>
      </c>
      <c r="G512" s="1" t="s">
        <v>873</v>
      </c>
      <c r="H512" s="1" t="s">
        <v>22</v>
      </c>
      <c r="I512" s="1">
        <v>24</v>
      </c>
      <c r="J512" s="1">
        <v>42547</v>
      </c>
      <c r="K512" s="1" t="s">
        <v>24</v>
      </c>
      <c r="L512" s="1" t="s">
        <v>24</v>
      </c>
      <c r="M512" s="1" t="s">
        <v>322</v>
      </c>
      <c r="N512" s="1">
        <v>20500</v>
      </c>
      <c r="O512" s="12">
        <v>17250</v>
      </c>
      <c r="P512" s="3" t="s">
        <v>26</v>
      </c>
      <c r="Q512" s="1" cm="1">
        <f t="array" ref="Q512">VALUE(INDEX(_xlfn.TEXTSPLIT(P512, " "), 4))</f>
        <v>2014</v>
      </c>
      <c r="R512" s="1" t="str">
        <f t="shared" si="7"/>
        <v>Infiniti G Sedan G37 Journey</v>
      </c>
      <c r="S512" s="1" t="str" cm="1">
        <f t="array" ref="S512">_xlfn.IFS(I512 &gt;= 40, "High", I512&gt;=20, "Medium", I512&lt;20, "Low")</f>
        <v>Medium</v>
      </c>
      <c r="T512" s="1" t="str" cm="1">
        <f t="array" ref="T512">_xlfn.IFS(O512&lt;18200, "Low", O512&lt;=50000, "Medium", O512&gt;50000, "High")</f>
        <v>Low</v>
      </c>
    </row>
    <row r="513" spans="1:20" x14ac:dyDescent="0.25">
      <c r="A513" s="2">
        <v>2013</v>
      </c>
      <c r="B513" s="1" t="s">
        <v>16</v>
      </c>
      <c r="C513" s="1" t="s">
        <v>80</v>
      </c>
      <c r="D513" s="1" t="s">
        <v>623</v>
      </c>
      <c r="E513" s="1" t="s">
        <v>32</v>
      </c>
      <c r="F513" s="1" t="s">
        <v>20</v>
      </c>
      <c r="G513" s="1" t="s">
        <v>874</v>
      </c>
      <c r="H513" s="1" t="s">
        <v>22</v>
      </c>
      <c r="I513" s="1">
        <v>44</v>
      </c>
      <c r="J513" s="1">
        <v>67229</v>
      </c>
      <c r="K513" s="1" t="s">
        <v>23</v>
      </c>
      <c r="L513" s="1" t="s">
        <v>34</v>
      </c>
      <c r="M513" s="1" t="s">
        <v>83</v>
      </c>
      <c r="N513" s="1">
        <v>18300</v>
      </c>
      <c r="O513" s="12">
        <v>19000</v>
      </c>
      <c r="P513" s="3" t="s">
        <v>46</v>
      </c>
      <c r="Q513" s="1" cm="1">
        <f t="array" ref="Q513">VALUE(INDEX(_xlfn.TEXTSPLIT(P513, " "), 4))</f>
        <v>2014</v>
      </c>
      <c r="R513" s="1" t="str">
        <f t="shared" si="7"/>
        <v>Kia Optima SX</v>
      </c>
      <c r="S513" s="1" t="str" cm="1">
        <f t="array" ref="S513">_xlfn.IFS(I513 &gt;= 40, "High", I513&gt;=20, "Medium", I513&lt;20, "Low")</f>
        <v>High</v>
      </c>
      <c r="T513" s="1" t="str" cm="1">
        <f t="array" ref="T513">_xlfn.IFS(O513&lt;18200, "Low", O513&lt;=50000, "Medium", O513&gt;50000, "High")</f>
        <v>Medium</v>
      </c>
    </row>
    <row r="514" spans="1:20" x14ac:dyDescent="0.25">
      <c r="A514" s="2">
        <v>2013</v>
      </c>
      <c r="B514" s="1" t="s">
        <v>608</v>
      </c>
      <c r="C514" s="1" t="s">
        <v>620</v>
      </c>
      <c r="D514" s="1" t="s">
        <v>621</v>
      </c>
      <c r="E514" s="1" t="s">
        <v>107</v>
      </c>
      <c r="F514" s="1" t="s">
        <v>20</v>
      </c>
      <c r="G514" s="1" t="s">
        <v>875</v>
      </c>
      <c r="H514" s="1" t="s">
        <v>22</v>
      </c>
      <c r="I514" s="1">
        <v>37</v>
      </c>
      <c r="J514" s="1">
        <v>23783</v>
      </c>
      <c r="K514" s="1" t="s">
        <v>24</v>
      </c>
      <c r="L514" s="1" t="s">
        <v>82</v>
      </c>
      <c r="M514" s="1" t="s">
        <v>612</v>
      </c>
      <c r="N514" s="1">
        <v>24900</v>
      </c>
      <c r="O514" s="12">
        <v>22500</v>
      </c>
      <c r="P514" s="3" t="s">
        <v>36</v>
      </c>
      <c r="Q514" s="1" cm="1">
        <f t="array" ref="Q514">VALUE(INDEX(_xlfn.TEXTSPLIT(P514, " "), 4))</f>
        <v>2015</v>
      </c>
      <c r="R514" s="1" t="str">
        <f t="shared" si="7"/>
        <v>Mercedes-Benz C-Class C250</v>
      </c>
      <c r="S514" s="1" t="str" cm="1">
        <f t="array" ref="S514">_xlfn.IFS(I514 &gt;= 40, "High", I514&gt;=20, "Medium", I514&lt;20, "Low")</f>
        <v>Medium</v>
      </c>
      <c r="T514" s="1" t="str" cm="1">
        <f t="array" ref="T514">_xlfn.IFS(O514&lt;18200, "Low", O514&lt;=50000, "Medium", O514&gt;50000, "High")</f>
        <v>Medium</v>
      </c>
    </row>
    <row r="515" spans="1:20" x14ac:dyDescent="0.25">
      <c r="A515" s="2">
        <v>2013</v>
      </c>
      <c r="B515" s="1" t="s">
        <v>202</v>
      </c>
      <c r="C515" s="1" t="s">
        <v>203</v>
      </c>
      <c r="D515" s="1" t="s">
        <v>54</v>
      </c>
      <c r="E515" s="1" t="s">
        <v>19</v>
      </c>
      <c r="F515" s="1" t="s">
        <v>20</v>
      </c>
      <c r="G515" s="1" t="s">
        <v>876</v>
      </c>
      <c r="H515" s="1" t="s">
        <v>22</v>
      </c>
      <c r="I515" s="1">
        <v>46</v>
      </c>
      <c r="J515" s="1">
        <v>21932</v>
      </c>
      <c r="K515" s="1" t="s">
        <v>288</v>
      </c>
      <c r="L515" s="1" t="s">
        <v>24</v>
      </c>
      <c r="M515" s="1" t="s">
        <v>79</v>
      </c>
      <c r="N515" s="1">
        <v>36200</v>
      </c>
      <c r="O515" s="12">
        <v>37750</v>
      </c>
      <c r="P515" s="3" t="s">
        <v>26</v>
      </c>
      <c r="Q515" s="1" cm="1">
        <f t="array" ref="Q515">VALUE(INDEX(_xlfn.TEXTSPLIT(P515, " "), 4))</f>
        <v>2014</v>
      </c>
      <c r="R515" s="1" t="str">
        <f t="shared" ref="R515:R578" si="8">_xlfn.TEXTJOIN(" ", TRUE, B515, C515, D515)</f>
        <v>Lexus RX 350 Base</v>
      </c>
      <c r="S515" s="1" t="str" cm="1">
        <f t="array" ref="S515">_xlfn.IFS(I515 &gt;= 40, "High", I515&gt;=20, "Medium", I515&lt;20, "Low")</f>
        <v>High</v>
      </c>
      <c r="T515" s="1" t="str" cm="1">
        <f t="array" ref="T515">_xlfn.IFS(O515&lt;18200, "Low", O515&lt;=50000, "Medium", O515&gt;50000, "High")</f>
        <v>Medium</v>
      </c>
    </row>
    <row r="516" spans="1:20" x14ac:dyDescent="0.25">
      <c r="A516" s="2">
        <v>2013</v>
      </c>
      <c r="B516" s="1" t="s">
        <v>47</v>
      </c>
      <c r="C516" s="1" t="s">
        <v>48</v>
      </c>
      <c r="D516" s="1">
        <v>2.5</v>
      </c>
      <c r="E516" s="1" t="s">
        <v>32</v>
      </c>
      <c r="F516" s="1" t="s">
        <v>20</v>
      </c>
      <c r="G516" s="1" t="s">
        <v>877</v>
      </c>
      <c r="H516" s="1" t="s">
        <v>22</v>
      </c>
      <c r="I516" s="1">
        <v>35</v>
      </c>
      <c r="J516" s="1">
        <v>45568</v>
      </c>
      <c r="K516" s="1" t="s">
        <v>24</v>
      </c>
      <c r="L516" s="1" t="s">
        <v>24</v>
      </c>
      <c r="M516" s="1" t="s">
        <v>644</v>
      </c>
      <c r="N516" s="1">
        <v>12550</v>
      </c>
      <c r="O516" s="12">
        <v>12000</v>
      </c>
      <c r="P516" s="3" t="s">
        <v>57</v>
      </c>
      <c r="Q516" s="1" cm="1">
        <f t="array" ref="Q516">VALUE(INDEX(_xlfn.TEXTSPLIT(P516, " "), 4))</f>
        <v>2014</v>
      </c>
      <c r="R516" s="1" t="str">
        <f t="shared" si="8"/>
        <v>Nissan Altima 2.5</v>
      </c>
      <c r="S516" s="1" t="str" cm="1">
        <f t="array" ref="S516">_xlfn.IFS(I516 &gt;= 40, "High", I516&gt;=20, "Medium", I516&lt;20, "Low")</f>
        <v>Medium</v>
      </c>
      <c r="T516" s="1" t="str" cm="1">
        <f t="array" ref="T516">_xlfn.IFS(O516&lt;18200, "Low", O516&lt;=50000, "Medium", O516&gt;50000, "High")</f>
        <v>Low</v>
      </c>
    </row>
    <row r="517" spans="1:20" x14ac:dyDescent="0.25">
      <c r="A517" s="2">
        <v>2013</v>
      </c>
      <c r="B517" s="1" t="s">
        <v>608</v>
      </c>
      <c r="C517" s="1" t="s">
        <v>620</v>
      </c>
      <c r="D517" s="1" t="s">
        <v>640</v>
      </c>
      <c r="E517" s="1" t="s">
        <v>32</v>
      </c>
      <c r="F517" s="1" t="s">
        <v>20</v>
      </c>
      <c r="G517" s="1" t="s">
        <v>878</v>
      </c>
      <c r="H517" s="1" t="s">
        <v>22</v>
      </c>
      <c r="I517" s="1">
        <v>43</v>
      </c>
      <c r="J517" s="1">
        <v>22984</v>
      </c>
      <c r="K517" s="1" t="s">
        <v>23</v>
      </c>
      <c r="L517" s="1" t="s">
        <v>24</v>
      </c>
      <c r="M517" s="1" t="s">
        <v>612</v>
      </c>
      <c r="N517" s="1">
        <v>22800</v>
      </c>
      <c r="O517" s="12">
        <v>21750</v>
      </c>
      <c r="P517" s="3" t="s">
        <v>46</v>
      </c>
      <c r="Q517" s="1" cm="1">
        <f t="array" ref="Q517">VALUE(INDEX(_xlfn.TEXTSPLIT(P517, " "), 4))</f>
        <v>2014</v>
      </c>
      <c r="R517" s="1" t="str">
        <f t="shared" si="8"/>
        <v>Mercedes-Benz C-Class C250 Sport</v>
      </c>
      <c r="S517" s="1" t="str" cm="1">
        <f t="array" ref="S517">_xlfn.IFS(I517 &gt;= 40, "High", I517&gt;=20, "Medium", I517&lt;20, "Low")</f>
        <v>High</v>
      </c>
      <c r="T517" s="1" t="str" cm="1">
        <f t="array" ref="T517">_xlfn.IFS(O517&lt;18200, "Low", O517&lt;=50000, "Medium", O517&gt;50000, "High")</f>
        <v>Medium</v>
      </c>
    </row>
    <row r="518" spans="1:20" x14ac:dyDescent="0.25">
      <c r="A518" s="2">
        <v>2013</v>
      </c>
      <c r="B518" s="1" t="s">
        <v>632</v>
      </c>
      <c r="C518" s="1" t="s">
        <v>737</v>
      </c>
      <c r="D518" s="1" t="s">
        <v>646</v>
      </c>
      <c r="E518" s="1" t="s">
        <v>738</v>
      </c>
      <c r="F518" s="1" t="s">
        <v>20</v>
      </c>
      <c r="G518" s="1" t="s">
        <v>879</v>
      </c>
      <c r="H518" s="1" t="s">
        <v>22</v>
      </c>
      <c r="I518" s="1">
        <v>39</v>
      </c>
      <c r="J518" s="1">
        <v>37664</v>
      </c>
      <c r="K518" s="1" t="s">
        <v>34</v>
      </c>
      <c r="L518" s="1" t="s">
        <v>24</v>
      </c>
      <c r="M518" s="1" t="s">
        <v>95</v>
      </c>
      <c r="N518" s="1">
        <v>11750</v>
      </c>
      <c r="O518" s="12">
        <v>13000</v>
      </c>
      <c r="P518" s="3" t="s">
        <v>251</v>
      </c>
      <c r="Q518" s="1" cm="1">
        <f t="array" ref="Q518">VALUE(INDEX(_xlfn.TEXTSPLIT(P518, " "), 4))</f>
        <v>2014</v>
      </c>
      <c r="R518" s="1" t="str">
        <f t="shared" si="8"/>
        <v>Mazda Mazda5 Touring</v>
      </c>
      <c r="S518" s="1" t="str" cm="1">
        <f t="array" ref="S518">_xlfn.IFS(I518 &gt;= 40, "High", I518&gt;=20, "Medium", I518&lt;20, "Low")</f>
        <v>Medium</v>
      </c>
      <c r="T518" s="1" t="str" cm="1">
        <f t="array" ref="T518">_xlfn.IFS(O518&lt;18200, "Low", O518&lt;=50000, "Medium", O518&gt;50000, "High")</f>
        <v>Low</v>
      </c>
    </row>
    <row r="519" spans="1:20" x14ac:dyDescent="0.25">
      <c r="A519" s="2">
        <v>2013</v>
      </c>
      <c r="B519" s="1" t="s">
        <v>616</v>
      </c>
      <c r="C519" s="1" t="s">
        <v>880</v>
      </c>
      <c r="D519" s="1" t="s">
        <v>881</v>
      </c>
      <c r="E519" s="1" t="s">
        <v>32</v>
      </c>
      <c r="F519" s="1" t="s">
        <v>20</v>
      </c>
      <c r="G519" s="1" t="s">
        <v>882</v>
      </c>
      <c r="H519" s="1" t="s">
        <v>22</v>
      </c>
      <c r="I519" s="1">
        <v>36</v>
      </c>
      <c r="J519" s="1">
        <v>27059</v>
      </c>
      <c r="K519" s="1" t="s">
        <v>94</v>
      </c>
      <c r="L519" s="1" t="s">
        <v>24</v>
      </c>
      <c r="M519" s="1" t="s">
        <v>809</v>
      </c>
      <c r="N519" s="1">
        <v>19600</v>
      </c>
      <c r="O519" s="12">
        <v>18900</v>
      </c>
      <c r="P519" s="3" t="s">
        <v>126</v>
      </c>
      <c r="Q519" s="1" cm="1">
        <f t="array" ref="Q519">VALUE(INDEX(_xlfn.TEXTSPLIT(P519, " "), 4))</f>
        <v>2015</v>
      </c>
      <c r="R519" s="1" t="str">
        <f t="shared" si="8"/>
        <v>Mitsubishi Lancer Ralliart</v>
      </c>
      <c r="S519" s="1" t="str" cm="1">
        <f t="array" ref="S519">_xlfn.IFS(I519 &gt;= 40, "High", I519&gt;=20, "Medium", I519&lt;20, "Low")</f>
        <v>Medium</v>
      </c>
      <c r="T519" s="1" t="str" cm="1">
        <f t="array" ref="T519">_xlfn.IFS(O519&lt;18200, "Low", O519&lt;=50000, "Medium", O519&gt;50000, "High")</f>
        <v>Medium</v>
      </c>
    </row>
    <row r="520" spans="1:20" x14ac:dyDescent="0.25">
      <c r="A520" s="2">
        <v>2013</v>
      </c>
      <c r="B520" s="1" t="s">
        <v>318</v>
      </c>
      <c r="C520" s="1" t="s">
        <v>319</v>
      </c>
      <c r="D520" s="1" t="s">
        <v>320</v>
      </c>
      <c r="E520" s="1" t="s">
        <v>319</v>
      </c>
      <c r="F520" s="1" t="s">
        <v>214</v>
      </c>
      <c r="G520" s="1" t="s">
        <v>883</v>
      </c>
      <c r="H520" s="1" t="s">
        <v>22</v>
      </c>
      <c r="I520" s="1">
        <v>35</v>
      </c>
      <c r="J520" s="1">
        <v>19058</v>
      </c>
      <c r="K520" s="1" t="s">
        <v>24</v>
      </c>
      <c r="L520" s="1" t="s">
        <v>24</v>
      </c>
      <c r="M520" s="1" t="s">
        <v>322</v>
      </c>
      <c r="N520" s="1">
        <v>27300</v>
      </c>
      <c r="O520" s="12">
        <v>28750</v>
      </c>
      <c r="P520" s="3" t="s">
        <v>46</v>
      </c>
      <c r="Q520" s="1" cm="1">
        <f t="array" ref="Q520">VALUE(INDEX(_xlfn.TEXTSPLIT(P520, " "), 4))</f>
        <v>2014</v>
      </c>
      <c r="R520" s="1" t="str">
        <f t="shared" si="8"/>
        <v>Infiniti G Coupe G37 Sport</v>
      </c>
      <c r="S520" s="1" t="str" cm="1">
        <f t="array" ref="S520">_xlfn.IFS(I520 &gt;= 40, "High", I520&gt;=20, "Medium", I520&lt;20, "Low")</f>
        <v>Medium</v>
      </c>
      <c r="T520" s="1" t="str" cm="1">
        <f t="array" ref="T520">_xlfn.IFS(O520&lt;18200, "Low", O520&lt;=50000, "Medium", O520&gt;50000, "High")</f>
        <v>Medium</v>
      </c>
    </row>
    <row r="521" spans="1:20" x14ac:dyDescent="0.25">
      <c r="A521" s="2">
        <v>2013</v>
      </c>
      <c r="B521" s="1" t="s">
        <v>681</v>
      </c>
      <c r="C521" s="1" t="s">
        <v>682</v>
      </c>
      <c r="D521" s="1" t="s">
        <v>54</v>
      </c>
      <c r="E521" s="1" t="s">
        <v>227</v>
      </c>
      <c r="F521" s="1" t="s">
        <v>20</v>
      </c>
      <c r="G521" s="1" t="s">
        <v>884</v>
      </c>
      <c r="H521" s="1" t="s">
        <v>22</v>
      </c>
      <c r="I521" s="1">
        <v>38</v>
      </c>
      <c r="J521" s="1">
        <v>36764</v>
      </c>
      <c r="K521" s="1" t="s">
        <v>23</v>
      </c>
      <c r="L521" s="1" t="s">
        <v>24</v>
      </c>
      <c r="M521" s="1" t="s">
        <v>95</v>
      </c>
      <c r="N521" s="1">
        <v>13500</v>
      </c>
      <c r="O521" s="12">
        <v>14000</v>
      </c>
      <c r="P521" s="3" t="s">
        <v>57</v>
      </c>
      <c r="Q521" s="1" cm="1">
        <f t="array" ref="Q521">VALUE(INDEX(_xlfn.TEXTSPLIT(P521, " "), 4))</f>
        <v>2014</v>
      </c>
      <c r="R521" s="1" t="str">
        <f t="shared" si="8"/>
        <v>MINI Cooper Clubman Base</v>
      </c>
      <c r="S521" s="1" t="str" cm="1">
        <f t="array" ref="S521">_xlfn.IFS(I521 &gt;= 40, "High", I521&gt;=20, "Medium", I521&lt;20, "Low")</f>
        <v>Medium</v>
      </c>
      <c r="T521" s="1" t="str" cm="1">
        <f t="array" ref="T521">_xlfn.IFS(O521&lt;18200, "Low", O521&lt;=50000, "Medium", O521&gt;50000, "High")</f>
        <v>Low</v>
      </c>
    </row>
    <row r="522" spans="1:20" x14ac:dyDescent="0.25">
      <c r="A522" s="2">
        <v>2013</v>
      </c>
      <c r="B522" s="1" t="s">
        <v>608</v>
      </c>
      <c r="C522" s="1" t="s">
        <v>609</v>
      </c>
      <c r="D522" s="1" t="s">
        <v>610</v>
      </c>
      <c r="E522" s="1" t="s">
        <v>32</v>
      </c>
      <c r="F522" s="1" t="s">
        <v>20</v>
      </c>
      <c r="G522" s="1" t="s">
        <v>885</v>
      </c>
      <c r="H522" s="1" t="s">
        <v>22</v>
      </c>
      <c r="I522" s="1">
        <v>44</v>
      </c>
      <c r="J522" s="1">
        <v>10862</v>
      </c>
      <c r="K522" s="1" t="s">
        <v>24</v>
      </c>
      <c r="L522" s="1" t="s">
        <v>24</v>
      </c>
      <c r="M522" s="1" t="s">
        <v>153</v>
      </c>
      <c r="N522" s="1">
        <v>57200</v>
      </c>
      <c r="O522" s="12">
        <v>57250</v>
      </c>
      <c r="P522" s="3" t="s">
        <v>68</v>
      </c>
      <c r="Q522" s="1" cm="1">
        <f t="array" ref="Q522">VALUE(INDEX(_xlfn.TEXTSPLIT(P522, " "), 4))</f>
        <v>2014</v>
      </c>
      <c r="R522" s="1" t="str">
        <f t="shared" si="8"/>
        <v>Mercedes-Benz S-Class S550</v>
      </c>
      <c r="S522" s="1" t="str" cm="1">
        <f t="array" ref="S522">_xlfn.IFS(I522 &gt;= 40, "High", I522&gt;=20, "Medium", I522&lt;20, "Low")</f>
        <v>High</v>
      </c>
      <c r="T522" s="1" t="str" cm="1">
        <f t="array" ref="T522">_xlfn.IFS(O522&lt;18200, "Low", O522&lt;=50000, "Medium", O522&gt;50000, "High")</f>
        <v>High</v>
      </c>
    </row>
    <row r="523" spans="1:20" x14ac:dyDescent="0.25">
      <c r="A523" s="2">
        <v>2013</v>
      </c>
      <c r="B523" s="1" t="s">
        <v>632</v>
      </c>
      <c r="C523" s="1" t="s">
        <v>737</v>
      </c>
      <c r="D523" s="1" t="s">
        <v>368</v>
      </c>
      <c r="E523" s="1" t="s">
        <v>738</v>
      </c>
      <c r="F523" s="1" t="s">
        <v>20</v>
      </c>
      <c r="G523" s="1" t="s">
        <v>886</v>
      </c>
      <c r="H523" s="1" t="s">
        <v>22</v>
      </c>
      <c r="I523" s="1">
        <v>44</v>
      </c>
      <c r="J523" s="1">
        <v>14818</v>
      </c>
      <c r="K523" s="1" t="s">
        <v>24</v>
      </c>
      <c r="L523" s="1" t="s">
        <v>24</v>
      </c>
      <c r="M523" s="1" t="s">
        <v>555</v>
      </c>
      <c r="N523" s="1">
        <v>13850</v>
      </c>
      <c r="O523" s="12">
        <v>15000</v>
      </c>
      <c r="P523" s="3" t="s">
        <v>26</v>
      </c>
      <c r="Q523" s="1" cm="1">
        <f t="array" ref="Q523">VALUE(INDEX(_xlfn.TEXTSPLIT(P523, " "), 4))</f>
        <v>2014</v>
      </c>
      <c r="R523" s="1" t="str">
        <f t="shared" si="8"/>
        <v>Mazda Mazda5 Sport</v>
      </c>
      <c r="S523" s="1" t="str" cm="1">
        <f t="array" ref="S523">_xlfn.IFS(I523 &gt;= 40, "High", I523&gt;=20, "Medium", I523&lt;20, "Low")</f>
        <v>High</v>
      </c>
      <c r="T523" s="1" t="str" cm="1">
        <f t="array" ref="T523">_xlfn.IFS(O523&lt;18200, "Low", O523&lt;=50000, "Medium", O523&gt;50000, "High")</f>
        <v>Low</v>
      </c>
    </row>
    <row r="524" spans="1:20" x14ac:dyDescent="0.25">
      <c r="A524" s="2">
        <v>2013</v>
      </c>
      <c r="B524" s="1" t="s">
        <v>608</v>
      </c>
      <c r="C524" s="1" t="s">
        <v>620</v>
      </c>
      <c r="D524" s="1" t="s">
        <v>640</v>
      </c>
      <c r="E524" s="1" t="s">
        <v>32</v>
      </c>
      <c r="F524" s="1" t="s">
        <v>20</v>
      </c>
      <c r="G524" s="1" t="s">
        <v>887</v>
      </c>
      <c r="H524" s="1" t="s">
        <v>22</v>
      </c>
      <c r="I524" s="1">
        <v>43</v>
      </c>
      <c r="J524" s="1">
        <v>23941</v>
      </c>
      <c r="K524" s="1" t="s">
        <v>24</v>
      </c>
      <c r="L524" s="1" t="s">
        <v>34</v>
      </c>
      <c r="M524" s="1" t="s">
        <v>822</v>
      </c>
      <c r="N524" s="1">
        <v>22600</v>
      </c>
      <c r="O524" s="12">
        <v>21750</v>
      </c>
      <c r="P524" s="3" t="s">
        <v>26</v>
      </c>
      <c r="Q524" s="1" cm="1">
        <f t="array" ref="Q524">VALUE(INDEX(_xlfn.TEXTSPLIT(P524, " "), 4))</f>
        <v>2014</v>
      </c>
      <c r="R524" s="1" t="str">
        <f t="shared" si="8"/>
        <v>Mercedes-Benz C-Class C250 Sport</v>
      </c>
      <c r="S524" s="1" t="str" cm="1">
        <f t="array" ref="S524">_xlfn.IFS(I524 &gt;= 40, "High", I524&gt;=20, "Medium", I524&lt;20, "Low")</f>
        <v>High</v>
      </c>
      <c r="T524" s="1" t="str" cm="1">
        <f t="array" ref="T524">_xlfn.IFS(O524&lt;18200, "Low", O524&lt;=50000, "Medium", O524&gt;50000, "High")</f>
        <v>Medium</v>
      </c>
    </row>
    <row r="525" spans="1:20" x14ac:dyDescent="0.25">
      <c r="A525" s="2">
        <v>2013</v>
      </c>
      <c r="B525" s="1" t="s">
        <v>16</v>
      </c>
      <c r="C525" s="1" t="s">
        <v>80</v>
      </c>
      <c r="D525" s="1" t="s">
        <v>623</v>
      </c>
      <c r="E525" s="1" t="s">
        <v>32</v>
      </c>
      <c r="F525" s="1" t="s">
        <v>20</v>
      </c>
      <c r="G525" s="1" t="s">
        <v>888</v>
      </c>
      <c r="H525" s="1" t="s">
        <v>22</v>
      </c>
      <c r="I525" s="1">
        <v>36</v>
      </c>
      <c r="J525" s="1">
        <v>11238</v>
      </c>
      <c r="K525" s="1" t="s">
        <v>34</v>
      </c>
      <c r="L525" s="1" t="s">
        <v>24</v>
      </c>
      <c r="M525" s="1" t="s">
        <v>83</v>
      </c>
      <c r="N525" s="1">
        <v>22400</v>
      </c>
      <c r="O525" s="12">
        <v>23000</v>
      </c>
      <c r="P525" s="3" t="s">
        <v>84</v>
      </c>
      <c r="Q525" s="1" cm="1">
        <f t="array" ref="Q525">VALUE(INDEX(_xlfn.TEXTSPLIT(P525, " "), 4))</f>
        <v>2014</v>
      </c>
      <c r="R525" s="1" t="str">
        <f t="shared" si="8"/>
        <v>Kia Optima SX</v>
      </c>
      <c r="S525" s="1" t="str" cm="1">
        <f t="array" ref="S525">_xlfn.IFS(I525 &gt;= 40, "High", I525&gt;=20, "Medium", I525&lt;20, "Low")</f>
        <v>Medium</v>
      </c>
      <c r="T525" s="1" t="str" cm="1">
        <f t="array" ref="T525">_xlfn.IFS(O525&lt;18200, "Low", O525&lt;=50000, "Medium", O525&gt;50000, "High")</f>
        <v>Medium</v>
      </c>
    </row>
    <row r="526" spans="1:20" x14ac:dyDescent="0.25">
      <c r="A526" s="2">
        <v>2013</v>
      </c>
      <c r="B526" s="1" t="s">
        <v>47</v>
      </c>
      <c r="C526" s="1" t="s">
        <v>48</v>
      </c>
      <c r="D526" s="1">
        <v>2.5</v>
      </c>
      <c r="E526" s="1" t="s">
        <v>32</v>
      </c>
      <c r="F526" s="1" t="s">
        <v>20</v>
      </c>
      <c r="G526" s="1" t="s">
        <v>889</v>
      </c>
      <c r="H526" s="1" t="s">
        <v>22</v>
      </c>
      <c r="I526" s="1">
        <v>38</v>
      </c>
      <c r="J526" s="1">
        <v>38444</v>
      </c>
      <c r="K526" s="1" t="s">
        <v>34</v>
      </c>
      <c r="L526" s="1" t="s">
        <v>24</v>
      </c>
      <c r="M526" s="1" t="s">
        <v>95</v>
      </c>
      <c r="N526" s="1">
        <v>12850</v>
      </c>
      <c r="O526" s="12">
        <v>13500</v>
      </c>
      <c r="P526" s="3" t="s">
        <v>57</v>
      </c>
      <c r="Q526" s="1" cm="1">
        <f t="array" ref="Q526">VALUE(INDEX(_xlfn.TEXTSPLIT(P526, " "), 4))</f>
        <v>2014</v>
      </c>
      <c r="R526" s="1" t="str">
        <f t="shared" si="8"/>
        <v>Nissan Altima 2.5</v>
      </c>
      <c r="S526" s="1" t="str" cm="1">
        <f t="array" ref="S526">_xlfn.IFS(I526 &gt;= 40, "High", I526&gt;=20, "Medium", I526&lt;20, "Low")</f>
        <v>Medium</v>
      </c>
      <c r="T526" s="1" t="str" cm="1">
        <f t="array" ref="T526">_xlfn.IFS(O526&lt;18200, "Low", O526&lt;=50000, "Medium", O526&gt;50000, "High")</f>
        <v>Low</v>
      </c>
    </row>
    <row r="527" spans="1:20" x14ac:dyDescent="0.25">
      <c r="A527" s="2">
        <v>2013</v>
      </c>
      <c r="B527" s="1" t="s">
        <v>318</v>
      </c>
      <c r="C527" s="1" t="s">
        <v>648</v>
      </c>
      <c r="D527" s="1" t="s">
        <v>649</v>
      </c>
      <c r="E527" s="1" t="s">
        <v>32</v>
      </c>
      <c r="F527" s="1" t="s">
        <v>20</v>
      </c>
      <c r="G527" s="1" t="s">
        <v>890</v>
      </c>
      <c r="H527" s="1" t="s">
        <v>22</v>
      </c>
      <c r="I527" s="1">
        <v>43</v>
      </c>
      <c r="J527" s="1">
        <v>9810</v>
      </c>
      <c r="K527" s="1" t="s">
        <v>91</v>
      </c>
      <c r="L527" s="1" t="s">
        <v>24</v>
      </c>
      <c r="M527" s="1" t="s">
        <v>651</v>
      </c>
      <c r="N527" s="1">
        <v>34600</v>
      </c>
      <c r="O527" s="12">
        <v>30000</v>
      </c>
      <c r="P527" s="3" t="s">
        <v>46</v>
      </c>
      <c r="Q527" s="1" cm="1">
        <f t="array" ref="Q527">VALUE(INDEX(_xlfn.TEXTSPLIT(P527, " "), 4))</f>
        <v>2014</v>
      </c>
      <c r="R527" s="1" t="str">
        <f t="shared" si="8"/>
        <v>Infiniti M M37</v>
      </c>
      <c r="S527" s="1" t="str" cm="1">
        <f t="array" ref="S527">_xlfn.IFS(I527 &gt;= 40, "High", I527&gt;=20, "Medium", I527&lt;20, "Low")</f>
        <v>High</v>
      </c>
      <c r="T527" s="1" t="str" cm="1">
        <f t="array" ref="T527">_xlfn.IFS(O527&lt;18200, "Low", O527&lt;=50000, "Medium", O527&gt;50000, "High")</f>
        <v>Medium</v>
      </c>
    </row>
    <row r="528" spans="1:20" x14ac:dyDescent="0.25">
      <c r="A528" s="2">
        <v>2013</v>
      </c>
      <c r="B528" s="1" t="s">
        <v>47</v>
      </c>
      <c r="C528" s="1" t="s">
        <v>48</v>
      </c>
      <c r="D528" s="1">
        <v>2.5</v>
      </c>
      <c r="E528" s="1" t="s">
        <v>32</v>
      </c>
      <c r="F528" s="1" t="s">
        <v>20</v>
      </c>
      <c r="G528" s="1" t="s">
        <v>891</v>
      </c>
      <c r="H528" s="1" t="s">
        <v>22</v>
      </c>
      <c r="I528" s="1">
        <v>41</v>
      </c>
      <c r="J528" s="1">
        <v>21968</v>
      </c>
      <c r="K528" s="1" t="s">
        <v>23</v>
      </c>
      <c r="L528" s="1" t="s">
        <v>28</v>
      </c>
      <c r="M528" s="1" t="s">
        <v>892</v>
      </c>
      <c r="N528" s="1">
        <v>13650</v>
      </c>
      <c r="O528" s="12">
        <v>13750</v>
      </c>
      <c r="P528" s="3" t="s">
        <v>26</v>
      </c>
      <c r="Q528" s="1" cm="1">
        <f t="array" ref="Q528">VALUE(INDEX(_xlfn.TEXTSPLIT(P528, " "), 4))</f>
        <v>2014</v>
      </c>
      <c r="R528" s="1" t="str">
        <f t="shared" si="8"/>
        <v>Nissan Altima 2.5</v>
      </c>
      <c r="S528" s="1" t="str" cm="1">
        <f t="array" ref="S528">_xlfn.IFS(I528 &gt;= 40, "High", I528&gt;=20, "Medium", I528&lt;20, "Low")</f>
        <v>High</v>
      </c>
      <c r="T528" s="1" t="str" cm="1">
        <f t="array" ref="T528">_xlfn.IFS(O528&lt;18200, "Low", O528&lt;=50000, "Medium", O528&gt;50000, "High")</f>
        <v>Low</v>
      </c>
    </row>
    <row r="529" spans="1:20" x14ac:dyDescent="0.25">
      <c r="A529" s="2">
        <v>2013</v>
      </c>
      <c r="B529" s="1" t="s">
        <v>608</v>
      </c>
      <c r="C529" s="1" t="s">
        <v>620</v>
      </c>
      <c r="D529" s="1" t="s">
        <v>893</v>
      </c>
      <c r="E529" s="1" t="s">
        <v>107</v>
      </c>
      <c r="F529" s="1" t="s">
        <v>20</v>
      </c>
      <c r="G529" s="1" t="s">
        <v>894</v>
      </c>
      <c r="H529" s="1" t="s">
        <v>22</v>
      </c>
      <c r="I529" s="1">
        <v>25</v>
      </c>
      <c r="J529" s="1">
        <v>10972</v>
      </c>
      <c r="K529" s="1" t="s">
        <v>101</v>
      </c>
      <c r="L529" s="1" t="s">
        <v>24</v>
      </c>
      <c r="M529" s="1" t="s">
        <v>676</v>
      </c>
      <c r="N529" s="1">
        <v>46700</v>
      </c>
      <c r="O529" s="12">
        <v>36500</v>
      </c>
      <c r="P529" s="3" t="s">
        <v>895</v>
      </c>
      <c r="Q529" s="1" cm="1">
        <f t="array" ref="Q529">VALUE(INDEX(_xlfn.TEXTSPLIT(P529, " "), 4))</f>
        <v>2015</v>
      </c>
      <c r="R529" s="1" t="str">
        <f t="shared" si="8"/>
        <v>Mercedes-Benz C-Class C63 AMG</v>
      </c>
      <c r="S529" s="1" t="str" cm="1">
        <f t="array" ref="S529">_xlfn.IFS(I529 &gt;= 40, "High", I529&gt;=20, "Medium", I529&lt;20, "Low")</f>
        <v>Medium</v>
      </c>
      <c r="T529" s="1" t="str" cm="1">
        <f t="array" ref="T529">_xlfn.IFS(O529&lt;18200, "Low", O529&lt;=50000, "Medium", O529&gt;50000, "High")</f>
        <v>Medium</v>
      </c>
    </row>
    <row r="530" spans="1:20" x14ac:dyDescent="0.25">
      <c r="A530" s="2">
        <v>2013</v>
      </c>
      <c r="B530" s="1" t="s">
        <v>16</v>
      </c>
      <c r="C530" s="1" t="s">
        <v>694</v>
      </c>
      <c r="D530" s="1" t="s">
        <v>735</v>
      </c>
      <c r="E530" s="1" t="s">
        <v>32</v>
      </c>
      <c r="F530" s="1" t="s">
        <v>20</v>
      </c>
      <c r="G530" s="1" t="s">
        <v>896</v>
      </c>
      <c r="H530" s="1" t="s">
        <v>22</v>
      </c>
      <c r="I530" s="1">
        <v>37</v>
      </c>
      <c r="J530" s="1">
        <v>33980</v>
      </c>
      <c r="K530" s="1" t="s">
        <v>34</v>
      </c>
      <c r="L530" s="1" t="s">
        <v>34</v>
      </c>
      <c r="M530" s="1" t="s">
        <v>83</v>
      </c>
      <c r="N530" s="1">
        <v>10200</v>
      </c>
      <c r="O530" s="12">
        <v>10400</v>
      </c>
      <c r="P530" s="3" t="s">
        <v>84</v>
      </c>
      <c r="Q530" s="1" cm="1">
        <f t="array" ref="Q530">VALUE(INDEX(_xlfn.TEXTSPLIT(P530, " "), 4))</f>
        <v>2014</v>
      </c>
      <c r="R530" s="1" t="str">
        <f t="shared" si="8"/>
        <v>Kia Forte EX</v>
      </c>
      <c r="S530" s="1" t="str" cm="1">
        <f t="array" ref="S530">_xlfn.IFS(I530 &gt;= 40, "High", I530&gt;=20, "Medium", I530&lt;20, "Low")</f>
        <v>Medium</v>
      </c>
      <c r="T530" s="1" t="str" cm="1">
        <f t="array" ref="T530">_xlfn.IFS(O530&lt;18200, "Low", O530&lt;=50000, "Medium", O530&gt;50000, "High")</f>
        <v>Low</v>
      </c>
    </row>
    <row r="531" spans="1:20" x14ac:dyDescent="0.25">
      <c r="A531" s="2">
        <v>2013</v>
      </c>
      <c r="B531" s="1" t="s">
        <v>16</v>
      </c>
      <c r="C531" s="1" t="s">
        <v>637</v>
      </c>
      <c r="D531" s="1" t="s">
        <v>18</v>
      </c>
      <c r="E531" s="1" t="s">
        <v>32</v>
      </c>
      <c r="F531" s="1" t="s">
        <v>20</v>
      </c>
      <c r="G531" s="1" t="s">
        <v>897</v>
      </c>
      <c r="H531" s="1" t="s">
        <v>22</v>
      </c>
      <c r="I531" s="1">
        <v>3</v>
      </c>
      <c r="J531" s="1">
        <v>37213</v>
      </c>
      <c r="K531" s="1" t="s">
        <v>73</v>
      </c>
      <c r="L531" s="1" t="s">
        <v>34</v>
      </c>
      <c r="M531" s="1" t="s">
        <v>495</v>
      </c>
      <c r="N531" s="1">
        <v>8725</v>
      </c>
      <c r="O531" s="12">
        <v>9500</v>
      </c>
      <c r="P531" s="3" t="s">
        <v>57</v>
      </c>
      <c r="Q531" s="1" cm="1">
        <f t="array" ref="Q531">VALUE(INDEX(_xlfn.TEXTSPLIT(P531, " "), 4))</f>
        <v>2014</v>
      </c>
      <c r="R531" s="1" t="str">
        <f t="shared" si="8"/>
        <v>Kia Rio LX</v>
      </c>
      <c r="S531" s="1" t="str" cm="1">
        <f t="array" ref="S531">_xlfn.IFS(I531 &gt;= 40, "High", I531&gt;=20, "Medium", I531&lt;20, "Low")</f>
        <v>Low</v>
      </c>
      <c r="T531" s="1" t="str" cm="1">
        <f t="array" ref="T531">_xlfn.IFS(O531&lt;18200, "Low", O531&lt;=50000, "Medium", O531&gt;50000, "High")</f>
        <v>Low</v>
      </c>
    </row>
    <row r="532" spans="1:20" x14ac:dyDescent="0.25">
      <c r="A532" s="2">
        <v>2013</v>
      </c>
      <c r="B532" s="1" t="s">
        <v>318</v>
      </c>
      <c r="C532" s="1" t="s">
        <v>323</v>
      </c>
      <c r="D532" s="1" t="s">
        <v>718</v>
      </c>
      <c r="E532" s="1" t="s">
        <v>323</v>
      </c>
      <c r="F532" s="1" t="s">
        <v>20</v>
      </c>
      <c r="G532" s="1" t="s">
        <v>898</v>
      </c>
      <c r="H532" s="1" t="s">
        <v>22</v>
      </c>
      <c r="I532" s="1">
        <v>33</v>
      </c>
      <c r="J532" s="1">
        <v>38131</v>
      </c>
      <c r="K532" s="1" t="s">
        <v>101</v>
      </c>
      <c r="L532" s="1" t="s">
        <v>24</v>
      </c>
      <c r="M532" s="1" t="s">
        <v>56</v>
      </c>
      <c r="N532" s="1">
        <v>21600</v>
      </c>
      <c r="O532" s="12">
        <v>20000</v>
      </c>
      <c r="P532" s="3" t="s">
        <v>46</v>
      </c>
      <c r="Q532" s="1" cm="1">
        <f t="array" ref="Q532">VALUE(INDEX(_xlfn.TEXTSPLIT(P532, " "), 4))</f>
        <v>2014</v>
      </c>
      <c r="R532" s="1" t="str">
        <f t="shared" si="8"/>
        <v>Infiniti G Sedan G37x</v>
      </c>
      <c r="S532" s="1" t="str" cm="1">
        <f t="array" ref="S532">_xlfn.IFS(I532 &gt;= 40, "High", I532&gt;=20, "Medium", I532&lt;20, "Low")</f>
        <v>Medium</v>
      </c>
      <c r="T532" s="1" t="str" cm="1">
        <f t="array" ref="T532">_xlfn.IFS(O532&lt;18200, "Low", O532&lt;=50000, "Medium", O532&gt;50000, "High")</f>
        <v>Medium</v>
      </c>
    </row>
    <row r="533" spans="1:20" x14ac:dyDescent="0.25">
      <c r="A533" s="2">
        <v>2013</v>
      </c>
      <c r="B533" s="1" t="s">
        <v>16</v>
      </c>
      <c r="C533" s="1" t="s">
        <v>80</v>
      </c>
      <c r="D533" s="1" t="s">
        <v>623</v>
      </c>
      <c r="E533" s="1" t="s">
        <v>32</v>
      </c>
      <c r="F533" s="1" t="s">
        <v>20</v>
      </c>
      <c r="G533" s="1" t="s">
        <v>899</v>
      </c>
      <c r="H533" s="1" t="s">
        <v>22</v>
      </c>
      <c r="I533" s="1">
        <v>23</v>
      </c>
      <c r="J533" s="1">
        <v>38247</v>
      </c>
      <c r="K533" s="1" t="s">
        <v>73</v>
      </c>
      <c r="L533" s="1" t="s">
        <v>24</v>
      </c>
      <c r="M533" s="1" t="s">
        <v>83</v>
      </c>
      <c r="N533" s="1">
        <v>19850</v>
      </c>
      <c r="O533" s="12">
        <v>17000</v>
      </c>
      <c r="P533" s="3" t="s">
        <v>593</v>
      </c>
      <c r="Q533" s="1" cm="1">
        <f t="array" ref="Q533">VALUE(INDEX(_xlfn.TEXTSPLIT(P533, " "), 4))</f>
        <v>2015</v>
      </c>
      <c r="R533" s="1" t="str">
        <f t="shared" si="8"/>
        <v>Kia Optima SX</v>
      </c>
      <c r="S533" s="1" t="str" cm="1">
        <f t="array" ref="S533">_xlfn.IFS(I533 &gt;= 40, "High", I533&gt;=20, "Medium", I533&lt;20, "Low")</f>
        <v>Medium</v>
      </c>
      <c r="T533" s="1" t="str" cm="1">
        <f t="array" ref="T533">_xlfn.IFS(O533&lt;18200, "Low", O533&lt;=50000, "Medium", O533&gt;50000, "High")</f>
        <v>Low</v>
      </c>
    </row>
    <row r="534" spans="1:20" x14ac:dyDescent="0.25">
      <c r="A534" s="2">
        <v>2013</v>
      </c>
      <c r="B534" s="1" t="s">
        <v>730</v>
      </c>
      <c r="C534" s="1" t="s">
        <v>900</v>
      </c>
      <c r="D534" s="1" t="s">
        <v>901</v>
      </c>
      <c r="E534" s="1" t="s">
        <v>19</v>
      </c>
      <c r="F534" s="1" t="s">
        <v>20</v>
      </c>
      <c r="G534" s="1" t="s">
        <v>902</v>
      </c>
      <c r="H534" s="1" t="s">
        <v>22</v>
      </c>
      <c r="I534" s="1">
        <v>37</v>
      </c>
      <c r="J534" s="1">
        <v>26757</v>
      </c>
      <c r="K534" s="1" t="s">
        <v>24</v>
      </c>
      <c r="L534" s="1" t="s">
        <v>34</v>
      </c>
      <c r="M534" s="1" t="s">
        <v>555</v>
      </c>
      <c r="N534" s="1">
        <v>61000</v>
      </c>
      <c r="O534" s="12">
        <v>60000</v>
      </c>
      <c r="P534" s="3" t="s">
        <v>46</v>
      </c>
      <c r="Q534" s="1" cm="1">
        <f t="array" ref="Q534">VALUE(INDEX(_xlfn.TEXTSPLIT(P534, " "), 4))</f>
        <v>2014</v>
      </c>
      <c r="R534" s="1" t="str">
        <f t="shared" si="8"/>
        <v>Land Rover Range Rover Sport Supercharged Limited Edition</v>
      </c>
      <c r="S534" s="1" t="str" cm="1">
        <f t="array" ref="S534">_xlfn.IFS(I534 &gt;= 40, "High", I534&gt;=20, "Medium", I534&lt;20, "Low")</f>
        <v>Medium</v>
      </c>
      <c r="T534" s="1" t="str" cm="1">
        <f t="array" ref="T534">_xlfn.IFS(O534&lt;18200, "Low", O534&lt;=50000, "Medium", O534&gt;50000, "High")</f>
        <v>High</v>
      </c>
    </row>
    <row r="535" spans="1:20" x14ac:dyDescent="0.25">
      <c r="A535" s="2">
        <v>2013</v>
      </c>
      <c r="B535" s="1" t="s">
        <v>202</v>
      </c>
      <c r="C535" s="1" t="s">
        <v>670</v>
      </c>
      <c r="D535" s="1" t="s">
        <v>54</v>
      </c>
      <c r="E535" s="1" t="s">
        <v>32</v>
      </c>
      <c r="F535" s="1" t="s">
        <v>20</v>
      </c>
      <c r="G535" s="1" t="s">
        <v>903</v>
      </c>
      <c r="H535" s="1" t="s">
        <v>22</v>
      </c>
      <c r="I535" s="1">
        <v>36</v>
      </c>
      <c r="J535" s="1">
        <v>20880</v>
      </c>
      <c r="K535" s="1" t="s">
        <v>34</v>
      </c>
      <c r="L535" s="1" t="s">
        <v>28</v>
      </c>
      <c r="M535" s="1" t="s">
        <v>142</v>
      </c>
      <c r="N535" s="1">
        <v>29400</v>
      </c>
      <c r="O535" s="12">
        <v>29300</v>
      </c>
      <c r="P535" s="3" t="s">
        <v>26</v>
      </c>
      <c r="Q535" s="1" cm="1">
        <f t="array" ref="Q535">VALUE(INDEX(_xlfn.TEXTSPLIT(P535, " "), 4))</f>
        <v>2014</v>
      </c>
      <c r="R535" s="1" t="str">
        <f t="shared" si="8"/>
        <v>Lexus ES 350 Base</v>
      </c>
      <c r="S535" s="1" t="str" cm="1">
        <f t="array" ref="S535">_xlfn.IFS(I535 &gt;= 40, "High", I535&gt;=20, "Medium", I535&lt;20, "Low")</f>
        <v>Medium</v>
      </c>
      <c r="T535" s="1" t="str" cm="1">
        <f t="array" ref="T535">_xlfn.IFS(O535&lt;18200, "Low", O535&lt;=50000, "Medium", O535&gt;50000, "High")</f>
        <v>Medium</v>
      </c>
    </row>
    <row r="536" spans="1:20" x14ac:dyDescent="0.25">
      <c r="A536" s="2">
        <v>2013</v>
      </c>
      <c r="B536" s="1" t="s">
        <v>608</v>
      </c>
      <c r="C536" s="1" t="s">
        <v>673</v>
      </c>
      <c r="D536" s="1" t="s">
        <v>674</v>
      </c>
      <c r="E536" s="1" t="s">
        <v>32</v>
      </c>
      <c r="F536" s="1" t="s">
        <v>20</v>
      </c>
      <c r="G536" s="1" t="s">
        <v>904</v>
      </c>
      <c r="H536" s="1" t="s">
        <v>22</v>
      </c>
      <c r="I536" s="1">
        <v>47</v>
      </c>
      <c r="J536" s="1">
        <v>31064</v>
      </c>
      <c r="K536" s="1" t="s">
        <v>34</v>
      </c>
      <c r="L536" s="1" t="s">
        <v>24</v>
      </c>
      <c r="M536" s="1" t="s">
        <v>612</v>
      </c>
      <c r="N536" s="1">
        <v>31000</v>
      </c>
      <c r="O536" s="12">
        <v>30750</v>
      </c>
      <c r="P536" s="3" t="s">
        <v>46</v>
      </c>
      <c r="Q536" s="1" cm="1">
        <f t="array" ref="Q536">VALUE(INDEX(_xlfn.TEXTSPLIT(P536, " "), 4))</f>
        <v>2014</v>
      </c>
      <c r="R536" s="1" t="str">
        <f t="shared" si="8"/>
        <v>Mercedes-Benz E-Class E350 Sport</v>
      </c>
      <c r="S536" s="1" t="str" cm="1">
        <f t="array" ref="S536">_xlfn.IFS(I536 &gt;= 40, "High", I536&gt;=20, "Medium", I536&lt;20, "Low")</f>
        <v>High</v>
      </c>
      <c r="T536" s="1" t="str" cm="1">
        <f t="array" ref="T536">_xlfn.IFS(O536&lt;18200, "Low", O536&lt;=50000, "Medium", O536&gt;50000, "High")</f>
        <v>Medium</v>
      </c>
    </row>
    <row r="537" spans="1:20" x14ac:dyDescent="0.25">
      <c r="A537" s="2">
        <v>2013</v>
      </c>
      <c r="B537" s="1" t="s">
        <v>608</v>
      </c>
      <c r="C537" s="1" t="s">
        <v>673</v>
      </c>
      <c r="D537" s="1" t="s">
        <v>905</v>
      </c>
      <c r="E537" s="1" t="s">
        <v>107</v>
      </c>
      <c r="F537" s="1" t="s">
        <v>20</v>
      </c>
      <c r="G537" s="1" t="s">
        <v>906</v>
      </c>
      <c r="H537" s="1" t="s">
        <v>22</v>
      </c>
      <c r="I537" s="1">
        <v>45</v>
      </c>
      <c r="J537" s="1">
        <v>19538</v>
      </c>
      <c r="K537" s="1" t="s">
        <v>23</v>
      </c>
      <c r="L537" s="1" t="s">
        <v>34</v>
      </c>
      <c r="M537" s="1" t="s">
        <v>612</v>
      </c>
      <c r="N537" s="1">
        <v>33200</v>
      </c>
      <c r="O537" s="12">
        <v>32250</v>
      </c>
      <c r="P537" s="3" t="s">
        <v>46</v>
      </c>
      <c r="Q537" s="1" cm="1">
        <f t="array" ref="Q537">VALUE(INDEX(_xlfn.TEXTSPLIT(P537, " "), 4))</f>
        <v>2014</v>
      </c>
      <c r="R537" s="1" t="str">
        <f t="shared" si="8"/>
        <v>Mercedes-Benz E-Class E350</v>
      </c>
      <c r="S537" s="1" t="str" cm="1">
        <f t="array" ref="S537">_xlfn.IFS(I537 &gt;= 40, "High", I537&gt;=20, "Medium", I537&lt;20, "Low")</f>
        <v>High</v>
      </c>
      <c r="T537" s="1" t="str" cm="1">
        <f t="array" ref="T537">_xlfn.IFS(O537&lt;18200, "Low", O537&lt;=50000, "Medium", O537&gt;50000, "High")</f>
        <v>Medium</v>
      </c>
    </row>
    <row r="538" spans="1:20" x14ac:dyDescent="0.25">
      <c r="A538" s="2">
        <v>2013</v>
      </c>
      <c r="B538" s="1" t="s">
        <v>202</v>
      </c>
      <c r="C538" s="1" t="s">
        <v>614</v>
      </c>
      <c r="D538" s="1" t="s">
        <v>54</v>
      </c>
      <c r="E538" s="1" t="s">
        <v>32</v>
      </c>
      <c r="F538" s="1" t="s">
        <v>20</v>
      </c>
      <c r="G538" s="1" t="s">
        <v>907</v>
      </c>
      <c r="H538" s="1" t="s">
        <v>22</v>
      </c>
      <c r="I538" s="1">
        <v>38</v>
      </c>
      <c r="J538" s="1">
        <v>42813</v>
      </c>
      <c r="K538" s="1" t="s">
        <v>24</v>
      </c>
      <c r="L538" s="1" t="s">
        <v>34</v>
      </c>
      <c r="M538" s="1" t="s">
        <v>908</v>
      </c>
      <c r="N538" s="1">
        <v>31900</v>
      </c>
      <c r="O538" s="12">
        <v>31000</v>
      </c>
      <c r="P538" s="3" t="s">
        <v>46</v>
      </c>
      <c r="Q538" s="1" cm="1">
        <f t="array" ref="Q538">VALUE(INDEX(_xlfn.TEXTSPLIT(P538, " "), 4))</f>
        <v>2014</v>
      </c>
      <c r="R538" s="1" t="str">
        <f t="shared" si="8"/>
        <v>Lexus GS 350 Base</v>
      </c>
      <c r="S538" s="1" t="str" cm="1">
        <f t="array" ref="S538">_xlfn.IFS(I538 &gt;= 40, "High", I538&gt;=20, "Medium", I538&lt;20, "Low")</f>
        <v>Medium</v>
      </c>
      <c r="T538" s="1" t="str" cm="1">
        <f t="array" ref="T538">_xlfn.IFS(O538&lt;18200, "Low", O538&lt;=50000, "Medium", O538&gt;50000, "High")</f>
        <v>Medium</v>
      </c>
    </row>
    <row r="539" spans="1:20" x14ac:dyDescent="0.25">
      <c r="A539" s="2">
        <v>2013</v>
      </c>
      <c r="B539" s="1" t="s">
        <v>318</v>
      </c>
      <c r="C539" s="1" t="s">
        <v>648</v>
      </c>
      <c r="D539" s="1" t="s">
        <v>649</v>
      </c>
      <c r="E539" s="1" t="s">
        <v>32</v>
      </c>
      <c r="F539" s="1" t="s">
        <v>20</v>
      </c>
      <c r="G539" s="1" t="s">
        <v>909</v>
      </c>
      <c r="H539" s="1" t="s">
        <v>22</v>
      </c>
      <c r="I539" s="1">
        <v>45</v>
      </c>
      <c r="J539" s="1">
        <v>8691</v>
      </c>
      <c r="K539" s="1" t="s">
        <v>24</v>
      </c>
      <c r="L539" s="1" t="s">
        <v>24</v>
      </c>
      <c r="M539" s="1" t="s">
        <v>651</v>
      </c>
      <c r="N539" s="1">
        <v>34800</v>
      </c>
      <c r="O539" s="12">
        <v>33500</v>
      </c>
      <c r="P539" s="3" t="s">
        <v>46</v>
      </c>
      <c r="Q539" s="1" cm="1">
        <f t="array" ref="Q539">VALUE(INDEX(_xlfn.TEXTSPLIT(P539, " "), 4))</f>
        <v>2014</v>
      </c>
      <c r="R539" s="1" t="str">
        <f t="shared" si="8"/>
        <v>Infiniti M M37</v>
      </c>
      <c r="S539" s="1" t="str" cm="1">
        <f t="array" ref="S539">_xlfn.IFS(I539 &gt;= 40, "High", I539&gt;=20, "Medium", I539&lt;20, "Low")</f>
        <v>High</v>
      </c>
      <c r="T539" s="1" t="str" cm="1">
        <f t="array" ref="T539">_xlfn.IFS(O539&lt;18200, "Low", O539&lt;=50000, "Medium", O539&gt;50000, "High")</f>
        <v>Medium</v>
      </c>
    </row>
    <row r="540" spans="1:20" x14ac:dyDescent="0.25">
      <c r="A540" s="2">
        <v>2013</v>
      </c>
      <c r="B540" s="1" t="s">
        <v>16</v>
      </c>
      <c r="C540" s="1" t="s">
        <v>80</v>
      </c>
      <c r="D540" s="1" t="s">
        <v>623</v>
      </c>
      <c r="E540" s="1" t="s">
        <v>32</v>
      </c>
      <c r="F540" s="1" t="s">
        <v>20</v>
      </c>
      <c r="G540" s="1" t="s">
        <v>910</v>
      </c>
      <c r="H540" s="1" t="s">
        <v>22</v>
      </c>
      <c r="I540" s="1">
        <v>36</v>
      </c>
      <c r="J540" s="1">
        <v>30333</v>
      </c>
      <c r="K540" s="1" t="s">
        <v>24</v>
      </c>
      <c r="L540" s="1" t="s">
        <v>24</v>
      </c>
      <c r="M540" s="1" t="s">
        <v>83</v>
      </c>
      <c r="N540" s="1">
        <v>20600</v>
      </c>
      <c r="O540" s="12">
        <v>19900</v>
      </c>
      <c r="P540" s="3" t="s">
        <v>210</v>
      </c>
      <c r="Q540" s="1" cm="1">
        <f t="array" ref="Q540">VALUE(INDEX(_xlfn.TEXTSPLIT(P540, " "), 4))</f>
        <v>2015</v>
      </c>
      <c r="R540" s="1" t="str">
        <f t="shared" si="8"/>
        <v>Kia Optima SX</v>
      </c>
      <c r="S540" s="1" t="str" cm="1">
        <f t="array" ref="S540">_xlfn.IFS(I540 &gt;= 40, "High", I540&gt;=20, "Medium", I540&lt;20, "Low")</f>
        <v>Medium</v>
      </c>
      <c r="T540" s="1" t="str" cm="1">
        <f t="array" ref="T540">_xlfn.IFS(O540&lt;18200, "Low", O540&lt;=50000, "Medium", O540&gt;50000, "High")</f>
        <v>Medium</v>
      </c>
    </row>
    <row r="541" spans="1:20" x14ac:dyDescent="0.25">
      <c r="A541" s="2">
        <v>2013</v>
      </c>
      <c r="B541" s="1" t="s">
        <v>616</v>
      </c>
      <c r="C541" s="1" t="s">
        <v>617</v>
      </c>
      <c r="D541" s="1" t="s">
        <v>87</v>
      </c>
      <c r="E541" s="1" t="s">
        <v>19</v>
      </c>
      <c r="F541" s="1" t="s">
        <v>20</v>
      </c>
      <c r="G541" s="1" t="s">
        <v>911</v>
      </c>
      <c r="H541" s="1" t="s">
        <v>22</v>
      </c>
      <c r="I541" s="1">
        <v>41</v>
      </c>
      <c r="J541" s="1">
        <v>40498</v>
      </c>
      <c r="K541" s="1" t="s">
        <v>132</v>
      </c>
      <c r="L541" s="1" t="s">
        <v>24</v>
      </c>
      <c r="M541" s="1" t="s">
        <v>182</v>
      </c>
      <c r="N541" s="1">
        <v>14200</v>
      </c>
      <c r="O541" s="12">
        <v>14600</v>
      </c>
      <c r="P541" s="3" t="s">
        <v>270</v>
      </c>
      <c r="Q541" s="1" cm="1">
        <f t="array" ref="Q541">VALUE(INDEX(_xlfn.TEXTSPLIT(P541, " "), 4))</f>
        <v>2014</v>
      </c>
      <c r="R541" s="1" t="str">
        <f t="shared" si="8"/>
        <v>Mitsubishi Outlander SE</v>
      </c>
      <c r="S541" s="1" t="str" cm="1">
        <f t="array" ref="S541">_xlfn.IFS(I541 &gt;= 40, "High", I541&gt;=20, "Medium", I541&lt;20, "Low")</f>
        <v>High</v>
      </c>
      <c r="T541" s="1" t="str" cm="1">
        <f t="array" ref="T541">_xlfn.IFS(O541&lt;18200, "Low", O541&lt;=50000, "Medium", O541&gt;50000, "High")</f>
        <v>Low</v>
      </c>
    </row>
    <row r="542" spans="1:20" x14ac:dyDescent="0.25">
      <c r="A542" s="2">
        <v>2013</v>
      </c>
      <c r="B542" s="1" t="s">
        <v>616</v>
      </c>
      <c r="C542" s="1" t="s">
        <v>880</v>
      </c>
      <c r="D542" s="1" t="s">
        <v>912</v>
      </c>
      <c r="E542" s="1" t="s">
        <v>32</v>
      </c>
      <c r="F542" s="1" t="s">
        <v>20</v>
      </c>
      <c r="G542" s="1" t="s">
        <v>913</v>
      </c>
      <c r="H542" s="1" t="s">
        <v>22</v>
      </c>
      <c r="I542" s="1">
        <v>28</v>
      </c>
      <c r="J542" s="1">
        <v>38311</v>
      </c>
      <c r="K542" s="1" t="s">
        <v>73</v>
      </c>
      <c r="L542" s="1" t="s">
        <v>24</v>
      </c>
      <c r="M542" s="1" t="s">
        <v>182</v>
      </c>
      <c r="N542" s="1">
        <v>9900</v>
      </c>
      <c r="O542" s="12">
        <v>10100</v>
      </c>
      <c r="P542" s="3" t="s">
        <v>270</v>
      </c>
      <c r="Q542" s="1" cm="1">
        <f t="array" ref="Q542">VALUE(INDEX(_xlfn.TEXTSPLIT(P542, " "), 4))</f>
        <v>2014</v>
      </c>
      <c r="R542" s="1" t="str">
        <f t="shared" si="8"/>
        <v>Mitsubishi Lancer ES</v>
      </c>
      <c r="S542" s="1" t="str" cm="1">
        <f t="array" ref="S542">_xlfn.IFS(I542 &gt;= 40, "High", I542&gt;=20, "Medium", I542&lt;20, "Low")</f>
        <v>Medium</v>
      </c>
      <c r="T542" s="1" t="str" cm="1">
        <f t="array" ref="T542">_xlfn.IFS(O542&lt;18200, "Low", O542&lt;=50000, "Medium", O542&gt;50000, "High")</f>
        <v>Low</v>
      </c>
    </row>
    <row r="543" spans="1:20" x14ac:dyDescent="0.25">
      <c r="A543" s="2">
        <v>2013</v>
      </c>
      <c r="B543" s="1" t="s">
        <v>318</v>
      </c>
      <c r="C543" s="1" t="s">
        <v>323</v>
      </c>
      <c r="D543" s="1" t="s">
        <v>718</v>
      </c>
      <c r="E543" s="1" t="s">
        <v>323</v>
      </c>
      <c r="F543" s="1" t="s">
        <v>20</v>
      </c>
      <c r="G543" s="1" t="s">
        <v>914</v>
      </c>
      <c r="H543" s="1" t="s">
        <v>22</v>
      </c>
      <c r="I543" s="1">
        <v>3</v>
      </c>
      <c r="J543" s="1">
        <v>59042</v>
      </c>
      <c r="K543" s="1" t="s">
        <v>101</v>
      </c>
      <c r="L543" s="1" t="s">
        <v>24</v>
      </c>
      <c r="M543" s="1" t="s">
        <v>56</v>
      </c>
      <c r="N543" s="1">
        <v>19300</v>
      </c>
      <c r="O543" s="12">
        <v>18801</v>
      </c>
      <c r="P543" s="3" t="s">
        <v>915</v>
      </c>
      <c r="Q543" s="1" cm="1">
        <f t="array" ref="Q543">VALUE(INDEX(_xlfn.TEXTSPLIT(P543, " "), 4))</f>
        <v>2015</v>
      </c>
      <c r="R543" s="1" t="str">
        <f t="shared" si="8"/>
        <v>Infiniti G Sedan G37x</v>
      </c>
      <c r="S543" s="1" t="str" cm="1">
        <f t="array" ref="S543">_xlfn.IFS(I543 &gt;= 40, "High", I543&gt;=20, "Medium", I543&lt;20, "Low")</f>
        <v>Low</v>
      </c>
      <c r="T543" s="1" t="str" cm="1">
        <f t="array" ref="T543">_xlfn.IFS(O543&lt;18200, "Low", O543&lt;=50000, "Medium", O543&gt;50000, "High")</f>
        <v>Medium</v>
      </c>
    </row>
    <row r="544" spans="1:20" x14ac:dyDescent="0.25">
      <c r="A544" s="2">
        <v>2013</v>
      </c>
      <c r="B544" s="1" t="s">
        <v>608</v>
      </c>
      <c r="C544" s="1" t="s">
        <v>673</v>
      </c>
      <c r="D544" s="1" t="s">
        <v>674</v>
      </c>
      <c r="E544" s="1" t="s">
        <v>32</v>
      </c>
      <c r="F544" s="1" t="s">
        <v>20</v>
      </c>
      <c r="G544" s="1" t="s">
        <v>916</v>
      </c>
      <c r="H544" s="1" t="s">
        <v>22</v>
      </c>
      <c r="I544" s="1">
        <v>47</v>
      </c>
      <c r="J544" s="1">
        <v>10616</v>
      </c>
      <c r="K544" s="1" t="s">
        <v>23</v>
      </c>
      <c r="L544" s="1" t="s">
        <v>24</v>
      </c>
      <c r="M544" s="1" t="s">
        <v>612</v>
      </c>
      <c r="N544" s="1">
        <v>34700</v>
      </c>
      <c r="O544" s="12">
        <v>34750</v>
      </c>
      <c r="P544" s="3" t="s">
        <v>46</v>
      </c>
      <c r="Q544" s="1" cm="1">
        <f t="array" ref="Q544">VALUE(INDEX(_xlfn.TEXTSPLIT(P544, " "), 4))</f>
        <v>2014</v>
      </c>
      <c r="R544" s="1" t="str">
        <f t="shared" si="8"/>
        <v>Mercedes-Benz E-Class E350 Sport</v>
      </c>
      <c r="S544" s="1" t="str" cm="1">
        <f t="array" ref="S544">_xlfn.IFS(I544 &gt;= 40, "High", I544&gt;=20, "Medium", I544&lt;20, "Low")</f>
        <v>High</v>
      </c>
      <c r="T544" s="1" t="str" cm="1">
        <f t="array" ref="T544">_xlfn.IFS(O544&lt;18200, "Low", O544&lt;=50000, "Medium", O544&gt;50000, "High")</f>
        <v>Medium</v>
      </c>
    </row>
    <row r="545" spans="1:20" x14ac:dyDescent="0.25">
      <c r="A545" s="2">
        <v>2013</v>
      </c>
      <c r="B545" s="1" t="s">
        <v>318</v>
      </c>
      <c r="C545" s="1" t="s">
        <v>323</v>
      </c>
      <c r="D545" s="1" t="s">
        <v>324</v>
      </c>
      <c r="E545" s="1" t="s">
        <v>323</v>
      </c>
      <c r="F545" s="1" t="s">
        <v>20</v>
      </c>
      <c r="G545" s="1" t="s">
        <v>917</v>
      </c>
      <c r="H545" s="1" t="s">
        <v>22</v>
      </c>
      <c r="I545" s="1">
        <v>44</v>
      </c>
      <c r="J545" s="1">
        <v>32635</v>
      </c>
      <c r="K545" s="1" t="s">
        <v>24</v>
      </c>
      <c r="L545" s="1" t="s">
        <v>24</v>
      </c>
      <c r="M545" s="1" t="s">
        <v>322</v>
      </c>
      <c r="N545" s="1">
        <v>21700</v>
      </c>
      <c r="O545" s="12">
        <v>21750</v>
      </c>
      <c r="P545" s="3" t="s">
        <v>46</v>
      </c>
      <c r="Q545" s="1" cm="1">
        <f t="array" ref="Q545">VALUE(INDEX(_xlfn.TEXTSPLIT(P545, " "), 4))</f>
        <v>2014</v>
      </c>
      <c r="R545" s="1" t="str">
        <f t="shared" si="8"/>
        <v>Infiniti G Sedan G37 Journey</v>
      </c>
      <c r="S545" s="1" t="str" cm="1">
        <f t="array" ref="S545">_xlfn.IFS(I545 &gt;= 40, "High", I545&gt;=20, "Medium", I545&lt;20, "Low")</f>
        <v>High</v>
      </c>
      <c r="T545" s="1" t="str" cm="1">
        <f t="array" ref="T545">_xlfn.IFS(O545&lt;18200, "Low", O545&lt;=50000, "Medium", O545&gt;50000, "High")</f>
        <v>Medium</v>
      </c>
    </row>
    <row r="546" spans="1:20" x14ac:dyDescent="0.25">
      <c r="A546" s="2">
        <v>2013</v>
      </c>
      <c r="B546" s="1" t="s">
        <v>202</v>
      </c>
      <c r="C546" s="1" t="s">
        <v>614</v>
      </c>
      <c r="D546" s="1" t="s">
        <v>54</v>
      </c>
      <c r="E546" s="1" t="s">
        <v>32</v>
      </c>
      <c r="F546" s="1" t="s">
        <v>20</v>
      </c>
      <c r="G546" s="1" t="s">
        <v>918</v>
      </c>
      <c r="H546" s="1" t="s">
        <v>22</v>
      </c>
      <c r="I546" s="1">
        <v>46</v>
      </c>
      <c r="J546" s="1">
        <v>22672</v>
      </c>
      <c r="K546" s="1" t="s">
        <v>384</v>
      </c>
      <c r="L546" s="1" t="s">
        <v>132</v>
      </c>
      <c r="M546" s="1" t="s">
        <v>205</v>
      </c>
      <c r="N546" s="1">
        <v>34500</v>
      </c>
      <c r="O546" s="12">
        <v>34500</v>
      </c>
      <c r="P546" s="3" t="s">
        <v>57</v>
      </c>
      <c r="Q546" s="1" cm="1">
        <f t="array" ref="Q546">VALUE(INDEX(_xlfn.TEXTSPLIT(P546, " "), 4))</f>
        <v>2014</v>
      </c>
      <c r="R546" s="1" t="str">
        <f t="shared" si="8"/>
        <v>Lexus GS 350 Base</v>
      </c>
      <c r="S546" s="1" t="str" cm="1">
        <f t="array" ref="S546">_xlfn.IFS(I546 &gt;= 40, "High", I546&gt;=20, "Medium", I546&lt;20, "Low")</f>
        <v>High</v>
      </c>
      <c r="T546" s="1" t="str" cm="1">
        <f t="array" ref="T546">_xlfn.IFS(O546&lt;18200, "Low", O546&lt;=50000, "Medium", O546&gt;50000, "High")</f>
        <v>Medium</v>
      </c>
    </row>
    <row r="547" spans="1:20" x14ac:dyDescent="0.25">
      <c r="A547" s="2">
        <v>2013</v>
      </c>
      <c r="B547" s="1" t="s">
        <v>608</v>
      </c>
      <c r="C547" s="1" t="s">
        <v>620</v>
      </c>
      <c r="D547" s="1" t="s">
        <v>893</v>
      </c>
      <c r="E547" s="1" t="s">
        <v>32</v>
      </c>
      <c r="F547" s="1" t="s">
        <v>20</v>
      </c>
      <c r="G547" s="1" t="s">
        <v>919</v>
      </c>
      <c r="H547" s="1" t="s">
        <v>22</v>
      </c>
      <c r="I547" s="1">
        <v>39</v>
      </c>
      <c r="J547" s="1">
        <v>22514</v>
      </c>
      <c r="K547" s="1" t="s">
        <v>91</v>
      </c>
      <c r="L547" s="1" t="s">
        <v>101</v>
      </c>
      <c r="M547" s="1" t="s">
        <v>669</v>
      </c>
      <c r="N547" s="1">
        <v>43600</v>
      </c>
      <c r="O547" s="12">
        <v>42750</v>
      </c>
      <c r="P547" s="3" t="s">
        <v>46</v>
      </c>
      <c r="Q547" s="1" cm="1">
        <f t="array" ref="Q547">VALUE(INDEX(_xlfn.TEXTSPLIT(P547, " "), 4))</f>
        <v>2014</v>
      </c>
      <c r="R547" s="1" t="str">
        <f t="shared" si="8"/>
        <v>Mercedes-Benz C-Class C63 AMG</v>
      </c>
      <c r="S547" s="1" t="str" cm="1">
        <f t="array" ref="S547">_xlfn.IFS(I547 &gt;= 40, "High", I547&gt;=20, "Medium", I547&lt;20, "Low")</f>
        <v>Medium</v>
      </c>
      <c r="T547" s="1" t="str" cm="1">
        <f t="array" ref="T547">_xlfn.IFS(O547&lt;18200, "Low", O547&lt;=50000, "Medium", O547&gt;50000, "High")</f>
        <v>Medium</v>
      </c>
    </row>
    <row r="548" spans="1:20" x14ac:dyDescent="0.25">
      <c r="A548" s="2">
        <v>2013</v>
      </c>
      <c r="B548" s="1" t="s">
        <v>681</v>
      </c>
      <c r="C548" s="1" t="s">
        <v>684</v>
      </c>
      <c r="D548" s="1" t="s">
        <v>54</v>
      </c>
      <c r="E548" s="1" t="s">
        <v>227</v>
      </c>
      <c r="F548" s="1" t="s">
        <v>20</v>
      </c>
      <c r="G548" s="1" t="s">
        <v>920</v>
      </c>
      <c r="H548" s="1" t="s">
        <v>22</v>
      </c>
      <c r="I548" s="1">
        <v>39</v>
      </c>
      <c r="J548" s="1">
        <v>42973</v>
      </c>
      <c r="K548" s="1" t="s">
        <v>73</v>
      </c>
      <c r="L548" s="1" t="s">
        <v>24</v>
      </c>
      <c r="M548" s="1" t="s">
        <v>95</v>
      </c>
      <c r="N548" s="1">
        <v>12400</v>
      </c>
      <c r="O548" s="12">
        <v>12500</v>
      </c>
      <c r="P548" s="3" t="s">
        <v>251</v>
      </c>
      <c r="Q548" s="1" cm="1">
        <f t="array" ref="Q548">VALUE(INDEX(_xlfn.TEXTSPLIT(P548, " "), 4))</f>
        <v>2014</v>
      </c>
      <c r="R548" s="1" t="str">
        <f t="shared" si="8"/>
        <v>MINI Cooper Base</v>
      </c>
      <c r="S548" s="1" t="str" cm="1">
        <f t="array" ref="S548">_xlfn.IFS(I548 &gt;= 40, "High", I548&gt;=20, "Medium", I548&lt;20, "Low")</f>
        <v>Medium</v>
      </c>
      <c r="T548" s="1" t="str" cm="1">
        <f t="array" ref="T548">_xlfn.IFS(O548&lt;18200, "Low", O548&lt;=50000, "Medium", O548&gt;50000, "High")</f>
        <v>Low</v>
      </c>
    </row>
    <row r="549" spans="1:20" x14ac:dyDescent="0.25">
      <c r="A549" s="2">
        <v>2013</v>
      </c>
      <c r="B549" s="1" t="s">
        <v>921</v>
      </c>
      <c r="C549" s="1" t="s">
        <v>922</v>
      </c>
      <c r="D549" s="1" t="s">
        <v>923</v>
      </c>
      <c r="E549" s="1" t="s">
        <v>32</v>
      </c>
      <c r="F549" s="1" t="s">
        <v>20</v>
      </c>
      <c r="G549" s="1" t="s">
        <v>924</v>
      </c>
      <c r="H549" s="1" t="s">
        <v>22</v>
      </c>
      <c r="I549" s="1">
        <v>1</v>
      </c>
      <c r="J549" s="1">
        <v>22907</v>
      </c>
      <c r="K549" s="1" t="s">
        <v>23</v>
      </c>
      <c r="L549" s="1" t="s">
        <v>24</v>
      </c>
      <c r="M549" s="1" t="s">
        <v>925</v>
      </c>
      <c r="N549" s="1">
        <v>14450</v>
      </c>
      <c r="O549" s="12">
        <v>8000</v>
      </c>
      <c r="P549" s="3" t="s">
        <v>84</v>
      </c>
      <c r="Q549" s="1" cm="1">
        <f t="array" ref="Q549">VALUE(INDEX(_xlfn.TEXTSPLIT(P549, " "), 4))</f>
        <v>2014</v>
      </c>
      <c r="R549" s="1" t="str">
        <f t="shared" si="8"/>
        <v>Volkswagen Passat SE PZEV</v>
      </c>
      <c r="S549" s="1" t="str" cm="1">
        <f t="array" ref="S549">_xlfn.IFS(I549 &gt;= 40, "High", I549&gt;=20, "Medium", I549&lt;20, "Low")</f>
        <v>Low</v>
      </c>
      <c r="T549" s="1" t="str" cm="1">
        <f t="array" ref="T549">_xlfn.IFS(O549&lt;18200, "Low", O549&lt;=50000, "Medium", O549&gt;50000, "High")</f>
        <v>Low</v>
      </c>
    </row>
    <row r="550" spans="1:20" x14ac:dyDescent="0.25">
      <c r="A550" s="2">
        <v>2013</v>
      </c>
      <c r="B550" s="1" t="s">
        <v>47</v>
      </c>
      <c r="C550" s="1" t="s">
        <v>48</v>
      </c>
      <c r="D550" s="1">
        <v>2.5</v>
      </c>
      <c r="E550" s="1" t="s">
        <v>32</v>
      </c>
      <c r="F550" s="1" t="s">
        <v>20</v>
      </c>
      <c r="G550" s="1" t="s">
        <v>926</v>
      </c>
      <c r="H550" s="1" t="s">
        <v>22</v>
      </c>
      <c r="I550" s="1">
        <v>4</v>
      </c>
      <c r="J550" s="1">
        <v>24498</v>
      </c>
      <c r="K550" s="1" t="s">
        <v>101</v>
      </c>
      <c r="L550" s="1" t="s">
        <v>24</v>
      </c>
      <c r="M550" s="1" t="s">
        <v>217</v>
      </c>
      <c r="N550" s="1">
        <v>14350</v>
      </c>
      <c r="O550" s="12">
        <v>14500</v>
      </c>
      <c r="P550" s="3" t="s">
        <v>57</v>
      </c>
      <c r="Q550" s="1" cm="1">
        <f t="array" ref="Q550">VALUE(INDEX(_xlfn.TEXTSPLIT(P550, " "), 4))</f>
        <v>2014</v>
      </c>
      <c r="R550" s="1" t="str">
        <f t="shared" si="8"/>
        <v>Nissan Altima 2.5</v>
      </c>
      <c r="S550" s="1" t="str" cm="1">
        <f t="array" ref="S550">_xlfn.IFS(I550 &gt;= 40, "High", I550&gt;=20, "Medium", I550&lt;20, "Low")</f>
        <v>Low</v>
      </c>
      <c r="T550" s="1" t="str" cm="1">
        <f t="array" ref="T550">_xlfn.IFS(O550&lt;18200, "Low", O550&lt;=50000, "Medium", O550&gt;50000, "High")</f>
        <v>Low</v>
      </c>
    </row>
    <row r="551" spans="1:20" x14ac:dyDescent="0.25">
      <c r="A551" s="2">
        <v>2013</v>
      </c>
      <c r="B551" s="1" t="s">
        <v>927</v>
      </c>
      <c r="C551" s="1" t="s">
        <v>928</v>
      </c>
      <c r="D551" s="1" t="s">
        <v>663</v>
      </c>
      <c r="E551" s="1" t="s">
        <v>32</v>
      </c>
      <c r="F551" s="1" t="s">
        <v>20</v>
      </c>
      <c r="G551" s="1" t="s">
        <v>929</v>
      </c>
      <c r="H551" s="1" t="s">
        <v>22</v>
      </c>
      <c r="I551" s="1">
        <v>1</v>
      </c>
      <c r="J551" s="1">
        <v>34915</v>
      </c>
      <c r="K551" s="1" t="s">
        <v>24</v>
      </c>
      <c r="L551" s="1" t="s">
        <v>34</v>
      </c>
      <c r="M551" s="1" t="s">
        <v>51</v>
      </c>
      <c r="N551" s="1">
        <v>11400</v>
      </c>
      <c r="O551" s="12">
        <v>9200</v>
      </c>
      <c r="P551" s="3" t="s">
        <v>84</v>
      </c>
      <c r="Q551" s="1" cm="1">
        <f t="array" ref="Q551">VALUE(INDEX(_xlfn.TEXTSPLIT(P551, " "), 4))</f>
        <v>2014</v>
      </c>
      <c r="R551" s="1" t="str">
        <f t="shared" si="8"/>
        <v>Toyota Corolla LE</v>
      </c>
      <c r="S551" s="1" t="str" cm="1">
        <f t="array" ref="S551">_xlfn.IFS(I551 &gt;= 40, "High", I551&gt;=20, "Medium", I551&lt;20, "Low")</f>
        <v>Low</v>
      </c>
      <c r="T551" s="1" t="str" cm="1">
        <f t="array" ref="T551">_xlfn.IFS(O551&lt;18200, "Low", O551&lt;=50000, "Medium", O551&gt;50000, "High")</f>
        <v>Low</v>
      </c>
    </row>
    <row r="552" spans="1:20" x14ac:dyDescent="0.25">
      <c r="A552" s="2">
        <v>2013</v>
      </c>
      <c r="B552" s="1" t="s">
        <v>37</v>
      </c>
      <c r="C552" s="1" t="s">
        <v>930</v>
      </c>
      <c r="D552" s="1">
        <v>3.2</v>
      </c>
      <c r="E552" s="1" t="s">
        <v>19</v>
      </c>
      <c r="F552" s="1" t="s">
        <v>20</v>
      </c>
      <c r="G552" s="1" t="s">
        <v>931</v>
      </c>
      <c r="H552" s="1" t="s">
        <v>22</v>
      </c>
      <c r="I552" s="1">
        <v>43</v>
      </c>
      <c r="J552" s="1">
        <v>34933</v>
      </c>
      <c r="K552" s="1" t="s">
        <v>23</v>
      </c>
      <c r="L552" s="1" t="s">
        <v>24</v>
      </c>
      <c r="M552" s="1" t="s">
        <v>182</v>
      </c>
      <c r="N552" s="1">
        <v>21200</v>
      </c>
      <c r="O552" s="12">
        <v>22900</v>
      </c>
      <c r="P552" s="3" t="s">
        <v>26</v>
      </c>
      <c r="Q552" s="1" cm="1">
        <f t="array" ref="Q552">VALUE(INDEX(_xlfn.TEXTSPLIT(P552, " "), 4))</f>
        <v>2014</v>
      </c>
      <c r="R552" s="1" t="str">
        <f t="shared" si="8"/>
        <v>Volvo XC60 3.2</v>
      </c>
      <c r="S552" s="1" t="str" cm="1">
        <f t="array" ref="S552">_xlfn.IFS(I552 &gt;= 40, "High", I552&gt;=20, "Medium", I552&lt;20, "Low")</f>
        <v>High</v>
      </c>
      <c r="T552" s="1" t="str" cm="1">
        <f t="array" ref="T552">_xlfn.IFS(O552&lt;18200, "Low", O552&lt;=50000, "Medium", O552&gt;50000, "High")</f>
        <v>Medium</v>
      </c>
    </row>
    <row r="553" spans="1:20" x14ac:dyDescent="0.25">
      <c r="A553" s="2">
        <v>2013</v>
      </c>
      <c r="B553" s="1" t="s">
        <v>927</v>
      </c>
      <c r="C553" s="1" t="s">
        <v>932</v>
      </c>
      <c r="D553" s="1" t="s">
        <v>933</v>
      </c>
      <c r="E553" s="1" t="s">
        <v>738</v>
      </c>
      <c r="F553" s="1" t="s">
        <v>20</v>
      </c>
      <c r="G553" s="1" t="s">
        <v>934</v>
      </c>
      <c r="H553" s="1" t="s">
        <v>22</v>
      </c>
      <c r="I553" s="1">
        <v>35</v>
      </c>
      <c r="J553" s="1">
        <v>49188</v>
      </c>
      <c r="K553" s="1" t="s">
        <v>34</v>
      </c>
      <c r="L553" s="1" t="s">
        <v>82</v>
      </c>
      <c r="M553" s="1" t="s">
        <v>56</v>
      </c>
      <c r="N553" s="1">
        <v>17150</v>
      </c>
      <c r="O553" s="12">
        <v>18000</v>
      </c>
      <c r="P553" s="3" t="s">
        <v>26</v>
      </c>
      <c r="Q553" s="1" cm="1">
        <f t="array" ref="Q553">VALUE(INDEX(_xlfn.TEXTSPLIT(P553, " "), 4))</f>
        <v>2014</v>
      </c>
      <c r="R553" s="1" t="str">
        <f t="shared" si="8"/>
        <v>Toyota Sienna LE 7-Passenger Mobility Auto Access</v>
      </c>
      <c r="S553" s="1" t="str" cm="1">
        <f t="array" ref="S553">_xlfn.IFS(I553 &gt;= 40, "High", I553&gt;=20, "Medium", I553&lt;20, "Low")</f>
        <v>Medium</v>
      </c>
      <c r="T553" s="1" t="str" cm="1">
        <f t="array" ref="T553">_xlfn.IFS(O553&lt;18200, "Low", O553&lt;=50000, "Medium", O553&gt;50000, "High")</f>
        <v>Low</v>
      </c>
    </row>
    <row r="554" spans="1:20" x14ac:dyDescent="0.25">
      <c r="A554" s="2">
        <v>2013</v>
      </c>
      <c r="B554" s="1" t="s">
        <v>47</v>
      </c>
      <c r="C554" s="1" t="s">
        <v>935</v>
      </c>
      <c r="D554" s="1" t="s">
        <v>936</v>
      </c>
      <c r="E554" s="1" t="s">
        <v>227</v>
      </c>
      <c r="F554" s="1" t="s">
        <v>20</v>
      </c>
      <c r="G554" s="1" t="s">
        <v>937</v>
      </c>
      <c r="H554" s="1" t="s">
        <v>22</v>
      </c>
      <c r="I554" s="1">
        <v>43</v>
      </c>
      <c r="J554" s="1">
        <v>38134</v>
      </c>
      <c r="K554" s="1" t="s">
        <v>34</v>
      </c>
      <c r="L554" s="1" t="s">
        <v>24</v>
      </c>
      <c r="M554" s="1" t="s">
        <v>495</v>
      </c>
      <c r="N554" s="1">
        <v>13750</v>
      </c>
      <c r="O554" s="12">
        <v>14400</v>
      </c>
      <c r="P554" s="3" t="s">
        <v>834</v>
      </c>
      <c r="Q554" s="1" cm="1">
        <f t="array" ref="Q554">VALUE(INDEX(_xlfn.TEXTSPLIT(P554, " "), 4))</f>
        <v>2014</v>
      </c>
      <c r="R554" s="1" t="str">
        <f t="shared" si="8"/>
        <v>Nissan Juke S</v>
      </c>
      <c r="S554" s="1" t="str" cm="1">
        <f t="array" ref="S554">_xlfn.IFS(I554 &gt;= 40, "High", I554&gt;=20, "Medium", I554&lt;20, "Low")</f>
        <v>High</v>
      </c>
      <c r="T554" s="1" t="str" cm="1">
        <f t="array" ref="T554">_xlfn.IFS(O554&lt;18200, "Low", O554&lt;=50000, "Medium", O554&gt;50000, "High")</f>
        <v>Low</v>
      </c>
    </row>
    <row r="555" spans="1:20" x14ac:dyDescent="0.25">
      <c r="A555" s="2">
        <v>2013</v>
      </c>
      <c r="B555" s="1" t="s">
        <v>927</v>
      </c>
      <c r="C555" s="1" t="s">
        <v>938</v>
      </c>
      <c r="D555" s="1" t="s">
        <v>773</v>
      </c>
      <c r="E555" s="1" t="s">
        <v>227</v>
      </c>
      <c r="F555" s="1" t="s">
        <v>20</v>
      </c>
      <c r="G555" s="1" t="s">
        <v>939</v>
      </c>
      <c r="H555" s="1" t="s">
        <v>22</v>
      </c>
      <c r="I555" s="1">
        <v>2</v>
      </c>
      <c r="J555" s="1">
        <v>28412</v>
      </c>
      <c r="K555" s="1" t="s">
        <v>23</v>
      </c>
      <c r="L555" s="1" t="s">
        <v>34</v>
      </c>
      <c r="M555" s="1" t="s">
        <v>51</v>
      </c>
      <c r="N555" s="1">
        <v>9775</v>
      </c>
      <c r="O555" s="12">
        <v>7800</v>
      </c>
      <c r="P555" s="3" t="s">
        <v>294</v>
      </c>
      <c r="Q555" s="1" cm="1">
        <f t="array" ref="Q555">VALUE(INDEX(_xlfn.TEXTSPLIT(P555, " "), 4))</f>
        <v>2014</v>
      </c>
      <c r="R555" s="1" t="str">
        <f t="shared" si="8"/>
        <v>Toyota Yaris L</v>
      </c>
      <c r="S555" s="1" t="str" cm="1">
        <f t="array" ref="S555">_xlfn.IFS(I555 &gt;= 40, "High", I555&gt;=20, "Medium", I555&lt;20, "Low")</f>
        <v>Low</v>
      </c>
      <c r="T555" s="1" t="str" cm="1">
        <f t="array" ref="T555">_xlfn.IFS(O555&lt;18200, "Low", O555&lt;=50000, "Medium", O555&gt;50000, "High")</f>
        <v>Low</v>
      </c>
    </row>
    <row r="556" spans="1:20" x14ac:dyDescent="0.25">
      <c r="A556" s="2">
        <v>2013</v>
      </c>
      <c r="B556" s="1" t="s">
        <v>47</v>
      </c>
      <c r="C556" s="1" t="s">
        <v>940</v>
      </c>
      <c r="D556" s="1" t="s">
        <v>941</v>
      </c>
      <c r="E556" s="1" t="s">
        <v>32</v>
      </c>
      <c r="F556" s="1"/>
      <c r="G556" s="1" t="s">
        <v>942</v>
      </c>
      <c r="H556" s="1" t="s">
        <v>22</v>
      </c>
      <c r="I556" s="1">
        <v>15</v>
      </c>
      <c r="J556" s="1">
        <v>73267</v>
      </c>
      <c r="K556" s="1" t="s">
        <v>91</v>
      </c>
      <c r="L556" s="1" t="s">
        <v>24</v>
      </c>
      <c r="M556" s="1" t="s">
        <v>943</v>
      </c>
      <c r="N556" s="1">
        <v>10600</v>
      </c>
      <c r="O556" s="12">
        <v>9100</v>
      </c>
      <c r="P556" s="3" t="s">
        <v>57</v>
      </c>
      <c r="Q556" s="1" cm="1">
        <f t="array" ref="Q556">VALUE(INDEX(_xlfn.TEXTSPLIT(P556, " "), 4))</f>
        <v>2014</v>
      </c>
      <c r="R556" s="1" t="str">
        <f t="shared" si="8"/>
        <v>Nissan Sentra SR</v>
      </c>
      <c r="S556" s="1" t="str" cm="1">
        <f t="array" ref="S556">_xlfn.IFS(I556 &gt;= 40, "High", I556&gt;=20, "Medium", I556&lt;20, "Low")</f>
        <v>Low</v>
      </c>
      <c r="T556" s="1" t="str" cm="1">
        <f t="array" ref="T556">_xlfn.IFS(O556&lt;18200, "Low", O556&lt;=50000, "Medium", O556&gt;50000, "High")</f>
        <v>Low</v>
      </c>
    </row>
    <row r="557" spans="1:20" x14ac:dyDescent="0.25">
      <c r="A557" s="2">
        <v>2013</v>
      </c>
      <c r="B557" s="1" t="s">
        <v>47</v>
      </c>
      <c r="C557" s="1" t="s">
        <v>944</v>
      </c>
      <c r="D557" s="1" t="s">
        <v>936</v>
      </c>
      <c r="E557" s="1" t="s">
        <v>19</v>
      </c>
      <c r="F557" s="1" t="s">
        <v>20</v>
      </c>
      <c r="G557" s="1" t="s">
        <v>945</v>
      </c>
      <c r="H557" s="1" t="s">
        <v>22</v>
      </c>
      <c r="I557" s="1"/>
      <c r="J557" s="1">
        <v>36802</v>
      </c>
      <c r="K557" s="1" t="s">
        <v>91</v>
      </c>
      <c r="L557" s="1" t="s">
        <v>24</v>
      </c>
      <c r="M557" s="1" t="s">
        <v>946</v>
      </c>
      <c r="N557" s="1">
        <v>13600</v>
      </c>
      <c r="O557" s="12">
        <v>2800</v>
      </c>
      <c r="P557" s="3" t="s">
        <v>62</v>
      </c>
      <c r="Q557" s="1" cm="1">
        <f t="array" ref="Q557">VALUE(INDEX(_xlfn.TEXTSPLIT(P557, " "), 4))</f>
        <v>2014</v>
      </c>
      <c r="R557" s="1" t="str">
        <f t="shared" si="8"/>
        <v>Nissan Rogue S</v>
      </c>
      <c r="S557" s="1" t="str" cm="1">
        <f t="array" ref="S557">_xlfn.IFS(I557 &gt;= 40, "High", I557&gt;=20, "Medium", I557&lt;20, "Low")</f>
        <v>Low</v>
      </c>
      <c r="T557" s="1" t="str" cm="1">
        <f t="array" ref="T557">_xlfn.IFS(O557&lt;18200, "Low", O557&lt;=50000, "Medium", O557&gt;50000, "High")</f>
        <v>Low</v>
      </c>
    </row>
    <row r="558" spans="1:20" x14ac:dyDescent="0.25">
      <c r="A558" s="2">
        <v>2013</v>
      </c>
      <c r="B558" s="1" t="s">
        <v>47</v>
      </c>
      <c r="C558" s="1" t="s">
        <v>947</v>
      </c>
      <c r="D558" s="1" t="s">
        <v>948</v>
      </c>
      <c r="E558" s="1" t="s">
        <v>949</v>
      </c>
      <c r="F558" s="1" t="s">
        <v>20</v>
      </c>
      <c r="G558" s="1" t="s">
        <v>950</v>
      </c>
      <c r="H558" s="1" t="s">
        <v>22</v>
      </c>
      <c r="I558" s="1">
        <v>1</v>
      </c>
      <c r="J558" s="1">
        <v>47268</v>
      </c>
      <c r="K558" s="1" t="s">
        <v>23</v>
      </c>
      <c r="L558" s="1" t="s">
        <v>34</v>
      </c>
      <c r="M558" s="1" t="s">
        <v>51</v>
      </c>
      <c r="N558" s="1">
        <v>14850</v>
      </c>
      <c r="O558" s="12">
        <v>14000</v>
      </c>
      <c r="P558" s="3" t="s">
        <v>280</v>
      </c>
      <c r="Q558" s="1" cm="1">
        <f t="array" ref="Q558">VALUE(INDEX(_xlfn.TEXTSPLIT(P558, " "), 4))</f>
        <v>2014</v>
      </c>
      <c r="R558" s="1" t="str">
        <f t="shared" si="8"/>
        <v>Nissan NV 1500 S</v>
      </c>
      <c r="S558" s="1" t="str" cm="1">
        <f t="array" ref="S558">_xlfn.IFS(I558 &gt;= 40, "High", I558&gt;=20, "Medium", I558&lt;20, "Low")</f>
        <v>Low</v>
      </c>
      <c r="T558" s="1" t="str" cm="1">
        <f t="array" ref="T558">_xlfn.IFS(O558&lt;18200, "Low", O558&lt;=50000, "Medium", O558&gt;50000, "High")</f>
        <v>Low</v>
      </c>
    </row>
    <row r="559" spans="1:20" x14ac:dyDescent="0.25">
      <c r="A559" s="2">
        <v>2013</v>
      </c>
      <c r="B559" s="1" t="s">
        <v>927</v>
      </c>
      <c r="C559" s="1" t="s">
        <v>928</v>
      </c>
      <c r="D559" s="1" t="s">
        <v>936</v>
      </c>
      <c r="E559" s="1" t="s">
        <v>32</v>
      </c>
      <c r="F559" s="1" t="s">
        <v>20</v>
      </c>
      <c r="G559" s="1" t="s">
        <v>951</v>
      </c>
      <c r="H559" s="1" t="s">
        <v>22</v>
      </c>
      <c r="I559" s="1">
        <v>47</v>
      </c>
      <c r="J559" s="1">
        <v>19836</v>
      </c>
      <c r="K559" s="1" t="s">
        <v>952</v>
      </c>
      <c r="L559" s="1" t="s">
        <v>24</v>
      </c>
      <c r="M559" s="1" t="s">
        <v>953</v>
      </c>
      <c r="N559" s="1">
        <v>13500</v>
      </c>
      <c r="O559" s="12">
        <v>14100</v>
      </c>
      <c r="P559" s="3" t="s">
        <v>57</v>
      </c>
      <c r="Q559" s="1" cm="1">
        <f t="array" ref="Q559">VALUE(INDEX(_xlfn.TEXTSPLIT(P559, " "), 4))</f>
        <v>2014</v>
      </c>
      <c r="R559" s="1" t="str">
        <f t="shared" si="8"/>
        <v>Toyota Corolla S</v>
      </c>
      <c r="S559" s="1" t="str" cm="1">
        <f t="array" ref="S559">_xlfn.IFS(I559 &gt;= 40, "High", I559&gt;=20, "Medium", I559&lt;20, "Low")</f>
        <v>High</v>
      </c>
      <c r="T559" s="1" t="str" cm="1">
        <f t="array" ref="T559">_xlfn.IFS(O559&lt;18200, "Low", O559&lt;=50000, "Medium", O559&gt;50000, "High")</f>
        <v>Low</v>
      </c>
    </row>
    <row r="560" spans="1:20" x14ac:dyDescent="0.25">
      <c r="A560" s="2">
        <v>2013</v>
      </c>
      <c r="B560" s="1" t="s">
        <v>927</v>
      </c>
      <c r="C560" s="1" t="s">
        <v>928</v>
      </c>
      <c r="D560" s="1" t="s">
        <v>663</v>
      </c>
      <c r="E560" s="1" t="s">
        <v>32</v>
      </c>
      <c r="F560" s="1" t="s">
        <v>20</v>
      </c>
      <c r="G560" s="1" t="s">
        <v>954</v>
      </c>
      <c r="H560" s="1" t="s">
        <v>22</v>
      </c>
      <c r="I560" s="1"/>
      <c r="J560" s="1">
        <v>30464</v>
      </c>
      <c r="K560" s="1" t="s">
        <v>23</v>
      </c>
      <c r="L560" s="1" t="s">
        <v>34</v>
      </c>
      <c r="M560" s="1" t="s">
        <v>406</v>
      </c>
      <c r="N560" s="1">
        <v>11650</v>
      </c>
      <c r="O560" s="12">
        <v>4500</v>
      </c>
      <c r="P560" s="3" t="s">
        <v>955</v>
      </c>
      <c r="Q560" s="1" cm="1">
        <f t="array" ref="Q560">VALUE(INDEX(_xlfn.TEXTSPLIT(P560, " "), 4))</f>
        <v>2014</v>
      </c>
      <c r="R560" s="1" t="str">
        <f t="shared" si="8"/>
        <v>Toyota Corolla LE</v>
      </c>
      <c r="S560" s="1" t="str" cm="1">
        <f t="array" ref="S560">_xlfn.IFS(I560 &gt;= 40, "High", I560&gt;=20, "Medium", I560&lt;20, "Low")</f>
        <v>Low</v>
      </c>
      <c r="T560" s="1" t="str" cm="1">
        <f t="array" ref="T560">_xlfn.IFS(O560&lt;18200, "Low", O560&lt;=50000, "Medium", O560&gt;50000, "High")</f>
        <v>Low</v>
      </c>
    </row>
    <row r="561" spans="1:20" x14ac:dyDescent="0.25">
      <c r="A561" s="2">
        <v>2013</v>
      </c>
      <c r="B561" s="1" t="s">
        <v>921</v>
      </c>
      <c r="C561" s="1" t="s">
        <v>956</v>
      </c>
      <c r="D561" s="1" t="s">
        <v>957</v>
      </c>
      <c r="E561" s="1" t="s">
        <v>32</v>
      </c>
      <c r="F561" s="1" t="s">
        <v>20</v>
      </c>
      <c r="G561" s="1" t="s">
        <v>958</v>
      </c>
      <c r="H561" s="1" t="s">
        <v>22</v>
      </c>
      <c r="I561" s="1">
        <v>33</v>
      </c>
      <c r="J561" s="1">
        <v>37628</v>
      </c>
      <c r="K561" s="1" t="s">
        <v>24</v>
      </c>
      <c r="L561" s="1" t="s">
        <v>24</v>
      </c>
      <c r="M561" s="1" t="s">
        <v>95</v>
      </c>
      <c r="N561" s="1">
        <v>14950</v>
      </c>
      <c r="O561" s="12">
        <v>17100</v>
      </c>
      <c r="P561" s="3" t="s">
        <v>57</v>
      </c>
      <c r="Q561" s="1" cm="1">
        <f t="array" ref="Q561">VALUE(INDEX(_xlfn.TEXTSPLIT(P561, " "), 4))</f>
        <v>2014</v>
      </c>
      <c r="R561" s="1" t="str">
        <f t="shared" si="8"/>
        <v>Volkswagen CC R-Line PZEV</v>
      </c>
      <c r="S561" s="1" t="str" cm="1">
        <f t="array" ref="S561">_xlfn.IFS(I561 &gt;= 40, "High", I561&gt;=20, "Medium", I561&lt;20, "Low")</f>
        <v>Medium</v>
      </c>
      <c r="T561" s="1" t="str" cm="1">
        <f t="array" ref="T561">_xlfn.IFS(O561&lt;18200, "Low", O561&lt;=50000, "Medium", O561&gt;50000, "High")</f>
        <v>Low</v>
      </c>
    </row>
    <row r="562" spans="1:20" x14ac:dyDescent="0.25">
      <c r="A562" s="2">
        <v>2013</v>
      </c>
      <c r="B562" s="1" t="s">
        <v>47</v>
      </c>
      <c r="C562" s="1" t="s">
        <v>959</v>
      </c>
      <c r="D562" s="1" t="s">
        <v>960</v>
      </c>
      <c r="E562" s="1" t="s">
        <v>227</v>
      </c>
      <c r="F562" s="1" t="s">
        <v>20</v>
      </c>
      <c r="G562" s="1" t="s">
        <v>961</v>
      </c>
      <c r="H562" s="1" t="s">
        <v>22</v>
      </c>
      <c r="I562" s="1">
        <v>4</v>
      </c>
      <c r="J562" s="1">
        <v>21826</v>
      </c>
      <c r="K562" s="1" t="s">
        <v>101</v>
      </c>
      <c r="L562" s="1" t="s">
        <v>24</v>
      </c>
      <c r="M562" s="1" t="s">
        <v>217</v>
      </c>
      <c r="N562" s="1">
        <v>13100</v>
      </c>
      <c r="O562" s="12">
        <v>15250</v>
      </c>
      <c r="P562" s="3" t="s">
        <v>26</v>
      </c>
      <c r="Q562" s="1" cm="1">
        <f t="array" ref="Q562">VALUE(INDEX(_xlfn.TEXTSPLIT(P562, " "), 4))</f>
        <v>2014</v>
      </c>
      <c r="R562" s="1" t="str">
        <f t="shared" si="8"/>
        <v>Nissan Leaf SL</v>
      </c>
      <c r="S562" s="1" t="str" cm="1">
        <f t="array" ref="S562">_xlfn.IFS(I562 &gt;= 40, "High", I562&gt;=20, "Medium", I562&lt;20, "Low")</f>
        <v>Low</v>
      </c>
      <c r="T562" s="1" t="str" cm="1">
        <f t="array" ref="T562">_xlfn.IFS(O562&lt;18200, "Low", O562&lt;=50000, "Medium", O562&gt;50000, "High")</f>
        <v>Low</v>
      </c>
    </row>
    <row r="563" spans="1:20" x14ac:dyDescent="0.25">
      <c r="A563" s="2">
        <v>2013</v>
      </c>
      <c r="B563" s="1" t="s">
        <v>37</v>
      </c>
      <c r="C563" s="1" t="s">
        <v>930</v>
      </c>
      <c r="D563" s="1">
        <v>3.2</v>
      </c>
      <c r="E563" s="1" t="s">
        <v>19</v>
      </c>
      <c r="F563" s="1" t="s">
        <v>20</v>
      </c>
      <c r="G563" s="1" t="s">
        <v>962</v>
      </c>
      <c r="H563" s="1" t="s">
        <v>22</v>
      </c>
      <c r="I563" s="1">
        <v>39</v>
      </c>
      <c r="J563" s="1">
        <v>39860</v>
      </c>
      <c r="K563" s="1" t="s">
        <v>94</v>
      </c>
      <c r="L563" s="1" t="s">
        <v>24</v>
      </c>
      <c r="M563" s="1" t="s">
        <v>182</v>
      </c>
      <c r="N563" s="1">
        <v>20400</v>
      </c>
      <c r="O563" s="12">
        <v>20600</v>
      </c>
      <c r="P563" s="3" t="s">
        <v>26</v>
      </c>
      <c r="Q563" s="1" cm="1">
        <f t="array" ref="Q563">VALUE(INDEX(_xlfn.TEXTSPLIT(P563, " "), 4))</f>
        <v>2014</v>
      </c>
      <c r="R563" s="1" t="str">
        <f t="shared" si="8"/>
        <v>Volvo XC60 3.2</v>
      </c>
      <c r="S563" s="1" t="str" cm="1">
        <f t="array" ref="S563">_xlfn.IFS(I563 &gt;= 40, "High", I563&gt;=20, "Medium", I563&lt;20, "Low")</f>
        <v>Medium</v>
      </c>
      <c r="T563" s="1" t="str" cm="1">
        <f t="array" ref="T563">_xlfn.IFS(O563&lt;18200, "Low", O563&lt;=50000, "Medium", O563&gt;50000, "High")</f>
        <v>Medium</v>
      </c>
    </row>
    <row r="564" spans="1:20" x14ac:dyDescent="0.25">
      <c r="A564" s="2">
        <v>2013</v>
      </c>
      <c r="B564" s="1" t="s">
        <v>927</v>
      </c>
      <c r="C564" s="1" t="s">
        <v>963</v>
      </c>
      <c r="D564" s="1" t="s">
        <v>663</v>
      </c>
      <c r="E564" s="1" t="s">
        <v>32</v>
      </c>
      <c r="F564" s="1" t="s">
        <v>20</v>
      </c>
      <c r="G564" s="1" t="s">
        <v>964</v>
      </c>
      <c r="H564" s="1" t="s">
        <v>22</v>
      </c>
      <c r="I564" s="1">
        <v>38</v>
      </c>
      <c r="J564" s="1">
        <v>38882</v>
      </c>
      <c r="K564" s="1" t="s">
        <v>73</v>
      </c>
      <c r="L564" s="1" t="s">
        <v>28</v>
      </c>
      <c r="M564" s="1" t="s">
        <v>182</v>
      </c>
      <c r="N564" s="1">
        <v>13200</v>
      </c>
      <c r="O564" s="12">
        <v>13500</v>
      </c>
      <c r="P564" s="3" t="s">
        <v>270</v>
      </c>
      <c r="Q564" s="1" cm="1">
        <f t="array" ref="Q564">VALUE(INDEX(_xlfn.TEXTSPLIT(P564, " "), 4))</f>
        <v>2014</v>
      </c>
      <c r="R564" s="1" t="str">
        <f t="shared" si="8"/>
        <v>Toyota Camry LE</v>
      </c>
      <c r="S564" s="1" t="str" cm="1">
        <f t="array" ref="S564">_xlfn.IFS(I564 &gt;= 40, "High", I564&gt;=20, "Medium", I564&lt;20, "Low")</f>
        <v>Medium</v>
      </c>
      <c r="T564" s="1" t="str" cm="1">
        <f t="array" ref="T564">_xlfn.IFS(O564&lt;18200, "Low", O564&lt;=50000, "Medium", O564&gt;50000, "High")</f>
        <v>Low</v>
      </c>
    </row>
    <row r="565" spans="1:20" x14ac:dyDescent="0.25">
      <c r="A565" s="2">
        <v>2013</v>
      </c>
      <c r="B565" s="1" t="s">
        <v>927</v>
      </c>
      <c r="C565" s="1" t="s">
        <v>963</v>
      </c>
      <c r="D565" s="1" t="s">
        <v>965</v>
      </c>
      <c r="E565" s="1" t="s">
        <v>32</v>
      </c>
      <c r="F565" s="1" t="s">
        <v>20</v>
      </c>
      <c r="G565" s="1" t="s">
        <v>966</v>
      </c>
      <c r="H565" s="1" t="s">
        <v>22</v>
      </c>
      <c r="I565" s="1">
        <v>5</v>
      </c>
      <c r="J565" s="1">
        <v>2575</v>
      </c>
      <c r="K565" s="1" t="s">
        <v>24</v>
      </c>
      <c r="L565" s="1" t="s">
        <v>34</v>
      </c>
      <c r="M565" s="1" t="s">
        <v>967</v>
      </c>
      <c r="N565" s="1">
        <v>21800</v>
      </c>
      <c r="O565" s="12">
        <v>22000</v>
      </c>
      <c r="P565" s="3" t="s">
        <v>57</v>
      </c>
      <c r="Q565" s="1" cm="1">
        <f t="array" ref="Q565">VALUE(INDEX(_xlfn.TEXTSPLIT(P565, " "), 4))</f>
        <v>2014</v>
      </c>
      <c r="R565" s="1" t="str">
        <f t="shared" si="8"/>
        <v>Toyota Camry XLE</v>
      </c>
      <c r="S565" s="1" t="str" cm="1">
        <f t="array" ref="S565">_xlfn.IFS(I565 &gt;= 40, "High", I565&gt;=20, "Medium", I565&lt;20, "Low")</f>
        <v>Low</v>
      </c>
      <c r="T565" s="1" t="str" cm="1">
        <f t="array" ref="T565">_xlfn.IFS(O565&lt;18200, "Low", O565&lt;=50000, "Medium", O565&gt;50000, "High")</f>
        <v>Medium</v>
      </c>
    </row>
    <row r="566" spans="1:20" x14ac:dyDescent="0.25">
      <c r="A566" s="2">
        <v>2013</v>
      </c>
      <c r="B566" s="1" t="s">
        <v>927</v>
      </c>
      <c r="C566" s="1" t="s">
        <v>968</v>
      </c>
      <c r="D566" s="1" t="s">
        <v>969</v>
      </c>
      <c r="E566" s="1" t="s">
        <v>970</v>
      </c>
      <c r="F566" s="1" t="s">
        <v>20</v>
      </c>
      <c r="G566" s="1" t="s">
        <v>971</v>
      </c>
      <c r="H566" s="1" t="s">
        <v>22</v>
      </c>
      <c r="I566" s="1">
        <v>28</v>
      </c>
      <c r="J566" s="1">
        <v>32198</v>
      </c>
      <c r="K566" s="1" t="s">
        <v>94</v>
      </c>
      <c r="L566" s="1" t="s">
        <v>34</v>
      </c>
      <c r="M566" s="1" t="s">
        <v>972</v>
      </c>
      <c r="N566" s="1">
        <v>21200</v>
      </c>
      <c r="O566" s="12">
        <v>20500</v>
      </c>
      <c r="P566" s="3" t="s">
        <v>973</v>
      </c>
      <c r="Q566" s="1" cm="1">
        <f t="array" ref="Q566">VALUE(INDEX(_xlfn.TEXTSPLIT(P566, " "), 4))</f>
        <v>2014</v>
      </c>
      <c r="R566" s="1" t="str">
        <f t="shared" si="8"/>
        <v>Toyota Tacoma PreRunner</v>
      </c>
      <c r="S566" s="1" t="str" cm="1">
        <f t="array" ref="S566">_xlfn.IFS(I566 &gt;= 40, "High", I566&gt;=20, "Medium", I566&lt;20, "Low")</f>
        <v>Medium</v>
      </c>
      <c r="T566" s="1" t="str" cm="1">
        <f t="array" ref="T566">_xlfn.IFS(O566&lt;18200, "Low", O566&lt;=50000, "Medium", O566&gt;50000, "High")</f>
        <v>Medium</v>
      </c>
    </row>
    <row r="567" spans="1:20" x14ac:dyDescent="0.25">
      <c r="A567" s="2">
        <v>2013</v>
      </c>
      <c r="B567" s="1" t="s">
        <v>927</v>
      </c>
      <c r="C567" s="1" t="s">
        <v>928</v>
      </c>
      <c r="D567" s="1" t="s">
        <v>936</v>
      </c>
      <c r="E567" s="1" t="s">
        <v>32</v>
      </c>
      <c r="F567" s="1" t="s">
        <v>20</v>
      </c>
      <c r="G567" s="1" t="s">
        <v>974</v>
      </c>
      <c r="H567" s="1" t="s">
        <v>22</v>
      </c>
      <c r="I567" s="1"/>
      <c r="J567" s="1">
        <v>33754</v>
      </c>
      <c r="K567" s="1" t="s">
        <v>91</v>
      </c>
      <c r="L567" s="1" t="s">
        <v>101</v>
      </c>
      <c r="M567" s="1" t="s">
        <v>975</v>
      </c>
      <c r="N567" s="1">
        <v>12650</v>
      </c>
      <c r="O567" s="12">
        <v>11000</v>
      </c>
      <c r="P567" s="3" t="s">
        <v>68</v>
      </c>
      <c r="Q567" s="1" cm="1">
        <f t="array" ref="Q567">VALUE(INDEX(_xlfn.TEXTSPLIT(P567, " "), 4))</f>
        <v>2014</v>
      </c>
      <c r="R567" s="1" t="str">
        <f t="shared" si="8"/>
        <v>Toyota Corolla S</v>
      </c>
      <c r="S567" s="1" t="str" cm="1">
        <f t="array" ref="S567">_xlfn.IFS(I567 &gt;= 40, "High", I567&gt;=20, "Medium", I567&lt;20, "Low")</f>
        <v>Low</v>
      </c>
      <c r="T567" s="1" t="str" cm="1">
        <f t="array" ref="T567">_xlfn.IFS(O567&lt;18200, "Low", O567&lt;=50000, "Medium", O567&gt;50000, "High")</f>
        <v>Low</v>
      </c>
    </row>
    <row r="568" spans="1:20" x14ac:dyDescent="0.25">
      <c r="A568" s="2">
        <v>2013</v>
      </c>
      <c r="B568" s="1" t="s">
        <v>921</v>
      </c>
      <c r="C568" s="1" t="s">
        <v>976</v>
      </c>
      <c r="D568" s="1" t="s">
        <v>923</v>
      </c>
      <c r="E568" s="1" t="s">
        <v>32</v>
      </c>
      <c r="F568" s="1" t="s">
        <v>20</v>
      </c>
      <c r="G568" s="1" t="s">
        <v>977</v>
      </c>
      <c r="H568" s="1" t="s">
        <v>22</v>
      </c>
      <c r="I568" s="1">
        <v>44</v>
      </c>
      <c r="J568" s="1">
        <v>38680</v>
      </c>
      <c r="K568" s="1" t="s">
        <v>23</v>
      </c>
      <c r="L568" s="1" t="s">
        <v>24</v>
      </c>
      <c r="M568" s="1" t="s">
        <v>95</v>
      </c>
      <c r="N568" s="1">
        <v>10900</v>
      </c>
      <c r="O568" s="12">
        <v>11800</v>
      </c>
      <c r="P568" s="3" t="s">
        <v>57</v>
      </c>
      <c r="Q568" s="1" cm="1">
        <f t="array" ref="Q568">VALUE(INDEX(_xlfn.TEXTSPLIT(P568, " "), 4))</f>
        <v>2014</v>
      </c>
      <c r="R568" s="1" t="str">
        <f t="shared" si="8"/>
        <v>Volkswagen Jetta SE PZEV</v>
      </c>
      <c r="S568" s="1" t="str" cm="1">
        <f t="array" ref="S568">_xlfn.IFS(I568 &gt;= 40, "High", I568&gt;=20, "Medium", I568&lt;20, "Low")</f>
        <v>High</v>
      </c>
      <c r="T568" s="1" t="str" cm="1">
        <f t="array" ref="T568">_xlfn.IFS(O568&lt;18200, "Low", O568&lt;=50000, "Medium", O568&gt;50000, "High")</f>
        <v>Low</v>
      </c>
    </row>
    <row r="569" spans="1:20" x14ac:dyDescent="0.25">
      <c r="A569" s="2">
        <v>2013</v>
      </c>
      <c r="B569" s="1" t="s">
        <v>978</v>
      </c>
      <c r="C569" s="1" t="s">
        <v>979</v>
      </c>
      <c r="D569" s="1" t="s">
        <v>54</v>
      </c>
      <c r="E569" s="1" t="s">
        <v>32</v>
      </c>
      <c r="F569" s="1" t="s">
        <v>214</v>
      </c>
      <c r="G569" s="1" t="s">
        <v>980</v>
      </c>
      <c r="H569" s="1" t="s">
        <v>22</v>
      </c>
      <c r="I569" s="1">
        <v>42</v>
      </c>
      <c r="J569" s="1">
        <v>9419</v>
      </c>
      <c r="K569" s="1" t="s">
        <v>94</v>
      </c>
      <c r="L569" s="1" t="s">
        <v>24</v>
      </c>
      <c r="M569" s="1" t="s">
        <v>981</v>
      </c>
      <c r="N569" s="1">
        <v>22600</v>
      </c>
      <c r="O569" s="12">
        <v>23750</v>
      </c>
      <c r="P569" s="3" t="s">
        <v>97</v>
      </c>
      <c r="Q569" s="1" cm="1">
        <f t="array" ref="Q569">VALUE(INDEX(_xlfn.TEXTSPLIT(P569, " "), 4))</f>
        <v>2014</v>
      </c>
      <c r="R569" s="1" t="str">
        <f t="shared" si="8"/>
        <v>Subaru Impreza WRX Base</v>
      </c>
      <c r="S569" s="1" t="str" cm="1">
        <f t="array" ref="S569">_xlfn.IFS(I569 &gt;= 40, "High", I569&gt;=20, "Medium", I569&lt;20, "Low")</f>
        <v>High</v>
      </c>
      <c r="T569" s="1" t="str" cm="1">
        <f t="array" ref="T569">_xlfn.IFS(O569&lt;18200, "Low", O569&lt;=50000, "Medium", O569&gt;50000, "High")</f>
        <v>Medium</v>
      </c>
    </row>
    <row r="570" spans="1:20" x14ac:dyDescent="0.25">
      <c r="A570" s="2">
        <v>2013</v>
      </c>
      <c r="B570" s="1" t="s">
        <v>47</v>
      </c>
      <c r="C570" s="1" t="s">
        <v>48</v>
      </c>
      <c r="D570" s="1" t="s">
        <v>982</v>
      </c>
      <c r="E570" s="1" t="s">
        <v>32</v>
      </c>
      <c r="F570" s="1" t="s">
        <v>20</v>
      </c>
      <c r="G570" s="1" t="s">
        <v>983</v>
      </c>
      <c r="H570" s="1" t="s">
        <v>22</v>
      </c>
      <c r="I570" s="1">
        <v>44</v>
      </c>
      <c r="J570" s="1">
        <v>10929</v>
      </c>
      <c r="K570" s="1" t="s">
        <v>24</v>
      </c>
      <c r="L570" s="1" t="s">
        <v>24</v>
      </c>
      <c r="M570" s="1" t="s">
        <v>984</v>
      </c>
      <c r="N570" s="1">
        <v>17250</v>
      </c>
      <c r="O570" s="12">
        <v>20250</v>
      </c>
      <c r="P570" s="3" t="s">
        <v>57</v>
      </c>
      <c r="Q570" s="1" cm="1">
        <f t="array" ref="Q570">VALUE(INDEX(_xlfn.TEXTSPLIT(P570, " "), 4))</f>
        <v>2014</v>
      </c>
      <c r="R570" s="1" t="str">
        <f t="shared" si="8"/>
        <v>Nissan Altima 3.5 SL</v>
      </c>
      <c r="S570" s="1" t="str" cm="1">
        <f t="array" ref="S570">_xlfn.IFS(I570 &gt;= 40, "High", I570&gt;=20, "Medium", I570&lt;20, "Low")</f>
        <v>High</v>
      </c>
      <c r="T570" s="1" t="str" cm="1">
        <f t="array" ref="T570">_xlfn.IFS(O570&lt;18200, "Low", O570&lt;=50000, "Medium", O570&gt;50000, "High")</f>
        <v>Medium</v>
      </c>
    </row>
    <row r="571" spans="1:20" x14ac:dyDescent="0.25">
      <c r="A571" s="2">
        <v>2013</v>
      </c>
      <c r="B571" s="1" t="s">
        <v>927</v>
      </c>
      <c r="C571" s="1" t="s">
        <v>985</v>
      </c>
      <c r="D571" s="1" t="s">
        <v>54</v>
      </c>
      <c r="E571" s="1" t="s">
        <v>19</v>
      </c>
      <c r="F571" s="1" t="s">
        <v>20</v>
      </c>
      <c r="G571" s="1" t="s">
        <v>986</v>
      </c>
      <c r="H571" s="1" t="s">
        <v>22</v>
      </c>
      <c r="I571" s="1">
        <v>37</v>
      </c>
      <c r="J571" s="1">
        <v>36431</v>
      </c>
      <c r="K571" s="1" t="s">
        <v>24</v>
      </c>
      <c r="L571" s="1" t="s">
        <v>24</v>
      </c>
      <c r="M571" s="1" t="s">
        <v>95</v>
      </c>
      <c r="N571" s="1">
        <v>25200</v>
      </c>
      <c r="O571" s="12">
        <v>24200</v>
      </c>
      <c r="P571" s="3" t="s">
        <v>987</v>
      </c>
      <c r="Q571" s="1" cm="1">
        <f t="array" ref="Q571">VALUE(INDEX(_xlfn.TEXTSPLIT(P571, " "), 4))</f>
        <v>2015</v>
      </c>
      <c r="R571" s="1" t="str">
        <f t="shared" si="8"/>
        <v>Toyota FJ Cruiser Base</v>
      </c>
      <c r="S571" s="1" t="str" cm="1">
        <f t="array" ref="S571">_xlfn.IFS(I571 &gt;= 40, "High", I571&gt;=20, "Medium", I571&lt;20, "Low")</f>
        <v>Medium</v>
      </c>
      <c r="T571" s="1" t="str" cm="1">
        <f t="array" ref="T571">_xlfn.IFS(O571&lt;18200, "Low", O571&lt;=50000, "Medium", O571&gt;50000, "High")</f>
        <v>Medium</v>
      </c>
    </row>
    <row r="572" spans="1:20" x14ac:dyDescent="0.25">
      <c r="A572" s="2">
        <v>2013</v>
      </c>
      <c r="B572" s="1" t="s">
        <v>47</v>
      </c>
      <c r="C572" s="1" t="s">
        <v>212</v>
      </c>
      <c r="D572" s="1" t="s">
        <v>988</v>
      </c>
      <c r="E572" s="1" t="s">
        <v>32</v>
      </c>
      <c r="F572" s="1"/>
      <c r="G572" s="1" t="s">
        <v>989</v>
      </c>
      <c r="H572" s="1" t="s">
        <v>22</v>
      </c>
      <c r="I572" s="1">
        <v>2</v>
      </c>
      <c r="J572" s="1">
        <v>34469</v>
      </c>
      <c r="K572" s="1" t="s">
        <v>23</v>
      </c>
      <c r="L572" s="1" t="s">
        <v>24</v>
      </c>
      <c r="M572" s="1" t="s">
        <v>406</v>
      </c>
      <c r="N572" s="1">
        <v>9750</v>
      </c>
      <c r="O572" s="12">
        <v>4000</v>
      </c>
      <c r="P572" s="3" t="s">
        <v>62</v>
      </c>
      <c r="Q572" s="1" cm="1">
        <f t="array" ref="Q572">VALUE(INDEX(_xlfn.TEXTSPLIT(P572, " "), 4))</f>
        <v>2014</v>
      </c>
      <c r="R572" s="1" t="str">
        <f t="shared" si="8"/>
        <v>Nissan Versa 1.6 S Plus</v>
      </c>
      <c r="S572" s="1" t="str" cm="1">
        <f t="array" ref="S572">_xlfn.IFS(I572 &gt;= 40, "High", I572&gt;=20, "Medium", I572&lt;20, "Low")</f>
        <v>Low</v>
      </c>
      <c r="T572" s="1" t="str" cm="1">
        <f t="array" ref="T572">_xlfn.IFS(O572&lt;18200, "Low", O572&lt;=50000, "Medium", O572&gt;50000, "High")</f>
        <v>Low</v>
      </c>
    </row>
    <row r="573" spans="1:20" x14ac:dyDescent="0.25">
      <c r="A573" s="2">
        <v>2013</v>
      </c>
      <c r="B573" s="1" t="s">
        <v>978</v>
      </c>
      <c r="C573" s="1" t="s">
        <v>979</v>
      </c>
      <c r="D573" s="1" t="s">
        <v>54</v>
      </c>
      <c r="E573" s="1" t="s">
        <v>32</v>
      </c>
      <c r="F573" s="1" t="s">
        <v>214</v>
      </c>
      <c r="G573" s="1" t="s">
        <v>990</v>
      </c>
      <c r="H573" s="1" t="s">
        <v>22</v>
      </c>
      <c r="I573" s="1">
        <v>25</v>
      </c>
      <c r="J573" s="1">
        <v>27196</v>
      </c>
      <c r="K573" s="1" t="s">
        <v>94</v>
      </c>
      <c r="L573" s="1" t="s">
        <v>24</v>
      </c>
      <c r="M573" s="1" t="s">
        <v>849</v>
      </c>
      <c r="N573" s="1">
        <v>21800</v>
      </c>
      <c r="O573" s="12">
        <v>21000</v>
      </c>
      <c r="P573" s="3" t="s">
        <v>26</v>
      </c>
      <c r="Q573" s="1" cm="1">
        <f t="array" ref="Q573">VALUE(INDEX(_xlfn.TEXTSPLIT(P573, " "), 4))</f>
        <v>2014</v>
      </c>
      <c r="R573" s="1" t="str">
        <f t="shared" si="8"/>
        <v>Subaru Impreza WRX Base</v>
      </c>
      <c r="S573" s="1" t="str" cm="1">
        <f t="array" ref="S573">_xlfn.IFS(I573 &gt;= 40, "High", I573&gt;=20, "Medium", I573&lt;20, "Low")</f>
        <v>Medium</v>
      </c>
      <c r="T573" s="1" t="str" cm="1">
        <f t="array" ref="T573">_xlfn.IFS(O573&lt;18200, "Low", O573&lt;=50000, "Medium", O573&gt;50000, "High")</f>
        <v>Medium</v>
      </c>
    </row>
    <row r="574" spans="1:20" x14ac:dyDescent="0.25">
      <c r="A574" s="2">
        <v>2013</v>
      </c>
      <c r="B574" s="1" t="s">
        <v>927</v>
      </c>
      <c r="C574" s="1" t="s">
        <v>928</v>
      </c>
      <c r="D574" s="1" t="s">
        <v>663</v>
      </c>
      <c r="E574" s="1" t="s">
        <v>32</v>
      </c>
      <c r="F574" s="1" t="s">
        <v>20</v>
      </c>
      <c r="G574" s="1" t="s">
        <v>991</v>
      </c>
      <c r="H574" s="1" t="s">
        <v>22</v>
      </c>
      <c r="I574" s="1">
        <v>1</v>
      </c>
      <c r="J574" s="1">
        <v>48744</v>
      </c>
      <c r="K574" s="1" t="s">
        <v>101</v>
      </c>
      <c r="L574" s="1" t="s">
        <v>34</v>
      </c>
      <c r="M574" s="1" t="s">
        <v>436</v>
      </c>
      <c r="N574" s="1">
        <v>10600</v>
      </c>
      <c r="O574" s="12">
        <v>9500</v>
      </c>
      <c r="P574" s="3" t="s">
        <v>84</v>
      </c>
      <c r="Q574" s="1" cm="1">
        <f t="array" ref="Q574">VALUE(INDEX(_xlfn.TEXTSPLIT(P574, " "), 4))</f>
        <v>2014</v>
      </c>
      <c r="R574" s="1" t="str">
        <f t="shared" si="8"/>
        <v>Toyota Corolla LE</v>
      </c>
      <c r="S574" s="1" t="str" cm="1">
        <f t="array" ref="S574">_xlfn.IFS(I574 &gt;= 40, "High", I574&gt;=20, "Medium", I574&lt;20, "Low")</f>
        <v>Low</v>
      </c>
      <c r="T574" s="1" t="str" cm="1">
        <f t="array" ref="T574">_xlfn.IFS(O574&lt;18200, "Low", O574&lt;=50000, "Medium", O574&gt;50000, "High")</f>
        <v>Low</v>
      </c>
    </row>
    <row r="575" spans="1:20" x14ac:dyDescent="0.25">
      <c r="A575" s="2">
        <v>2013</v>
      </c>
      <c r="B575" s="1" t="s">
        <v>921</v>
      </c>
      <c r="C575" s="1" t="s">
        <v>992</v>
      </c>
      <c r="D575" s="1" t="s">
        <v>993</v>
      </c>
      <c r="E575" s="1" t="s">
        <v>227</v>
      </c>
      <c r="F575" s="1" t="s">
        <v>20</v>
      </c>
      <c r="G575" s="1" t="s">
        <v>994</v>
      </c>
      <c r="H575" s="1" t="s">
        <v>22</v>
      </c>
      <c r="I575" s="1">
        <v>44</v>
      </c>
      <c r="J575" s="1">
        <v>37320</v>
      </c>
      <c r="K575" s="1" t="s">
        <v>23</v>
      </c>
      <c r="L575" s="1" t="s">
        <v>24</v>
      </c>
      <c r="M575" s="1" t="s">
        <v>95</v>
      </c>
      <c r="N575" s="1">
        <v>11400</v>
      </c>
      <c r="O575" s="12">
        <v>11400</v>
      </c>
      <c r="P575" s="3" t="s">
        <v>57</v>
      </c>
      <c r="Q575" s="1" cm="1">
        <f t="array" ref="Q575">VALUE(INDEX(_xlfn.TEXTSPLIT(P575, " "), 4))</f>
        <v>2014</v>
      </c>
      <c r="R575" s="1" t="str">
        <f t="shared" si="8"/>
        <v>Volkswagen Beetle 2.5L PZEV</v>
      </c>
      <c r="S575" s="1" t="str" cm="1">
        <f t="array" ref="S575">_xlfn.IFS(I575 &gt;= 40, "High", I575&gt;=20, "Medium", I575&lt;20, "Low")</f>
        <v>High</v>
      </c>
      <c r="T575" s="1" t="str" cm="1">
        <f t="array" ref="T575">_xlfn.IFS(O575&lt;18200, "Low", O575&lt;=50000, "Medium", O575&gt;50000, "High")</f>
        <v>Low</v>
      </c>
    </row>
    <row r="576" spans="1:20" x14ac:dyDescent="0.25">
      <c r="A576" s="2">
        <v>2013</v>
      </c>
      <c r="B576" s="1" t="s">
        <v>47</v>
      </c>
      <c r="C576" s="1" t="s">
        <v>944</v>
      </c>
      <c r="D576" s="1" t="s">
        <v>936</v>
      </c>
      <c r="E576" s="1" t="s">
        <v>19</v>
      </c>
      <c r="F576" s="1"/>
      <c r="G576" s="1" t="s">
        <v>995</v>
      </c>
      <c r="H576" s="1" t="s">
        <v>22</v>
      </c>
      <c r="I576" s="1">
        <v>41</v>
      </c>
      <c r="J576" s="1">
        <v>40924</v>
      </c>
      <c r="K576" s="1" t="s">
        <v>101</v>
      </c>
      <c r="L576" s="1" t="s">
        <v>24</v>
      </c>
      <c r="M576" s="1" t="s">
        <v>984</v>
      </c>
      <c r="N576" s="1">
        <v>13200</v>
      </c>
      <c r="O576" s="12">
        <v>13000</v>
      </c>
      <c r="P576" s="3" t="s">
        <v>26</v>
      </c>
      <c r="Q576" s="1" cm="1">
        <f t="array" ref="Q576">VALUE(INDEX(_xlfn.TEXTSPLIT(P576, " "), 4))</f>
        <v>2014</v>
      </c>
      <c r="R576" s="1" t="str">
        <f t="shared" si="8"/>
        <v>Nissan Rogue S</v>
      </c>
      <c r="S576" s="1" t="str" cm="1">
        <f t="array" ref="S576">_xlfn.IFS(I576 &gt;= 40, "High", I576&gt;=20, "Medium", I576&lt;20, "Low")</f>
        <v>High</v>
      </c>
      <c r="T576" s="1" t="str" cm="1">
        <f t="array" ref="T576">_xlfn.IFS(O576&lt;18200, "Low", O576&lt;=50000, "Medium", O576&gt;50000, "High")</f>
        <v>Low</v>
      </c>
    </row>
    <row r="577" spans="1:20" x14ac:dyDescent="0.25">
      <c r="A577" s="2">
        <v>2013</v>
      </c>
      <c r="B577" s="1" t="s">
        <v>927</v>
      </c>
      <c r="C577" s="1" t="s">
        <v>996</v>
      </c>
      <c r="D577" s="1" t="s">
        <v>965</v>
      </c>
      <c r="E577" s="1" t="s">
        <v>32</v>
      </c>
      <c r="F577" s="1" t="s">
        <v>20</v>
      </c>
      <c r="G577" s="1" t="s">
        <v>997</v>
      </c>
      <c r="H577" s="1" t="s">
        <v>22</v>
      </c>
      <c r="I577" s="1">
        <v>33</v>
      </c>
      <c r="J577" s="1">
        <v>36159</v>
      </c>
      <c r="K577" s="1" t="s">
        <v>91</v>
      </c>
      <c r="L577" s="1" t="s">
        <v>91</v>
      </c>
      <c r="M577" s="1" t="s">
        <v>998</v>
      </c>
      <c r="N577" s="1">
        <v>18850</v>
      </c>
      <c r="O577" s="12">
        <v>19500</v>
      </c>
      <c r="P577" s="3" t="s">
        <v>251</v>
      </c>
      <c r="Q577" s="1" cm="1">
        <f t="array" ref="Q577">VALUE(INDEX(_xlfn.TEXTSPLIT(P577, " "), 4))</f>
        <v>2014</v>
      </c>
      <c r="R577" s="1" t="str">
        <f t="shared" si="8"/>
        <v>Toyota Avalon XLE</v>
      </c>
      <c r="S577" s="1" t="str" cm="1">
        <f t="array" ref="S577">_xlfn.IFS(I577 &gt;= 40, "High", I577&gt;=20, "Medium", I577&lt;20, "Low")</f>
        <v>Medium</v>
      </c>
      <c r="T577" s="1" t="str" cm="1">
        <f t="array" ref="T577">_xlfn.IFS(O577&lt;18200, "Low", O577&lt;=50000, "Medium", O577&gt;50000, "High")</f>
        <v>Medium</v>
      </c>
    </row>
    <row r="578" spans="1:20" x14ac:dyDescent="0.25">
      <c r="A578" s="2">
        <v>2013</v>
      </c>
      <c r="B578" s="1" t="s">
        <v>999</v>
      </c>
      <c r="C578" s="1" t="s">
        <v>1000</v>
      </c>
      <c r="D578" s="1" t="s">
        <v>54</v>
      </c>
      <c r="E578" s="1" t="s">
        <v>107</v>
      </c>
      <c r="F578" s="1" t="s">
        <v>20</v>
      </c>
      <c r="G578" s="1" t="s">
        <v>1001</v>
      </c>
      <c r="H578" s="1" t="s">
        <v>22</v>
      </c>
      <c r="I578" s="1">
        <v>24</v>
      </c>
      <c r="J578" s="1">
        <v>46283</v>
      </c>
      <c r="K578" s="1" t="s">
        <v>73</v>
      </c>
      <c r="L578" s="1" t="s">
        <v>24</v>
      </c>
      <c r="M578" s="1" t="s">
        <v>1002</v>
      </c>
      <c r="N578" s="1">
        <v>15800</v>
      </c>
      <c r="O578" s="12">
        <v>10600</v>
      </c>
      <c r="P578" s="3" t="s">
        <v>1003</v>
      </c>
      <c r="Q578" s="1" cm="1">
        <f t="array" ref="Q578">VALUE(INDEX(_xlfn.TEXTSPLIT(P578, " "), 4))</f>
        <v>2014</v>
      </c>
      <c r="R578" s="1" t="str">
        <f t="shared" si="8"/>
        <v>Scion FR-S Base</v>
      </c>
      <c r="S578" s="1" t="str" cm="1">
        <f t="array" ref="S578">_xlfn.IFS(I578 &gt;= 40, "High", I578&gt;=20, "Medium", I578&lt;20, "Low")</f>
        <v>Medium</v>
      </c>
      <c r="T578" s="1" t="str" cm="1">
        <f t="array" ref="T578">_xlfn.IFS(O578&lt;18200, "Low", O578&lt;=50000, "Medium", O578&gt;50000, "High")</f>
        <v>Low</v>
      </c>
    </row>
    <row r="579" spans="1:20" x14ac:dyDescent="0.25">
      <c r="A579" s="2">
        <v>2013</v>
      </c>
      <c r="B579" s="1" t="s">
        <v>47</v>
      </c>
      <c r="C579" s="1" t="s">
        <v>1004</v>
      </c>
      <c r="D579" s="1" t="s">
        <v>936</v>
      </c>
      <c r="E579" s="1" t="s">
        <v>738</v>
      </c>
      <c r="F579" s="1" t="s">
        <v>20</v>
      </c>
      <c r="G579" s="1" t="s">
        <v>1005</v>
      </c>
      <c r="H579" s="1" t="s">
        <v>22</v>
      </c>
      <c r="I579" s="1">
        <v>4</v>
      </c>
      <c r="J579" s="1">
        <v>9531</v>
      </c>
      <c r="K579" s="1" t="s">
        <v>23</v>
      </c>
      <c r="L579" s="1" t="s">
        <v>34</v>
      </c>
      <c r="M579" s="1" t="s">
        <v>892</v>
      </c>
      <c r="N579" s="1">
        <v>14550</v>
      </c>
      <c r="O579" s="12">
        <v>16000</v>
      </c>
      <c r="P579" s="3" t="s">
        <v>26</v>
      </c>
      <c r="Q579" s="1" cm="1">
        <f t="array" ref="Q579">VALUE(INDEX(_xlfn.TEXTSPLIT(P579, " "), 4))</f>
        <v>2014</v>
      </c>
      <c r="R579" s="1" t="str">
        <f t="shared" ref="R579:R642" si="9">_xlfn.TEXTJOIN(" ", TRUE, B579, C579, D579)</f>
        <v>Nissan NV200 S</v>
      </c>
      <c r="S579" s="1" t="str" cm="1">
        <f t="array" ref="S579">_xlfn.IFS(I579 &gt;= 40, "High", I579&gt;=20, "Medium", I579&lt;20, "Low")</f>
        <v>Low</v>
      </c>
      <c r="T579" s="1" t="str" cm="1">
        <f t="array" ref="T579">_xlfn.IFS(O579&lt;18200, "Low", O579&lt;=50000, "Medium", O579&gt;50000, "High")</f>
        <v>Low</v>
      </c>
    </row>
    <row r="580" spans="1:20" x14ac:dyDescent="0.25">
      <c r="A580" s="2">
        <v>2013</v>
      </c>
      <c r="B580" s="1" t="s">
        <v>47</v>
      </c>
      <c r="C580" s="1" t="s">
        <v>48</v>
      </c>
      <c r="D580" s="1">
        <v>2.5</v>
      </c>
      <c r="E580" s="1" t="s">
        <v>32</v>
      </c>
      <c r="F580" s="1" t="s">
        <v>20</v>
      </c>
      <c r="G580" s="1" t="s">
        <v>1006</v>
      </c>
      <c r="H580" s="1" t="s">
        <v>22</v>
      </c>
      <c r="I580" s="1">
        <v>38</v>
      </c>
      <c r="J580" s="1">
        <v>26637</v>
      </c>
      <c r="K580" s="1" t="s">
        <v>101</v>
      </c>
      <c r="L580" s="1" t="s">
        <v>24</v>
      </c>
      <c r="M580" s="1" t="s">
        <v>217</v>
      </c>
      <c r="N580" s="1">
        <v>14150</v>
      </c>
      <c r="O580" s="12">
        <v>14600</v>
      </c>
      <c r="P580" s="3" t="s">
        <v>57</v>
      </c>
      <c r="Q580" s="1" cm="1">
        <f t="array" ref="Q580">VALUE(INDEX(_xlfn.TEXTSPLIT(P580, " "), 4))</f>
        <v>2014</v>
      </c>
      <c r="R580" s="1" t="str">
        <f t="shared" si="9"/>
        <v>Nissan Altima 2.5</v>
      </c>
      <c r="S580" s="1" t="str" cm="1">
        <f t="array" ref="S580">_xlfn.IFS(I580 &gt;= 40, "High", I580&gt;=20, "Medium", I580&lt;20, "Low")</f>
        <v>Medium</v>
      </c>
      <c r="T580" s="1" t="str" cm="1">
        <f t="array" ref="T580">_xlfn.IFS(O580&lt;18200, "Low", O580&lt;=50000, "Medium", O580&gt;50000, "High")</f>
        <v>Low</v>
      </c>
    </row>
    <row r="581" spans="1:20" x14ac:dyDescent="0.25">
      <c r="A581" s="2">
        <v>2013</v>
      </c>
      <c r="B581" s="1" t="s">
        <v>927</v>
      </c>
      <c r="C581" s="1" t="s">
        <v>1007</v>
      </c>
      <c r="D581" s="1" t="s">
        <v>663</v>
      </c>
      <c r="E581" s="1" t="s">
        <v>19</v>
      </c>
      <c r="F581" s="1" t="s">
        <v>20</v>
      </c>
      <c r="G581" s="1" t="s">
        <v>1008</v>
      </c>
      <c r="H581" s="1" t="s">
        <v>22</v>
      </c>
      <c r="I581" s="1"/>
      <c r="J581" s="1">
        <v>54735</v>
      </c>
      <c r="K581" s="1" t="s">
        <v>34</v>
      </c>
      <c r="L581" s="1" t="s">
        <v>34</v>
      </c>
      <c r="M581" s="1" t="s">
        <v>406</v>
      </c>
      <c r="N581" s="1">
        <v>16800</v>
      </c>
      <c r="O581" s="12">
        <v>7000</v>
      </c>
      <c r="P581" s="3" t="s">
        <v>62</v>
      </c>
      <c r="Q581" s="1" cm="1">
        <f t="array" ref="Q581">VALUE(INDEX(_xlfn.TEXTSPLIT(P581, " "), 4))</f>
        <v>2014</v>
      </c>
      <c r="R581" s="1" t="str">
        <f t="shared" si="9"/>
        <v>Toyota RAV4 LE</v>
      </c>
      <c r="S581" s="1" t="str" cm="1">
        <f t="array" ref="S581">_xlfn.IFS(I581 &gt;= 40, "High", I581&gt;=20, "Medium", I581&lt;20, "Low")</f>
        <v>Low</v>
      </c>
      <c r="T581" s="1" t="str" cm="1">
        <f t="array" ref="T581">_xlfn.IFS(O581&lt;18200, "Low", O581&lt;=50000, "Medium", O581&gt;50000, "High")</f>
        <v>Low</v>
      </c>
    </row>
    <row r="582" spans="1:20" x14ac:dyDescent="0.25">
      <c r="A582" s="2">
        <v>2013</v>
      </c>
      <c r="B582" s="1" t="s">
        <v>921</v>
      </c>
      <c r="C582" s="1" t="s">
        <v>922</v>
      </c>
      <c r="D582" s="1" t="s">
        <v>1009</v>
      </c>
      <c r="E582" s="1" t="s">
        <v>32</v>
      </c>
      <c r="F582" s="1" t="s">
        <v>20</v>
      </c>
      <c r="G582" s="1" t="s">
        <v>1010</v>
      </c>
      <c r="H582" s="1" t="s">
        <v>22</v>
      </c>
      <c r="I582" s="1">
        <v>1</v>
      </c>
      <c r="J582" s="1">
        <v>27525</v>
      </c>
      <c r="K582" s="1" t="s">
        <v>288</v>
      </c>
      <c r="L582" s="1" t="s">
        <v>24</v>
      </c>
      <c r="M582" s="1" t="s">
        <v>1011</v>
      </c>
      <c r="N582" s="1">
        <v>11650</v>
      </c>
      <c r="O582" s="12">
        <v>4900</v>
      </c>
      <c r="P582" s="3" t="s">
        <v>1012</v>
      </c>
      <c r="Q582" s="1" cm="1">
        <f t="array" ref="Q582">VALUE(INDEX(_xlfn.TEXTSPLIT(P582, " "), 4))</f>
        <v>2015</v>
      </c>
      <c r="R582" s="1" t="str">
        <f t="shared" si="9"/>
        <v>Volkswagen Passat Wolfsburg Edition PZEV</v>
      </c>
      <c r="S582" s="1" t="str" cm="1">
        <f t="array" ref="S582">_xlfn.IFS(I582 &gt;= 40, "High", I582&gt;=20, "Medium", I582&lt;20, "Low")</f>
        <v>Low</v>
      </c>
      <c r="T582" s="1" t="str" cm="1">
        <f t="array" ref="T582">_xlfn.IFS(O582&lt;18200, "Low", O582&lt;=50000, "Medium", O582&gt;50000, "High")</f>
        <v>Low</v>
      </c>
    </row>
    <row r="583" spans="1:20" x14ac:dyDescent="0.25">
      <c r="A583" s="2">
        <v>2013</v>
      </c>
      <c r="B583" s="1" t="s">
        <v>47</v>
      </c>
      <c r="C583" s="1" t="s">
        <v>944</v>
      </c>
      <c r="D583" s="1" t="s">
        <v>936</v>
      </c>
      <c r="E583" s="1" t="s">
        <v>19</v>
      </c>
      <c r="F583" s="1" t="s">
        <v>20</v>
      </c>
      <c r="G583" s="1" t="s">
        <v>1013</v>
      </c>
      <c r="H583" s="1" t="s">
        <v>22</v>
      </c>
      <c r="I583" s="1">
        <v>21</v>
      </c>
      <c r="J583" s="1">
        <v>67280</v>
      </c>
      <c r="K583" s="1" t="s">
        <v>34</v>
      </c>
      <c r="L583" s="1" t="s">
        <v>24</v>
      </c>
      <c r="M583" s="1" t="s">
        <v>56</v>
      </c>
      <c r="N583" s="1">
        <v>12600</v>
      </c>
      <c r="O583" s="12">
        <v>11000</v>
      </c>
      <c r="P583" s="3" t="s">
        <v>853</v>
      </c>
      <c r="Q583" s="1" cm="1">
        <f t="array" ref="Q583">VALUE(INDEX(_xlfn.TEXTSPLIT(P583, " "), 4))</f>
        <v>2015</v>
      </c>
      <c r="R583" s="1" t="str">
        <f t="shared" si="9"/>
        <v>Nissan Rogue S</v>
      </c>
      <c r="S583" s="1" t="str" cm="1">
        <f t="array" ref="S583">_xlfn.IFS(I583 &gt;= 40, "High", I583&gt;=20, "Medium", I583&lt;20, "Low")</f>
        <v>Medium</v>
      </c>
      <c r="T583" s="1" t="str" cm="1">
        <f t="array" ref="T583">_xlfn.IFS(O583&lt;18200, "Low", O583&lt;=50000, "Medium", O583&gt;50000, "High")</f>
        <v>Low</v>
      </c>
    </row>
    <row r="584" spans="1:20" x14ac:dyDescent="0.25">
      <c r="A584" s="2">
        <v>2013</v>
      </c>
      <c r="B584" s="1" t="s">
        <v>47</v>
      </c>
      <c r="C584" s="1" t="s">
        <v>1014</v>
      </c>
      <c r="D584" s="1" t="s">
        <v>960</v>
      </c>
      <c r="E584" s="1" t="s">
        <v>738</v>
      </c>
      <c r="F584" s="1"/>
      <c r="G584" s="1" t="s">
        <v>1015</v>
      </c>
      <c r="H584" s="1" t="s">
        <v>22</v>
      </c>
      <c r="I584" s="1">
        <v>47</v>
      </c>
      <c r="J584" s="1">
        <v>10106</v>
      </c>
      <c r="K584" s="1" t="s">
        <v>132</v>
      </c>
      <c r="L584" s="1" t="s">
        <v>34</v>
      </c>
      <c r="M584" s="1" t="s">
        <v>651</v>
      </c>
      <c r="N584" s="1">
        <v>25100</v>
      </c>
      <c r="O584" s="12">
        <v>25750</v>
      </c>
      <c r="P584" s="3" t="s">
        <v>26</v>
      </c>
      <c r="Q584" s="1" cm="1">
        <f t="array" ref="Q584">VALUE(INDEX(_xlfn.TEXTSPLIT(P584, " "), 4))</f>
        <v>2014</v>
      </c>
      <c r="R584" s="1" t="str">
        <f t="shared" si="9"/>
        <v>Nissan Quest SL</v>
      </c>
      <c r="S584" s="1" t="str" cm="1">
        <f t="array" ref="S584">_xlfn.IFS(I584 &gt;= 40, "High", I584&gt;=20, "Medium", I584&lt;20, "Low")</f>
        <v>High</v>
      </c>
      <c r="T584" s="1" t="str" cm="1">
        <f t="array" ref="T584">_xlfn.IFS(O584&lt;18200, "Low", O584&lt;=50000, "Medium", O584&gt;50000, "High")</f>
        <v>Medium</v>
      </c>
    </row>
    <row r="585" spans="1:20" x14ac:dyDescent="0.25">
      <c r="A585" s="2">
        <v>2013</v>
      </c>
      <c r="B585" s="1" t="s">
        <v>921</v>
      </c>
      <c r="C585" s="1" t="s">
        <v>992</v>
      </c>
      <c r="D585" s="1" t="s">
        <v>993</v>
      </c>
      <c r="E585" s="1" t="s">
        <v>227</v>
      </c>
      <c r="F585" s="1" t="s">
        <v>20</v>
      </c>
      <c r="G585" s="1" t="s">
        <v>1016</v>
      </c>
      <c r="H585" s="1" t="s">
        <v>22</v>
      </c>
      <c r="I585" s="1">
        <v>42</v>
      </c>
      <c r="J585" s="1">
        <v>38180</v>
      </c>
      <c r="K585" s="1" t="s">
        <v>91</v>
      </c>
      <c r="L585" s="1" t="s">
        <v>24</v>
      </c>
      <c r="M585" s="1" t="s">
        <v>182</v>
      </c>
      <c r="N585" s="1">
        <v>11450</v>
      </c>
      <c r="O585" s="12">
        <v>11800</v>
      </c>
      <c r="P585" s="3" t="s">
        <v>270</v>
      </c>
      <c r="Q585" s="1" cm="1">
        <f t="array" ref="Q585">VALUE(INDEX(_xlfn.TEXTSPLIT(P585, " "), 4))</f>
        <v>2014</v>
      </c>
      <c r="R585" s="1" t="str">
        <f t="shared" si="9"/>
        <v>Volkswagen Beetle 2.5L PZEV</v>
      </c>
      <c r="S585" s="1" t="str" cm="1">
        <f t="array" ref="S585">_xlfn.IFS(I585 &gt;= 40, "High", I585&gt;=20, "Medium", I585&lt;20, "Low")</f>
        <v>High</v>
      </c>
      <c r="T585" s="1" t="str" cm="1">
        <f t="array" ref="T585">_xlfn.IFS(O585&lt;18200, "Low", O585&lt;=50000, "Medium", O585&gt;50000, "High")</f>
        <v>Low</v>
      </c>
    </row>
    <row r="586" spans="1:20" x14ac:dyDescent="0.25">
      <c r="A586" s="2">
        <v>2013</v>
      </c>
      <c r="B586" s="1" t="s">
        <v>921</v>
      </c>
      <c r="C586" s="1" t="s">
        <v>976</v>
      </c>
      <c r="D586" s="1" t="s">
        <v>1017</v>
      </c>
      <c r="E586" s="1" t="s">
        <v>32</v>
      </c>
      <c r="F586" s="1" t="s">
        <v>20</v>
      </c>
      <c r="G586" s="1" t="s">
        <v>1018</v>
      </c>
      <c r="H586" s="1" t="s">
        <v>22</v>
      </c>
      <c r="I586" s="1">
        <v>38</v>
      </c>
      <c r="J586" s="1">
        <v>34988</v>
      </c>
      <c r="K586" s="1" t="s">
        <v>34</v>
      </c>
      <c r="L586" s="1" t="s">
        <v>24</v>
      </c>
      <c r="M586" s="1" t="s">
        <v>1019</v>
      </c>
      <c r="N586" s="1">
        <v>16150</v>
      </c>
      <c r="O586" s="12">
        <v>15500</v>
      </c>
      <c r="P586" s="3" t="s">
        <v>36</v>
      </c>
      <c r="Q586" s="1" cm="1">
        <f t="array" ref="Q586">VALUE(INDEX(_xlfn.TEXTSPLIT(P586, " "), 4))</f>
        <v>2015</v>
      </c>
      <c r="R586" s="1" t="str">
        <f t="shared" si="9"/>
        <v>Volkswagen Jetta TDI</v>
      </c>
      <c r="S586" s="1" t="str" cm="1">
        <f t="array" ref="S586">_xlfn.IFS(I586 &gt;= 40, "High", I586&gt;=20, "Medium", I586&lt;20, "Low")</f>
        <v>Medium</v>
      </c>
      <c r="T586" s="1" t="str" cm="1">
        <f t="array" ref="T586">_xlfn.IFS(O586&lt;18200, "Low", O586&lt;=50000, "Medium", O586&gt;50000, "High")</f>
        <v>Low</v>
      </c>
    </row>
    <row r="587" spans="1:20" x14ac:dyDescent="0.25">
      <c r="A587" s="2">
        <v>2013</v>
      </c>
      <c r="B587" s="1" t="s">
        <v>927</v>
      </c>
      <c r="C587" s="1" t="s">
        <v>1020</v>
      </c>
      <c r="D587" s="1" t="s">
        <v>1020</v>
      </c>
      <c r="E587" s="1" t="s">
        <v>1021</v>
      </c>
      <c r="F587" s="1" t="s">
        <v>20</v>
      </c>
      <c r="G587" s="1" t="s">
        <v>1022</v>
      </c>
      <c r="H587" s="1" t="s">
        <v>22</v>
      </c>
      <c r="I587" s="1">
        <v>42</v>
      </c>
      <c r="J587" s="1">
        <v>102345</v>
      </c>
      <c r="K587" s="1" t="s">
        <v>101</v>
      </c>
      <c r="L587" s="1" t="s">
        <v>34</v>
      </c>
      <c r="M587" s="1" t="s">
        <v>742</v>
      </c>
      <c r="N587" s="1">
        <v>18850</v>
      </c>
      <c r="O587" s="12">
        <v>18500</v>
      </c>
      <c r="P587" s="3" t="s">
        <v>57</v>
      </c>
      <c r="Q587" s="1" cm="1">
        <f t="array" ref="Q587">VALUE(INDEX(_xlfn.TEXTSPLIT(P587, " "), 4))</f>
        <v>2014</v>
      </c>
      <c r="R587" s="1" t="str">
        <f t="shared" si="9"/>
        <v>Toyota Tundra Tundra</v>
      </c>
      <c r="S587" s="1" t="str" cm="1">
        <f t="array" ref="S587">_xlfn.IFS(I587 &gt;= 40, "High", I587&gt;=20, "Medium", I587&lt;20, "Low")</f>
        <v>High</v>
      </c>
      <c r="T587" s="1" t="str" cm="1">
        <f t="array" ref="T587">_xlfn.IFS(O587&lt;18200, "Low", O587&lt;=50000, "Medium", O587&gt;50000, "High")</f>
        <v>Medium</v>
      </c>
    </row>
    <row r="588" spans="1:20" x14ac:dyDescent="0.25">
      <c r="A588" s="2">
        <v>2013</v>
      </c>
      <c r="B588" s="1" t="s">
        <v>47</v>
      </c>
      <c r="C588" s="1" t="s">
        <v>48</v>
      </c>
      <c r="D588" s="1">
        <v>2.5</v>
      </c>
      <c r="E588" s="1" t="s">
        <v>32</v>
      </c>
      <c r="F588" s="1" t="s">
        <v>20</v>
      </c>
      <c r="G588" s="1" t="s">
        <v>1023</v>
      </c>
      <c r="H588" s="1" t="s">
        <v>22</v>
      </c>
      <c r="I588" s="1">
        <v>41</v>
      </c>
      <c r="J588" s="1">
        <v>13675</v>
      </c>
      <c r="K588" s="1" t="s">
        <v>28</v>
      </c>
      <c r="L588" s="1" t="s">
        <v>82</v>
      </c>
      <c r="M588" s="1" t="s">
        <v>217</v>
      </c>
      <c r="N588" s="1">
        <v>15150</v>
      </c>
      <c r="O588" s="12">
        <v>14750</v>
      </c>
      <c r="P588" s="3" t="s">
        <v>26</v>
      </c>
      <c r="Q588" s="1" cm="1">
        <f t="array" ref="Q588">VALUE(INDEX(_xlfn.TEXTSPLIT(P588, " "), 4))</f>
        <v>2014</v>
      </c>
      <c r="R588" s="1" t="str">
        <f t="shared" si="9"/>
        <v>Nissan Altima 2.5</v>
      </c>
      <c r="S588" s="1" t="str" cm="1">
        <f t="array" ref="S588">_xlfn.IFS(I588 &gt;= 40, "High", I588&gt;=20, "Medium", I588&lt;20, "Low")</f>
        <v>High</v>
      </c>
      <c r="T588" s="1" t="str" cm="1">
        <f t="array" ref="T588">_xlfn.IFS(O588&lt;18200, "Low", O588&lt;=50000, "Medium", O588&gt;50000, "High")</f>
        <v>Low</v>
      </c>
    </row>
    <row r="589" spans="1:20" x14ac:dyDescent="0.25">
      <c r="A589" s="2">
        <v>2013</v>
      </c>
      <c r="B589" s="1" t="s">
        <v>927</v>
      </c>
      <c r="C589" s="1" t="s">
        <v>985</v>
      </c>
      <c r="D589" s="1" t="s">
        <v>54</v>
      </c>
      <c r="E589" s="1" t="s">
        <v>19</v>
      </c>
      <c r="F589" s="1" t="s">
        <v>20</v>
      </c>
      <c r="G589" s="1" t="s">
        <v>1024</v>
      </c>
      <c r="H589" s="1" t="s">
        <v>22</v>
      </c>
      <c r="I589" s="1">
        <v>49</v>
      </c>
      <c r="J589" s="1">
        <v>36465</v>
      </c>
      <c r="K589" s="1" t="s">
        <v>132</v>
      </c>
      <c r="L589" s="1" t="s">
        <v>24</v>
      </c>
      <c r="M589" s="1" t="s">
        <v>998</v>
      </c>
      <c r="N589" s="1">
        <v>26900</v>
      </c>
      <c r="O589" s="12">
        <v>27000</v>
      </c>
      <c r="P589" s="3" t="s">
        <v>57</v>
      </c>
      <c r="Q589" s="1" cm="1">
        <f t="array" ref="Q589">VALUE(INDEX(_xlfn.TEXTSPLIT(P589, " "), 4))</f>
        <v>2014</v>
      </c>
      <c r="R589" s="1" t="str">
        <f t="shared" si="9"/>
        <v>Toyota FJ Cruiser Base</v>
      </c>
      <c r="S589" s="1" t="str" cm="1">
        <f t="array" ref="S589">_xlfn.IFS(I589 &gt;= 40, "High", I589&gt;=20, "Medium", I589&lt;20, "Low")</f>
        <v>High</v>
      </c>
      <c r="T589" s="1" t="str" cm="1">
        <f t="array" ref="T589">_xlfn.IFS(O589&lt;18200, "Low", O589&lt;=50000, "Medium", O589&gt;50000, "High")</f>
        <v>Medium</v>
      </c>
    </row>
    <row r="590" spans="1:20" x14ac:dyDescent="0.25">
      <c r="A590" s="2">
        <v>2013</v>
      </c>
      <c r="B590" s="1" t="s">
        <v>47</v>
      </c>
      <c r="C590" s="1" t="s">
        <v>944</v>
      </c>
      <c r="D590" s="1" t="s">
        <v>936</v>
      </c>
      <c r="E590" s="1" t="s">
        <v>19</v>
      </c>
      <c r="F590" s="1"/>
      <c r="G590" s="1" t="s">
        <v>1025</v>
      </c>
      <c r="H590" s="1" t="s">
        <v>22</v>
      </c>
      <c r="I590" s="1">
        <v>41</v>
      </c>
      <c r="J590" s="1">
        <v>22425</v>
      </c>
      <c r="K590" s="1" t="s">
        <v>23</v>
      </c>
      <c r="L590" s="1" t="s">
        <v>24</v>
      </c>
      <c r="M590" s="1" t="s">
        <v>984</v>
      </c>
      <c r="N590" s="1">
        <v>15000</v>
      </c>
      <c r="O590" s="12">
        <v>15250</v>
      </c>
      <c r="P590" s="3" t="s">
        <v>26</v>
      </c>
      <c r="Q590" s="1" cm="1">
        <f t="array" ref="Q590">VALUE(INDEX(_xlfn.TEXTSPLIT(P590, " "), 4))</f>
        <v>2014</v>
      </c>
      <c r="R590" s="1" t="str">
        <f t="shared" si="9"/>
        <v>Nissan Rogue S</v>
      </c>
      <c r="S590" s="1" t="str" cm="1">
        <f t="array" ref="S590">_xlfn.IFS(I590 &gt;= 40, "High", I590&gt;=20, "Medium", I590&lt;20, "Low")</f>
        <v>High</v>
      </c>
      <c r="T590" s="1" t="str" cm="1">
        <f t="array" ref="T590">_xlfn.IFS(O590&lt;18200, "Low", O590&lt;=50000, "Medium", O590&gt;50000, "High")</f>
        <v>Low</v>
      </c>
    </row>
    <row r="591" spans="1:20" x14ac:dyDescent="0.25">
      <c r="A591" s="2">
        <v>2013</v>
      </c>
      <c r="B591" s="1" t="s">
        <v>999</v>
      </c>
      <c r="C591" s="1" t="s">
        <v>1026</v>
      </c>
      <c r="D591" s="1" t="s">
        <v>54</v>
      </c>
      <c r="E591" s="1" t="s">
        <v>227</v>
      </c>
      <c r="F591" s="1" t="s">
        <v>214</v>
      </c>
      <c r="G591" s="1" t="s">
        <v>1027</v>
      </c>
      <c r="H591" s="1" t="s">
        <v>22</v>
      </c>
      <c r="I591" s="1"/>
      <c r="J591" s="1">
        <v>19584</v>
      </c>
      <c r="K591" s="1" t="s">
        <v>34</v>
      </c>
      <c r="L591" s="1" t="s">
        <v>24</v>
      </c>
      <c r="M591" s="1" t="s">
        <v>1028</v>
      </c>
      <c r="N591" s="1">
        <v>13800</v>
      </c>
      <c r="O591" s="12">
        <v>14400</v>
      </c>
      <c r="P591" s="3" t="s">
        <v>57</v>
      </c>
      <c r="Q591" s="1" cm="1">
        <f t="array" ref="Q591">VALUE(INDEX(_xlfn.TEXTSPLIT(P591, " "), 4))</f>
        <v>2014</v>
      </c>
      <c r="R591" s="1" t="str">
        <f t="shared" si="9"/>
        <v>Scion tC Base</v>
      </c>
      <c r="S591" s="1" t="str" cm="1">
        <f t="array" ref="S591">_xlfn.IFS(I591 &gt;= 40, "High", I591&gt;=20, "Medium", I591&lt;20, "Low")</f>
        <v>Low</v>
      </c>
      <c r="T591" s="1" t="str" cm="1">
        <f t="array" ref="T591">_xlfn.IFS(O591&lt;18200, "Low", O591&lt;=50000, "Medium", O591&gt;50000, "High")</f>
        <v>Low</v>
      </c>
    </row>
    <row r="592" spans="1:20" x14ac:dyDescent="0.25">
      <c r="A592" s="2">
        <v>2013</v>
      </c>
      <c r="B592" s="1" t="s">
        <v>47</v>
      </c>
      <c r="C592" s="1" t="s">
        <v>48</v>
      </c>
      <c r="D592" s="1">
        <v>2.5</v>
      </c>
      <c r="E592" s="1" t="s">
        <v>32</v>
      </c>
      <c r="F592" s="1" t="s">
        <v>20</v>
      </c>
      <c r="G592" s="1" t="s">
        <v>1029</v>
      </c>
      <c r="H592" s="1" t="s">
        <v>22</v>
      </c>
      <c r="I592" s="1">
        <v>41</v>
      </c>
      <c r="J592" s="1">
        <v>5997</v>
      </c>
      <c r="K592" s="1" t="s">
        <v>101</v>
      </c>
      <c r="L592" s="1" t="s">
        <v>28</v>
      </c>
      <c r="M592" s="1" t="s">
        <v>217</v>
      </c>
      <c r="N592" s="1">
        <v>15700</v>
      </c>
      <c r="O592" s="12">
        <v>17250</v>
      </c>
      <c r="P592" s="3" t="s">
        <v>26</v>
      </c>
      <c r="Q592" s="1" cm="1">
        <f t="array" ref="Q592">VALUE(INDEX(_xlfn.TEXTSPLIT(P592, " "), 4))</f>
        <v>2014</v>
      </c>
      <c r="R592" s="1" t="str">
        <f t="shared" si="9"/>
        <v>Nissan Altima 2.5</v>
      </c>
      <c r="S592" s="1" t="str" cm="1">
        <f t="array" ref="S592">_xlfn.IFS(I592 &gt;= 40, "High", I592&gt;=20, "Medium", I592&lt;20, "Low")</f>
        <v>High</v>
      </c>
      <c r="T592" s="1" t="str" cm="1">
        <f t="array" ref="T592">_xlfn.IFS(O592&lt;18200, "Low", O592&lt;=50000, "Medium", O592&gt;50000, "High")</f>
        <v>Low</v>
      </c>
    </row>
    <row r="593" spans="1:20" x14ac:dyDescent="0.25">
      <c r="A593" s="2">
        <v>2013</v>
      </c>
      <c r="B593" s="1" t="s">
        <v>47</v>
      </c>
      <c r="C593" s="1" t="s">
        <v>1030</v>
      </c>
      <c r="D593" s="1" t="s">
        <v>1031</v>
      </c>
      <c r="E593" s="1" t="s">
        <v>32</v>
      </c>
      <c r="F593" s="1" t="s">
        <v>20</v>
      </c>
      <c r="G593" s="1" t="s">
        <v>1032</v>
      </c>
      <c r="H593" s="1" t="s">
        <v>22</v>
      </c>
      <c r="I593" s="1">
        <v>44</v>
      </c>
      <c r="J593" s="1">
        <v>29616</v>
      </c>
      <c r="K593" s="1" t="s">
        <v>23</v>
      </c>
      <c r="L593" s="1" t="s">
        <v>24</v>
      </c>
      <c r="M593" s="1" t="s">
        <v>984</v>
      </c>
      <c r="N593" s="1">
        <v>19000</v>
      </c>
      <c r="O593" s="12">
        <v>22500</v>
      </c>
      <c r="P593" s="3" t="s">
        <v>26</v>
      </c>
      <c r="Q593" s="1" cm="1">
        <f t="array" ref="Q593">VALUE(INDEX(_xlfn.TEXTSPLIT(P593, " "), 4))</f>
        <v>2014</v>
      </c>
      <c r="R593" s="1" t="str">
        <f t="shared" si="9"/>
        <v>Nissan Maxima 3.5 SV</v>
      </c>
      <c r="S593" s="1" t="str" cm="1">
        <f t="array" ref="S593">_xlfn.IFS(I593 &gt;= 40, "High", I593&gt;=20, "Medium", I593&lt;20, "Low")</f>
        <v>High</v>
      </c>
      <c r="T593" s="1" t="str" cm="1">
        <f t="array" ref="T593">_xlfn.IFS(O593&lt;18200, "Low", O593&lt;=50000, "Medium", O593&gt;50000, "High")</f>
        <v>Medium</v>
      </c>
    </row>
    <row r="594" spans="1:20" x14ac:dyDescent="0.25">
      <c r="A594" s="2">
        <v>2013</v>
      </c>
      <c r="B594" s="1" t="s">
        <v>1033</v>
      </c>
      <c r="C594" s="1" t="s">
        <v>1034</v>
      </c>
      <c r="D594" s="1" t="s">
        <v>54</v>
      </c>
      <c r="E594" s="1" t="s">
        <v>19</v>
      </c>
      <c r="F594" s="1" t="s">
        <v>20</v>
      </c>
      <c r="G594" s="1" t="s">
        <v>1035</v>
      </c>
      <c r="H594" s="1" t="s">
        <v>22</v>
      </c>
      <c r="I594" s="1">
        <v>37</v>
      </c>
      <c r="J594" s="1">
        <v>15746</v>
      </c>
      <c r="K594" s="1" t="s">
        <v>34</v>
      </c>
      <c r="L594" s="1" t="s">
        <v>24</v>
      </c>
      <c r="M594" s="1" t="s">
        <v>56</v>
      </c>
      <c r="N594" s="1">
        <v>49300</v>
      </c>
      <c r="O594" s="12">
        <v>46500</v>
      </c>
      <c r="P594" s="3" t="s">
        <v>26</v>
      </c>
      <c r="Q594" s="1" cm="1">
        <f t="array" ref="Q594">VALUE(INDEX(_xlfn.TEXTSPLIT(P594, " "), 4))</f>
        <v>2014</v>
      </c>
      <c r="R594" s="1" t="str">
        <f t="shared" si="9"/>
        <v>Porsche Cayenne Base</v>
      </c>
      <c r="S594" s="1" t="str" cm="1">
        <f t="array" ref="S594">_xlfn.IFS(I594 &gt;= 40, "High", I594&gt;=20, "Medium", I594&lt;20, "Low")</f>
        <v>Medium</v>
      </c>
      <c r="T594" s="1" t="str" cm="1">
        <f t="array" ref="T594">_xlfn.IFS(O594&lt;18200, "Low", O594&lt;=50000, "Medium", O594&gt;50000, "High")</f>
        <v>Medium</v>
      </c>
    </row>
    <row r="595" spans="1:20" x14ac:dyDescent="0.25">
      <c r="A595" s="2">
        <v>2013</v>
      </c>
      <c r="B595" s="1" t="s">
        <v>47</v>
      </c>
      <c r="C595" s="1" t="s">
        <v>940</v>
      </c>
      <c r="D595" s="1" t="s">
        <v>936</v>
      </c>
      <c r="E595" s="1" t="s">
        <v>32</v>
      </c>
      <c r="F595" s="1"/>
      <c r="G595" s="1" t="s">
        <v>1036</v>
      </c>
      <c r="H595" s="1" t="s">
        <v>22</v>
      </c>
      <c r="I595" s="1">
        <v>36</v>
      </c>
      <c r="J595" s="1">
        <v>44428</v>
      </c>
      <c r="K595" s="1" t="s">
        <v>23</v>
      </c>
      <c r="L595" s="1" t="s">
        <v>34</v>
      </c>
      <c r="M595" s="1" t="s">
        <v>984</v>
      </c>
      <c r="N595" s="1">
        <v>11000</v>
      </c>
      <c r="O595" s="12">
        <v>11000</v>
      </c>
      <c r="P595" s="3" t="s">
        <v>26</v>
      </c>
      <c r="Q595" s="1" cm="1">
        <f t="array" ref="Q595">VALUE(INDEX(_xlfn.TEXTSPLIT(P595, " "), 4))</f>
        <v>2014</v>
      </c>
      <c r="R595" s="1" t="str">
        <f t="shared" si="9"/>
        <v>Nissan Sentra S</v>
      </c>
      <c r="S595" s="1" t="str" cm="1">
        <f t="array" ref="S595">_xlfn.IFS(I595 &gt;= 40, "High", I595&gt;=20, "Medium", I595&lt;20, "Low")</f>
        <v>Medium</v>
      </c>
      <c r="T595" s="1" t="str" cm="1">
        <f t="array" ref="T595">_xlfn.IFS(O595&lt;18200, "Low", O595&lt;=50000, "Medium", O595&gt;50000, "High")</f>
        <v>Low</v>
      </c>
    </row>
    <row r="596" spans="1:20" x14ac:dyDescent="0.25">
      <c r="A596" s="2">
        <v>2013</v>
      </c>
      <c r="B596" s="1" t="s">
        <v>1033</v>
      </c>
      <c r="C596" s="1">
        <v>911</v>
      </c>
      <c r="D596" s="1" t="s">
        <v>1037</v>
      </c>
      <c r="E596" s="1" t="s">
        <v>71</v>
      </c>
      <c r="F596" s="1" t="s">
        <v>20</v>
      </c>
      <c r="G596" s="1" t="s">
        <v>1038</v>
      </c>
      <c r="H596" s="1" t="s">
        <v>22</v>
      </c>
      <c r="I596" s="1">
        <v>46</v>
      </c>
      <c r="J596" s="1">
        <v>16868</v>
      </c>
      <c r="K596" s="1" t="s">
        <v>24</v>
      </c>
      <c r="L596" s="1" t="s">
        <v>24</v>
      </c>
      <c r="M596" s="1" t="s">
        <v>1039</v>
      </c>
      <c r="N596" s="1">
        <v>80000</v>
      </c>
      <c r="O596" s="12">
        <v>88500</v>
      </c>
      <c r="P596" s="3" t="s">
        <v>46</v>
      </c>
      <c r="Q596" s="1" cm="1">
        <f t="array" ref="Q596">VALUE(INDEX(_xlfn.TEXTSPLIT(P596, " "), 4))</f>
        <v>2014</v>
      </c>
      <c r="R596" s="1" t="str">
        <f t="shared" si="9"/>
        <v>Porsche 911 Carrera S</v>
      </c>
      <c r="S596" s="1" t="str" cm="1">
        <f t="array" ref="S596">_xlfn.IFS(I596 &gt;= 40, "High", I596&gt;=20, "Medium", I596&lt;20, "Low")</f>
        <v>High</v>
      </c>
      <c r="T596" s="1" t="str" cm="1">
        <f t="array" ref="T596">_xlfn.IFS(O596&lt;18200, "Low", O596&lt;=50000, "Medium", O596&gt;50000, "High")</f>
        <v>High</v>
      </c>
    </row>
    <row r="597" spans="1:20" x14ac:dyDescent="0.25">
      <c r="A597" s="2">
        <v>2013</v>
      </c>
      <c r="B597" s="1" t="s">
        <v>921</v>
      </c>
      <c r="C597" s="1" t="s">
        <v>922</v>
      </c>
      <c r="D597" s="1" t="s">
        <v>923</v>
      </c>
      <c r="E597" s="1" t="s">
        <v>32</v>
      </c>
      <c r="F597" s="1" t="s">
        <v>20</v>
      </c>
      <c r="G597" s="1" t="s">
        <v>1040</v>
      </c>
      <c r="H597" s="1" t="s">
        <v>22</v>
      </c>
      <c r="I597" s="1">
        <v>35</v>
      </c>
      <c r="J597" s="1">
        <v>37102</v>
      </c>
      <c r="K597" s="1" t="s">
        <v>91</v>
      </c>
      <c r="L597" s="1" t="s">
        <v>24</v>
      </c>
      <c r="M597" s="1" t="s">
        <v>182</v>
      </c>
      <c r="N597" s="1">
        <v>13500</v>
      </c>
      <c r="O597" s="12">
        <v>13500</v>
      </c>
      <c r="P597" s="3" t="s">
        <v>264</v>
      </c>
      <c r="Q597" s="1" cm="1">
        <f t="array" ref="Q597">VALUE(INDEX(_xlfn.TEXTSPLIT(P597, " "), 4))</f>
        <v>2015</v>
      </c>
      <c r="R597" s="1" t="str">
        <f t="shared" si="9"/>
        <v>Volkswagen Passat SE PZEV</v>
      </c>
      <c r="S597" s="1" t="str" cm="1">
        <f t="array" ref="S597">_xlfn.IFS(I597 &gt;= 40, "High", I597&gt;=20, "Medium", I597&lt;20, "Low")</f>
        <v>Medium</v>
      </c>
      <c r="T597" s="1" t="str" cm="1">
        <f t="array" ref="T597">_xlfn.IFS(O597&lt;18200, "Low", O597&lt;=50000, "Medium", O597&gt;50000, "High")</f>
        <v>Low</v>
      </c>
    </row>
    <row r="598" spans="1:20" x14ac:dyDescent="0.25">
      <c r="A598" s="2">
        <v>2013</v>
      </c>
      <c r="B598" s="1" t="s">
        <v>921</v>
      </c>
      <c r="C598" s="1" t="s">
        <v>976</v>
      </c>
      <c r="D598" s="1" t="s">
        <v>923</v>
      </c>
      <c r="E598" s="1" t="s">
        <v>32</v>
      </c>
      <c r="F598" s="1" t="s">
        <v>20</v>
      </c>
      <c r="G598" s="1" t="s">
        <v>1041</v>
      </c>
      <c r="H598" s="1" t="s">
        <v>22</v>
      </c>
      <c r="I598" s="1">
        <v>33</v>
      </c>
      <c r="J598" s="1">
        <v>39554</v>
      </c>
      <c r="K598" s="1" t="s">
        <v>24</v>
      </c>
      <c r="L598" s="1" t="s">
        <v>24</v>
      </c>
      <c r="M598" s="1" t="s">
        <v>182</v>
      </c>
      <c r="N598" s="1">
        <v>10850</v>
      </c>
      <c r="O598" s="12">
        <v>11400</v>
      </c>
      <c r="P598" s="3" t="s">
        <v>26</v>
      </c>
      <c r="Q598" s="1" cm="1">
        <f t="array" ref="Q598">VALUE(INDEX(_xlfn.TEXTSPLIT(P598, " "), 4))</f>
        <v>2014</v>
      </c>
      <c r="R598" s="1" t="str">
        <f t="shared" si="9"/>
        <v>Volkswagen Jetta SE PZEV</v>
      </c>
      <c r="S598" s="1" t="str" cm="1">
        <f t="array" ref="S598">_xlfn.IFS(I598 &gt;= 40, "High", I598&gt;=20, "Medium", I598&lt;20, "Low")</f>
        <v>Medium</v>
      </c>
      <c r="T598" s="1" t="str" cm="1">
        <f t="array" ref="T598">_xlfn.IFS(O598&lt;18200, "Low", O598&lt;=50000, "Medium", O598&gt;50000, "High")</f>
        <v>Low</v>
      </c>
    </row>
    <row r="599" spans="1:20" x14ac:dyDescent="0.25">
      <c r="A599" s="2">
        <v>2013</v>
      </c>
      <c r="B599" s="1" t="s">
        <v>47</v>
      </c>
      <c r="C599" s="1" t="s">
        <v>48</v>
      </c>
      <c r="D599" s="1">
        <v>2.5</v>
      </c>
      <c r="E599" s="1" t="s">
        <v>32</v>
      </c>
      <c r="F599" s="1" t="s">
        <v>20</v>
      </c>
      <c r="G599" s="1" t="s">
        <v>1042</v>
      </c>
      <c r="H599" s="1" t="s">
        <v>22</v>
      </c>
      <c r="I599" s="1">
        <v>3</v>
      </c>
      <c r="J599" s="1">
        <v>24185</v>
      </c>
      <c r="K599" s="1" t="s">
        <v>24</v>
      </c>
      <c r="L599" s="1" t="s">
        <v>24</v>
      </c>
      <c r="M599" s="1" t="s">
        <v>680</v>
      </c>
      <c r="N599" s="1">
        <v>14500</v>
      </c>
      <c r="O599" s="12">
        <v>12900</v>
      </c>
      <c r="P599" s="3" t="s">
        <v>57</v>
      </c>
      <c r="Q599" s="1" cm="1">
        <f t="array" ref="Q599">VALUE(INDEX(_xlfn.TEXTSPLIT(P599, " "), 4))</f>
        <v>2014</v>
      </c>
      <c r="R599" s="1" t="str">
        <f t="shared" si="9"/>
        <v>Nissan Altima 2.5</v>
      </c>
      <c r="S599" s="1" t="str" cm="1">
        <f t="array" ref="S599">_xlfn.IFS(I599 &gt;= 40, "High", I599&gt;=20, "Medium", I599&lt;20, "Low")</f>
        <v>Low</v>
      </c>
      <c r="T599" s="1" t="str" cm="1">
        <f t="array" ref="T599">_xlfn.IFS(O599&lt;18200, "Low", O599&lt;=50000, "Medium", O599&gt;50000, "High")</f>
        <v>Low</v>
      </c>
    </row>
    <row r="600" spans="1:20" x14ac:dyDescent="0.25">
      <c r="A600" s="2">
        <v>2013</v>
      </c>
      <c r="B600" s="1" t="s">
        <v>47</v>
      </c>
      <c r="C600" s="1" t="s">
        <v>1043</v>
      </c>
      <c r="D600" s="1" t="s">
        <v>936</v>
      </c>
      <c r="E600" s="1" t="s">
        <v>19</v>
      </c>
      <c r="F600" s="1" t="s">
        <v>20</v>
      </c>
      <c r="G600" s="1" t="s">
        <v>1044</v>
      </c>
      <c r="H600" s="1" t="s">
        <v>22</v>
      </c>
      <c r="I600" s="1">
        <v>4</v>
      </c>
      <c r="J600" s="1">
        <v>37767</v>
      </c>
      <c r="K600" s="1" t="s">
        <v>24</v>
      </c>
      <c r="L600" s="1" t="s">
        <v>34</v>
      </c>
      <c r="M600" s="1" t="s">
        <v>95</v>
      </c>
      <c r="N600" s="1">
        <v>18250</v>
      </c>
      <c r="O600" s="12">
        <v>18300</v>
      </c>
      <c r="P600" s="3" t="s">
        <v>57</v>
      </c>
      <c r="Q600" s="1" cm="1">
        <f t="array" ref="Q600">VALUE(INDEX(_xlfn.TEXTSPLIT(P600, " "), 4))</f>
        <v>2014</v>
      </c>
      <c r="R600" s="1" t="str">
        <f t="shared" si="9"/>
        <v>Nissan Xterra S</v>
      </c>
      <c r="S600" s="1" t="str" cm="1">
        <f t="array" ref="S600">_xlfn.IFS(I600 &gt;= 40, "High", I600&gt;=20, "Medium", I600&lt;20, "Low")</f>
        <v>Low</v>
      </c>
      <c r="T600" s="1" t="str" cm="1">
        <f t="array" ref="T600">_xlfn.IFS(O600&lt;18200, "Low", O600&lt;=50000, "Medium", O600&gt;50000, "High")</f>
        <v>Medium</v>
      </c>
    </row>
    <row r="601" spans="1:20" x14ac:dyDescent="0.25">
      <c r="A601" s="2">
        <v>2013</v>
      </c>
      <c r="B601" s="1" t="s">
        <v>47</v>
      </c>
      <c r="C601" s="1" t="s">
        <v>212</v>
      </c>
      <c r="D601" s="1" t="s">
        <v>988</v>
      </c>
      <c r="E601" s="1" t="s">
        <v>32</v>
      </c>
      <c r="F601" s="1" t="s">
        <v>20</v>
      </c>
      <c r="G601" s="1" t="s">
        <v>1045</v>
      </c>
      <c r="H601" s="1" t="s">
        <v>22</v>
      </c>
      <c r="I601" s="1">
        <v>43</v>
      </c>
      <c r="J601" s="1">
        <v>26850</v>
      </c>
      <c r="K601" s="1" t="s">
        <v>94</v>
      </c>
      <c r="L601" s="1" t="s">
        <v>24</v>
      </c>
      <c r="M601" s="1" t="s">
        <v>1046</v>
      </c>
      <c r="N601" s="1">
        <v>10100</v>
      </c>
      <c r="O601" s="12">
        <v>9500</v>
      </c>
      <c r="P601" s="3" t="s">
        <v>57</v>
      </c>
      <c r="Q601" s="1" cm="1">
        <f t="array" ref="Q601">VALUE(INDEX(_xlfn.TEXTSPLIT(P601, " "), 4))</f>
        <v>2014</v>
      </c>
      <c r="R601" s="1" t="str">
        <f t="shared" si="9"/>
        <v>Nissan Versa 1.6 S Plus</v>
      </c>
      <c r="S601" s="1" t="str" cm="1">
        <f t="array" ref="S601">_xlfn.IFS(I601 &gt;= 40, "High", I601&gt;=20, "Medium", I601&lt;20, "Low")</f>
        <v>High</v>
      </c>
      <c r="T601" s="1" t="str" cm="1">
        <f t="array" ref="T601">_xlfn.IFS(O601&lt;18200, "Low", O601&lt;=50000, "Medium", O601&gt;50000, "High")</f>
        <v>Low</v>
      </c>
    </row>
    <row r="602" spans="1:20" x14ac:dyDescent="0.25">
      <c r="A602" s="2">
        <v>2013</v>
      </c>
      <c r="B602" s="1" t="s">
        <v>47</v>
      </c>
      <c r="C602" s="1" t="s">
        <v>944</v>
      </c>
      <c r="D602" s="1" t="s">
        <v>936</v>
      </c>
      <c r="E602" s="1" t="s">
        <v>19</v>
      </c>
      <c r="F602" s="1" t="s">
        <v>20</v>
      </c>
      <c r="G602" s="1" t="s">
        <v>1047</v>
      </c>
      <c r="H602" s="1" t="s">
        <v>22</v>
      </c>
      <c r="I602" s="1">
        <v>39</v>
      </c>
      <c r="J602" s="1">
        <v>41214</v>
      </c>
      <c r="K602" s="1" t="s">
        <v>34</v>
      </c>
      <c r="L602" s="1" t="s">
        <v>24</v>
      </c>
      <c r="M602" s="1" t="s">
        <v>728</v>
      </c>
      <c r="N602" s="1">
        <v>14250</v>
      </c>
      <c r="O602" s="12">
        <v>13400</v>
      </c>
      <c r="P602" s="3" t="s">
        <v>459</v>
      </c>
      <c r="Q602" s="1" cm="1">
        <f t="array" ref="Q602">VALUE(INDEX(_xlfn.TEXTSPLIT(P602, " "), 4))</f>
        <v>2014</v>
      </c>
      <c r="R602" s="1" t="str">
        <f t="shared" si="9"/>
        <v>Nissan Rogue S</v>
      </c>
      <c r="S602" s="1" t="str" cm="1">
        <f t="array" ref="S602">_xlfn.IFS(I602 &gt;= 40, "High", I602&gt;=20, "Medium", I602&lt;20, "Low")</f>
        <v>Medium</v>
      </c>
      <c r="T602" s="1" t="str" cm="1">
        <f t="array" ref="T602">_xlfn.IFS(O602&lt;18200, "Low", O602&lt;=50000, "Medium", O602&gt;50000, "High")</f>
        <v>Low</v>
      </c>
    </row>
    <row r="603" spans="1:20" x14ac:dyDescent="0.25">
      <c r="A603" s="2">
        <v>2013</v>
      </c>
      <c r="B603" s="1" t="s">
        <v>47</v>
      </c>
      <c r="C603" s="1" t="s">
        <v>940</v>
      </c>
      <c r="D603" s="1" t="s">
        <v>941</v>
      </c>
      <c r="E603" s="1" t="s">
        <v>32</v>
      </c>
      <c r="F603" s="1" t="s">
        <v>20</v>
      </c>
      <c r="G603" s="1" t="s">
        <v>1048</v>
      </c>
      <c r="H603" s="1" t="s">
        <v>22</v>
      </c>
      <c r="I603" s="1">
        <v>37</v>
      </c>
      <c r="J603" s="1">
        <v>29111</v>
      </c>
      <c r="K603" s="1" t="s">
        <v>73</v>
      </c>
      <c r="L603" s="1" t="s">
        <v>24</v>
      </c>
      <c r="M603" s="1" t="s">
        <v>946</v>
      </c>
      <c r="N603" s="1">
        <v>11900</v>
      </c>
      <c r="O603" s="12">
        <v>12200</v>
      </c>
      <c r="P603" s="3" t="s">
        <v>68</v>
      </c>
      <c r="Q603" s="1" cm="1">
        <f t="array" ref="Q603">VALUE(INDEX(_xlfn.TEXTSPLIT(P603, " "), 4))</f>
        <v>2014</v>
      </c>
      <c r="R603" s="1" t="str">
        <f t="shared" si="9"/>
        <v>Nissan Sentra SR</v>
      </c>
      <c r="S603" s="1" t="str" cm="1">
        <f t="array" ref="S603">_xlfn.IFS(I603 &gt;= 40, "High", I603&gt;=20, "Medium", I603&lt;20, "Low")</f>
        <v>Medium</v>
      </c>
      <c r="T603" s="1" t="str" cm="1">
        <f t="array" ref="T603">_xlfn.IFS(O603&lt;18200, "Low", O603&lt;=50000, "Medium", O603&gt;50000, "High")</f>
        <v>Low</v>
      </c>
    </row>
    <row r="604" spans="1:20" x14ac:dyDescent="0.25">
      <c r="A604" s="2">
        <v>2013</v>
      </c>
      <c r="B604" s="1" t="s">
        <v>927</v>
      </c>
      <c r="C604" s="1" t="s">
        <v>1020</v>
      </c>
      <c r="D604" s="1" t="s">
        <v>1020</v>
      </c>
      <c r="E604" s="1" t="s">
        <v>1021</v>
      </c>
      <c r="F604" s="1" t="s">
        <v>20</v>
      </c>
      <c r="G604" s="1" t="s">
        <v>1049</v>
      </c>
      <c r="H604" s="1" t="s">
        <v>22</v>
      </c>
      <c r="I604" s="1">
        <v>45</v>
      </c>
      <c r="J604" s="1">
        <v>82186</v>
      </c>
      <c r="K604" s="1" t="s">
        <v>101</v>
      </c>
      <c r="L604" s="1" t="s">
        <v>28</v>
      </c>
      <c r="M604" s="1" t="s">
        <v>742</v>
      </c>
      <c r="N604" s="1">
        <v>19900</v>
      </c>
      <c r="O604" s="12">
        <v>20250</v>
      </c>
      <c r="P604" s="3" t="s">
        <v>57</v>
      </c>
      <c r="Q604" s="1" cm="1">
        <f t="array" ref="Q604">VALUE(INDEX(_xlfn.TEXTSPLIT(P604, " "), 4))</f>
        <v>2014</v>
      </c>
      <c r="R604" s="1" t="str">
        <f t="shared" si="9"/>
        <v>Toyota Tundra Tundra</v>
      </c>
      <c r="S604" s="1" t="str" cm="1">
        <f t="array" ref="S604">_xlfn.IFS(I604 &gt;= 40, "High", I604&gt;=20, "Medium", I604&lt;20, "Low")</f>
        <v>High</v>
      </c>
      <c r="T604" s="1" t="str" cm="1">
        <f t="array" ref="T604">_xlfn.IFS(O604&lt;18200, "Low", O604&lt;=50000, "Medium", O604&gt;50000, "High")</f>
        <v>Medium</v>
      </c>
    </row>
    <row r="605" spans="1:20" x14ac:dyDescent="0.25">
      <c r="A605" s="2">
        <v>2013</v>
      </c>
      <c r="B605" s="1" t="s">
        <v>921</v>
      </c>
      <c r="C605" s="1" t="s">
        <v>922</v>
      </c>
      <c r="D605" s="1" t="s">
        <v>923</v>
      </c>
      <c r="E605" s="1" t="s">
        <v>32</v>
      </c>
      <c r="F605" s="1" t="s">
        <v>20</v>
      </c>
      <c r="G605" s="1" t="s">
        <v>1050</v>
      </c>
      <c r="H605" s="1" t="s">
        <v>22</v>
      </c>
      <c r="I605" s="1">
        <v>43</v>
      </c>
      <c r="J605" s="1">
        <v>38611</v>
      </c>
      <c r="K605" s="1" t="s">
        <v>24</v>
      </c>
      <c r="L605" s="1" t="s">
        <v>24</v>
      </c>
      <c r="M605" s="1" t="s">
        <v>95</v>
      </c>
      <c r="N605" s="1">
        <v>12900</v>
      </c>
      <c r="O605" s="12">
        <v>13900</v>
      </c>
      <c r="P605" s="3" t="s">
        <v>57</v>
      </c>
      <c r="Q605" s="1" cm="1">
        <f t="array" ref="Q605">VALUE(INDEX(_xlfn.TEXTSPLIT(P605, " "), 4))</f>
        <v>2014</v>
      </c>
      <c r="R605" s="1" t="str">
        <f t="shared" si="9"/>
        <v>Volkswagen Passat SE PZEV</v>
      </c>
      <c r="S605" s="1" t="str" cm="1">
        <f t="array" ref="S605">_xlfn.IFS(I605 &gt;= 40, "High", I605&gt;=20, "Medium", I605&lt;20, "Low")</f>
        <v>High</v>
      </c>
      <c r="T605" s="1" t="str" cm="1">
        <f t="array" ref="T605">_xlfn.IFS(O605&lt;18200, "Low", O605&lt;=50000, "Medium", O605&gt;50000, "High")</f>
        <v>Low</v>
      </c>
    </row>
    <row r="606" spans="1:20" x14ac:dyDescent="0.25">
      <c r="A606" s="2">
        <v>2013</v>
      </c>
      <c r="B606" s="1" t="s">
        <v>47</v>
      </c>
      <c r="C606" s="1" t="s">
        <v>940</v>
      </c>
      <c r="D606" s="1" t="s">
        <v>936</v>
      </c>
      <c r="E606" s="1" t="s">
        <v>32</v>
      </c>
      <c r="F606" s="1"/>
      <c r="G606" s="1" t="s">
        <v>1051</v>
      </c>
      <c r="H606" s="1" t="s">
        <v>22</v>
      </c>
      <c r="I606" s="1">
        <v>38</v>
      </c>
      <c r="J606" s="1">
        <v>27457</v>
      </c>
      <c r="K606" s="1" t="s">
        <v>101</v>
      </c>
      <c r="L606" s="1" t="s">
        <v>24</v>
      </c>
      <c r="M606" s="1" t="s">
        <v>984</v>
      </c>
      <c r="N606" s="1">
        <v>11950</v>
      </c>
      <c r="O606" s="12">
        <v>11250</v>
      </c>
      <c r="P606" s="3" t="s">
        <v>26</v>
      </c>
      <c r="Q606" s="1" cm="1">
        <f t="array" ref="Q606">VALUE(INDEX(_xlfn.TEXTSPLIT(P606, " "), 4))</f>
        <v>2014</v>
      </c>
      <c r="R606" s="1" t="str">
        <f t="shared" si="9"/>
        <v>Nissan Sentra S</v>
      </c>
      <c r="S606" s="1" t="str" cm="1">
        <f t="array" ref="S606">_xlfn.IFS(I606 &gt;= 40, "High", I606&gt;=20, "Medium", I606&lt;20, "Low")</f>
        <v>Medium</v>
      </c>
      <c r="T606" s="1" t="str" cm="1">
        <f t="array" ref="T606">_xlfn.IFS(O606&lt;18200, "Low", O606&lt;=50000, "Medium", O606&gt;50000, "High")</f>
        <v>Low</v>
      </c>
    </row>
    <row r="607" spans="1:20" x14ac:dyDescent="0.25">
      <c r="A607" s="2">
        <v>2013</v>
      </c>
      <c r="B607" s="1" t="s">
        <v>47</v>
      </c>
      <c r="C607" s="1" t="s">
        <v>1043</v>
      </c>
      <c r="D607" s="1" t="s">
        <v>936</v>
      </c>
      <c r="E607" s="1" t="s">
        <v>19</v>
      </c>
      <c r="F607" s="1" t="s">
        <v>20</v>
      </c>
      <c r="G607" s="1" t="s">
        <v>1052</v>
      </c>
      <c r="H607" s="1" t="s">
        <v>22</v>
      </c>
      <c r="I607" s="1">
        <v>48</v>
      </c>
      <c r="J607" s="1">
        <v>32822</v>
      </c>
      <c r="K607" s="1" t="s">
        <v>34</v>
      </c>
      <c r="L607" s="1" t="s">
        <v>34</v>
      </c>
      <c r="M607" s="1" t="s">
        <v>182</v>
      </c>
      <c r="N607" s="1">
        <v>18750</v>
      </c>
      <c r="O607" s="12">
        <v>19200</v>
      </c>
      <c r="P607" s="3" t="s">
        <v>26</v>
      </c>
      <c r="Q607" s="1" cm="1">
        <f t="array" ref="Q607">VALUE(INDEX(_xlfn.TEXTSPLIT(P607, " "), 4))</f>
        <v>2014</v>
      </c>
      <c r="R607" s="1" t="str">
        <f t="shared" si="9"/>
        <v>Nissan Xterra S</v>
      </c>
      <c r="S607" s="1" t="str" cm="1">
        <f t="array" ref="S607">_xlfn.IFS(I607 &gt;= 40, "High", I607&gt;=20, "Medium", I607&lt;20, "Low")</f>
        <v>High</v>
      </c>
      <c r="T607" s="1" t="str" cm="1">
        <f t="array" ref="T607">_xlfn.IFS(O607&lt;18200, "Low", O607&lt;=50000, "Medium", O607&gt;50000, "High")</f>
        <v>Medium</v>
      </c>
    </row>
    <row r="608" spans="1:20" x14ac:dyDescent="0.25">
      <c r="A608" s="2">
        <v>2013</v>
      </c>
      <c r="B608" s="1" t="s">
        <v>927</v>
      </c>
      <c r="C608" s="1" t="s">
        <v>1053</v>
      </c>
      <c r="D608" s="1" t="s">
        <v>1054</v>
      </c>
      <c r="E608" s="1" t="s">
        <v>227</v>
      </c>
      <c r="F608" s="1" t="s">
        <v>20</v>
      </c>
      <c r="G608" s="1" t="s">
        <v>1055</v>
      </c>
      <c r="H608" s="1" t="s">
        <v>22</v>
      </c>
      <c r="I608" s="1">
        <v>4</v>
      </c>
      <c r="J608" s="1">
        <v>57865</v>
      </c>
      <c r="K608" s="1" t="s">
        <v>91</v>
      </c>
      <c r="L608" s="1" t="s">
        <v>34</v>
      </c>
      <c r="M608" s="1" t="s">
        <v>56</v>
      </c>
      <c r="N608" s="1">
        <v>13300</v>
      </c>
      <c r="O608" s="12">
        <v>14800</v>
      </c>
      <c r="P608" s="3" t="s">
        <v>270</v>
      </c>
      <c r="Q608" s="1" cm="1">
        <f t="array" ref="Q608">VALUE(INDEX(_xlfn.TEXTSPLIT(P608, " "), 4))</f>
        <v>2014</v>
      </c>
      <c r="R608" s="1" t="str">
        <f t="shared" si="9"/>
        <v>Toyota Prius Two</v>
      </c>
      <c r="S608" s="1" t="str" cm="1">
        <f t="array" ref="S608">_xlfn.IFS(I608 &gt;= 40, "High", I608&gt;=20, "Medium", I608&lt;20, "Low")</f>
        <v>Low</v>
      </c>
      <c r="T608" s="1" t="str" cm="1">
        <f t="array" ref="T608">_xlfn.IFS(O608&lt;18200, "Low", O608&lt;=50000, "Medium", O608&gt;50000, "High")</f>
        <v>Low</v>
      </c>
    </row>
    <row r="609" spans="1:20" x14ac:dyDescent="0.25">
      <c r="A609" s="2">
        <v>2013</v>
      </c>
      <c r="B609" s="1" t="s">
        <v>47</v>
      </c>
      <c r="C609" s="1" t="s">
        <v>212</v>
      </c>
      <c r="D609" s="1" t="s">
        <v>988</v>
      </c>
      <c r="E609" s="1" t="s">
        <v>32</v>
      </c>
      <c r="F609" s="1" t="s">
        <v>20</v>
      </c>
      <c r="G609" s="1" t="s">
        <v>1056</v>
      </c>
      <c r="H609" s="1" t="s">
        <v>22</v>
      </c>
      <c r="I609" s="1">
        <v>45</v>
      </c>
      <c r="J609" s="1">
        <v>20379</v>
      </c>
      <c r="K609" s="1" t="s">
        <v>94</v>
      </c>
      <c r="L609" s="1" t="s">
        <v>82</v>
      </c>
      <c r="M609" s="1" t="s">
        <v>1057</v>
      </c>
      <c r="N609" s="1">
        <v>10400</v>
      </c>
      <c r="O609" s="12">
        <v>10300</v>
      </c>
      <c r="P609" s="3" t="s">
        <v>57</v>
      </c>
      <c r="Q609" s="1" cm="1">
        <f t="array" ref="Q609">VALUE(INDEX(_xlfn.TEXTSPLIT(P609, " "), 4))</f>
        <v>2014</v>
      </c>
      <c r="R609" s="1" t="str">
        <f t="shared" si="9"/>
        <v>Nissan Versa 1.6 S Plus</v>
      </c>
      <c r="S609" s="1" t="str" cm="1">
        <f t="array" ref="S609">_xlfn.IFS(I609 &gt;= 40, "High", I609&gt;=20, "Medium", I609&lt;20, "Low")</f>
        <v>High</v>
      </c>
      <c r="T609" s="1" t="str" cm="1">
        <f t="array" ref="T609">_xlfn.IFS(O609&lt;18200, "Low", O609&lt;=50000, "Medium", O609&gt;50000, "High")</f>
        <v>Low</v>
      </c>
    </row>
    <row r="610" spans="1:20" x14ac:dyDescent="0.25">
      <c r="A610" s="2">
        <v>2013</v>
      </c>
      <c r="B610" s="1" t="s">
        <v>37</v>
      </c>
      <c r="C610" s="1" t="s">
        <v>1058</v>
      </c>
      <c r="D610" s="1">
        <v>3.2</v>
      </c>
      <c r="E610" s="1" t="s">
        <v>32</v>
      </c>
      <c r="F610" s="1" t="s">
        <v>20</v>
      </c>
      <c r="G610" s="1" t="s">
        <v>1059</v>
      </c>
      <c r="H610" s="1" t="s">
        <v>22</v>
      </c>
      <c r="I610" s="1">
        <v>5</v>
      </c>
      <c r="J610" s="1">
        <v>2477</v>
      </c>
      <c r="K610" s="1" t="s">
        <v>24</v>
      </c>
      <c r="L610" s="1" t="s">
        <v>24</v>
      </c>
      <c r="M610" s="1" t="s">
        <v>1060</v>
      </c>
      <c r="N610" s="1">
        <v>26700</v>
      </c>
      <c r="O610" s="12">
        <v>25750</v>
      </c>
      <c r="P610" s="3" t="s">
        <v>36</v>
      </c>
      <c r="Q610" s="1" cm="1">
        <f t="array" ref="Q610">VALUE(INDEX(_xlfn.TEXTSPLIT(P610, " "), 4))</f>
        <v>2015</v>
      </c>
      <c r="R610" s="1" t="str">
        <f t="shared" si="9"/>
        <v>Volvo S80 3.2</v>
      </c>
      <c r="S610" s="1" t="str" cm="1">
        <f t="array" ref="S610">_xlfn.IFS(I610 &gt;= 40, "High", I610&gt;=20, "Medium", I610&lt;20, "Low")</f>
        <v>Low</v>
      </c>
      <c r="T610" s="1" t="str" cm="1">
        <f t="array" ref="T610">_xlfn.IFS(O610&lt;18200, "Low", O610&lt;=50000, "Medium", O610&gt;50000, "High")</f>
        <v>Medium</v>
      </c>
    </row>
    <row r="611" spans="1:20" x14ac:dyDescent="0.25">
      <c r="A611" s="2">
        <v>2013</v>
      </c>
      <c r="B611" s="1" t="s">
        <v>47</v>
      </c>
      <c r="C611" s="1" t="s">
        <v>1061</v>
      </c>
      <c r="D611" s="1" t="s">
        <v>1062</v>
      </c>
      <c r="E611" s="1" t="s">
        <v>267</v>
      </c>
      <c r="F611" s="1" t="s">
        <v>20</v>
      </c>
      <c r="G611" s="1" t="s">
        <v>1063</v>
      </c>
      <c r="H611" s="1" t="s">
        <v>22</v>
      </c>
      <c r="I611" s="1">
        <v>43</v>
      </c>
      <c r="J611" s="1">
        <v>15240</v>
      </c>
      <c r="K611" s="1" t="s">
        <v>23</v>
      </c>
      <c r="L611" s="1" t="s">
        <v>34</v>
      </c>
      <c r="M611" s="1" t="s">
        <v>635</v>
      </c>
      <c r="N611" s="1">
        <v>22000</v>
      </c>
      <c r="O611" s="12">
        <v>22750</v>
      </c>
      <c r="P611" s="3" t="s">
        <v>68</v>
      </c>
      <c r="Q611" s="1" cm="1">
        <f t="array" ref="Q611">VALUE(INDEX(_xlfn.TEXTSPLIT(P611, " "), 4))</f>
        <v>2014</v>
      </c>
      <c r="R611" s="1" t="str">
        <f t="shared" si="9"/>
        <v>Nissan Frontier SV</v>
      </c>
      <c r="S611" s="1" t="str" cm="1">
        <f t="array" ref="S611">_xlfn.IFS(I611 &gt;= 40, "High", I611&gt;=20, "Medium", I611&lt;20, "Low")</f>
        <v>High</v>
      </c>
      <c r="T611" s="1" t="str" cm="1">
        <f t="array" ref="T611">_xlfn.IFS(O611&lt;18200, "Low", O611&lt;=50000, "Medium", O611&gt;50000, "High")</f>
        <v>Medium</v>
      </c>
    </row>
    <row r="612" spans="1:20" x14ac:dyDescent="0.25">
      <c r="A612" s="2">
        <v>2013</v>
      </c>
      <c r="B612" s="1" t="s">
        <v>47</v>
      </c>
      <c r="C612" s="1" t="s">
        <v>940</v>
      </c>
      <c r="D612" s="1" t="s">
        <v>941</v>
      </c>
      <c r="E612" s="1" t="s">
        <v>32</v>
      </c>
      <c r="F612" s="1" t="s">
        <v>20</v>
      </c>
      <c r="G612" s="1" t="s">
        <v>1064</v>
      </c>
      <c r="H612" s="1" t="s">
        <v>22</v>
      </c>
      <c r="I612" s="1">
        <v>36</v>
      </c>
      <c r="J612" s="1">
        <v>10688</v>
      </c>
      <c r="K612" s="1" t="s">
        <v>24</v>
      </c>
      <c r="L612" s="1" t="s">
        <v>24</v>
      </c>
      <c r="M612" s="1" t="s">
        <v>984</v>
      </c>
      <c r="N612" s="1">
        <v>12850</v>
      </c>
      <c r="O612" s="12">
        <v>14500</v>
      </c>
      <c r="P612" s="3" t="s">
        <v>57</v>
      </c>
      <c r="Q612" s="1" cm="1">
        <f t="array" ref="Q612">VALUE(INDEX(_xlfn.TEXTSPLIT(P612, " "), 4))</f>
        <v>2014</v>
      </c>
      <c r="R612" s="1" t="str">
        <f t="shared" si="9"/>
        <v>Nissan Sentra SR</v>
      </c>
      <c r="S612" s="1" t="str" cm="1">
        <f t="array" ref="S612">_xlfn.IFS(I612 &gt;= 40, "High", I612&gt;=20, "Medium", I612&lt;20, "Low")</f>
        <v>Medium</v>
      </c>
      <c r="T612" s="1" t="str" cm="1">
        <f t="array" ref="T612">_xlfn.IFS(O612&lt;18200, "Low", O612&lt;=50000, "Medium", O612&gt;50000, "High")</f>
        <v>Low</v>
      </c>
    </row>
    <row r="613" spans="1:20" x14ac:dyDescent="0.25">
      <c r="A613" s="2">
        <v>2013</v>
      </c>
      <c r="B613" s="1" t="s">
        <v>47</v>
      </c>
      <c r="C613" s="1" t="s">
        <v>48</v>
      </c>
      <c r="D613" s="1">
        <v>2.5</v>
      </c>
      <c r="E613" s="1" t="s">
        <v>32</v>
      </c>
      <c r="F613" s="1" t="s">
        <v>20</v>
      </c>
      <c r="G613" s="1" t="s">
        <v>1065</v>
      </c>
      <c r="H613" s="1" t="s">
        <v>22</v>
      </c>
      <c r="I613" s="1">
        <v>37</v>
      </c>
      <c r="J613" s="1">
        <v>15690</v>
      </c>
      <c r="K613" s="1" t="s">
        <v>23</v>
      </c>
      <c r="L613" s="1" t="s">
        <v>24</v>
      </c>
      <c r="M613" s="1" t="s">
        <v>217</v>
      </c>
      <c r="N613" s="1">
        <v>15000</v>
      </c>
      <c r="O613" s="12">
        <v>17000</v>
      </c>
      <c r="P613" s="3" t="s">
        <v>57</v>
      </c>
      <c r="Q613" s="1" cm="1">
        <f t="array" ref="Q613">VALUE(INDEX(_xlfn.TEXTSPLIT(P613, " "), 4))</f>
        <v>2014</v>
      </c>
      <c r="R613" s="1" t="str">
        <f t="shared" si="9"/>
        <v>Nissan Altima 2.5</v>
      </c>
      <c r="S613" s="1" t="str" cm="1">
        <f t="array" ref="S613">_xlfn.IFS(I613 &gt;= 40, "High", I613&gt;=20, "Medium", I613&lt;20, "Low")</f>
        <v>Medium</v>
      </c>
      <c r="T613" s="1" t="str" cm="1">
        <f t="array" ref="T613">_xlfn.IFS(O613&lt;18200, "Low", O613&lt;=50000, "Medium", O613&gt;50000, "High")</f>
        <v>Low</v>
      </c>
    </row>
    <row r="614" spans="1:20" x14ac:dyDescent="0.25">
      <c r="A614" s="2">
        <v>2013</v>
      </c>
      <c r="B614" s="1" t="s">
        <v>1033</v>
      </c>
      <c r="C614" s="1" t="s">
        <v>1066</v>
      </c>
      <c r="D614" s="1" t="s">
        <v>936</v>
      </c>
      <c r="E614" s="1" t="s">
        <v>71</v>
      </c>
      <c r="F614" s="1" t="s">
        <v>20</v>
      </c>
      <c r="G614" s="1" t="s">
        <v>1067</v>
      </c>
      <c r="H614" s="1" t="s">
        <v>22</v>
      </c>
      <c r="I614" s="1">
        <v>42</v>
      </c>
      <c r="J614" s="1">
        <v>25019</v>
      </c>
      <c r="K614" s="1" t="s">
        <v>24</v>
      </c>
      <c r="L614" s="1" t="s">
        <v>24</v>
      </c>
      <c r="M614" s="1" t="s">
        <v>1039</v>
      </c>
      <c r="N614" s="1">
        <v>48000</v>
      </c>
      <c r="O614" s="12">
        <v>49500</v>
      </c>
      <c r="P614" s="3" t="s">
        <v>36</v>
      </c>
      <c r="Q614" s="1" cm="1">
        <f t="array" ref="Q614">VALUE(INDEX(_xlfn.TEXTSPLIT(P614, " "), 4))</f>
        <v>2015</v>
      </c>
      <c r="R614" s="1" t="str">
        <f t="shared" si="9"/>
        <v>Porsche Boxster S</v>
      </c>
      <c r="S614" s="1" t="str" cm="1">
        <f t="array" ref="S614">_xlfn.IFS(I614 &gt;= 40, "High", I614&gt;=20, "Medium", I614&lt;20, "Low")</f>
        <v>High</v>
      </c>
      <c r="T614" s="1" t="str" cm="1">
        <f t="array" ref="T614">_xlfn.IFS(O614&lt;18200, "Low", O614&lt;=50000, "Medium", O614&gt;50000, "High")</f>
        <v>Medium</v>
      </c>
    </row>
    <row r="615" spans="1:20" x14ac:dyDescent="0.25">
      <c r="A615" s="2">
        <v>2013</v>
      </c>
      <c r="B615" s="1" t="s">
        <v>47</v>
      </c>
      <c r="C615" s="1" t="s">
        <v>940</v>
      </c>
      <c r="D615" s="1" t="s">
        <v>941</v>
      </c>
      <c r="E615" s="1" t="s">
        <v>32</v>
      </c>
      <c r="F615" s="1" t="s">
        <v>20</v>
      </c>
      <c r="G615" s="1" t="s">
        <v>1068</v>
      </c>
      <c r="H615" s="1" t="s">
        <v>22</v>
      </c>
      <c r="I615" s="1">
        <v>37</v>
      </c>
      <c r="J615" s="1">
        <v>35011</v>
      </c>
      <c r="K615" s="1" t="s">
        <v>24</v>
      </c>
      <c r="L615" s="1" t="s">
        <v>24</v>
      </c>
      <c r="M615" s="1" t="s">
        <v>984</v>
      </c>
      <c r="N615" s="1">
        <v>11500</v>
      </c>
      <c r="O615" s="12">
        <v>12000</v>
      </c>
      <c r="P615" s="3" t="s">
        <v>26</v>
      </c>
      <c r="Q615" s="1" cm="1">
        <f t="array" ref="Q615">VALUE(INDEX(_xlfn.TEXTSPLIT(P615, " "), 4))</f>
        <v>2014</v>
      </c>
      <c r="R615" s="1" t="str">
        <f t="shared" si="9"/>
        <v>Nissan Sentra SR</v>
      </c>
      <c r="S615" s="1" t="str" cm="1">
        <f t="array" ref="S615">_xlfn.IFS(I615 &gt;= 40, "High", I615&gt;=20, "Medium", I615&lt;20, "Low")</f>
        <v>Medium</v>
      </c>
      <c r="T615" s="1" t="str" cm="1">
        <f t="array" ref="T615">_xlfn.IFS(O615&lt;18200, "Low", O615&lt;=50000, "Medium", O615&gt;50000, "High")</f>
        <v>Low</v>
      </c>
    </row>
    <row r="616" spans="1:20" x14ac:dyDescent="0.25">
      <c r="A616" s="2">
        <v>2013</v>
      </c>
      <c r="B616" s="1" t="s">
        <v>921</v>
      </c>
      <c r="C616" s="1" t="s">
        <v>976</v>
      </c>
      <c r="D616" s="1" t="s">
        <v>923</v>
      </c>
      <c r="E616" s="1" t="s">
        <v>32</v>
      </c>
      <c r="F616" s="1" t="s">
        <v>20</v>
      </c>
      <c r="G616" s="1" t="s">
        <v>1069</v>
      </c>
      <c r="H616" s="1" t="s">
        <v>22</v>
      </c>
      <c r="I616" s="1">
        <v>27</v>
      </c>
      <c r="J616" s="1">
        <v>36874</v>
      </c>
      <c r="K616" s="1" t="s">
        <v>94</v>
      </c>
      <c r="L616" s="1" t="s">
        <v>24</v>
      </c>
      <c r="M616" s="1" t="s">
        <v>182</v>
      </c>
      <c r="N616" s="1">
        <v>11050</v>
      </c>
      <c r="O616" s="12">
        <v>11500</v>
      </c>
      <c r="P616" s="3" t="s">
        <v>270</v>
      </c>
      <c r="Q616" s="1" cm="1">
        <f t="array" ref="Q616">VALUE(INDEX(_xlfn.TEXTSPLIT(P616, " "), 4))</f>
        <v>2014</v>
      </c>
      <c r="R616" s="1" t="str">
        <f t="shared" si="9"/>
        <v>Volkswagen Jetta SE PZEV</v>
      </c>
      <c r="S616" s="1" t="str" cm="1">
        <f t="array" ref="S616">_xlfn.IFS(I616 &gt;= 40, "High", I616&gt;=20, "Medium", I616&lt;20, "Low")</f>
        <v>Medium</v>
      </c>
      <c r="T616" s="1" t="str" cm="1">
        <f t="array" ref="T616">_xlfn.IFS(O616&lt;18200, "Low", O616&lt;=50000, "Medium", O616&gt;50000, "High")</f>
        <v>Low</v>
      </c>
    </row>
    <row r="617" spans="1:20" x14ac:dyDescent="0.25">
      <c r="A617" s="2">
        <v>2013</v>
      </c>
      <c r="B617" s="1" t="s">
        <v>927</v>
      </c>
      <c r="C617" s="1" t="s">
        <v>1070</v>
      </c>
      <c r="D617" s="1" t="s">
        <v>965</v>
      </c>
      <c r="E617" s="1" t="s">
        <v>32</v>
      </c>
      <c r="F617" s="1" t="s">
        <v>20</v>
      </c>
      <c r="G617" s="1" t="s">
        <v>1071</v>
      </c>
      <c r="H617" s="1" t="s">
        <v>22</v>
      </c>
      <c r="I617" s="1">
        <v>31</v>
      </c>
      <c r="J617" s="1">
        <v>37028</v>
      </c>
      <c r="K617" s="1" t="s">
        <v>24</v>
      </c>
      <c r="L617" s="1" t="s">
        <v>34</v>
      </c>
      <c r="M617" s="1" t="s">
        <v>1072</v>
      </c>
      <c r="N617" s="1">
        <v>17950</v>
      </c>
      <c r="O617" s="12">
        <v>21000</v>
      </c>
      <c r="P617" s="3" t="s">
        <v>362</v>
      </c>
      <c r="Q617" s="1" cm="1">
        <f t="array" ref="Q617">VALUE(INDEX(_xlfn.TEXTSPLIT(P617, " "), 4))</f>
        <v>2014</v>
      </c>
      <c r="R617" s="1" t="str">
        <f t="shared" si="9"/>
        <v>Toyota Camry Hybrid XLE</v>
      </c>
      <c r="S617" s="1" t="str" cm="1">
        <f t="array" ref="S617">_xlfn.IFS(I617 &gt;= 40, "High", I617&gt;=20, "Medium", I617&lt;20, "Low")</f>
        <v>Medium</v>
      </c>
      <c r="T617" s="1" t="str" cm="1">
        <f t="array" ref="T617">_xlfn.IFS(O617&lt;18200, "Low", O617&lt;=50000, "Medium", O617&gt;50000, "High")</f>
        <v>Medium</v>
      </c>
    </row>
    <row r="618" spans="1:20" x14ac:dyDescent="0.25">
      <c r="A618" s="2">
        <v>2013</v>
      </c>
      <c r="B618" s="1" t="s">
        <v>47</v>
      </c>
      <c r="C618" s="1" t="s">
        <v>940</v>
      </c>
      <c r="D618" s="1" t="s">
        <v>1062</v>
      </c>
      <c r="E618" s="1" t="s">
        <v>32</v>
      </c>
      <c r="F618" s="1" t="s">
        <v>20</v>
      </c>
      <c r="G618" s="1" t="s">
        <v>1073</v>
      </c>
      <c r="H618" s="1" t="s">
        <v>22</v>
      </c>
      <c r="I618" s="1">
        <v>36</v>
      </c>
      <c r="J618" s="1">
        <v>37293</v>
      </c>
      <c r="K618" s="1" t="s">
        <v>73</v>
      </c>
      <c r="L618" s="1" t="s">
        <v>24</v>
      </c>
      <c r="M618" s="1" t="s">
        <v>728</v>
      </c>
      <c r="N618" s="1">
        <v>10550</v>
      </c>
      <c r="O618" s="12">
        <v>11100</v>
      </c>
      <c r="P618" s="3" t="s">
        <v>57</v>
      </c>
      <c r="Q618" s="1" cm="1">
        <f t="array" ref="Q618">VALUE(INDEX(_xlfn.TEXTSPLIT(P618, " "), 4))</f>
        <v>2014</v>
      </c>
      <c r="R618" s="1" t="str">
        <f t="shared" si="9"/>
        <v>Nissan Sentra SV</v>
      </c>
      <c r="S618" s="1" t="str" cm="1">
        <f t="array" ref="S618">_xlfn.IFS(I618 &gt;= 40, "High", I618&gt;=20, "Medium", I618&lt;20, "Low")</f>
        <v>Medium</v>
      </c>
      <c r="T618" s="1" t="str" cm="1">
        <f t="array" ref="T618">_xlfn.IFS(O618&lt;18200, "Low", O618&lt;=50000, "Medium", O618&gt;50000, "High")</f>
        <v>Low</v>
      </c>
    </row>
    <row r="619" spans="1:20" x14ac:dyDescent="0.25">
      <c r="A619" s="2">
        <v>2013</v>
      </c>
      <c r="B619" s="1" t="s">
        <v>47</v>
      </c>
      <c r="C619" s="1" t="s">
        <v>1061</v>
      </c>
      <c r="D619" s="1" t="s">
        <v>1062</v>
      </c>
      <c r="E619" s="1" t="s">
        <v>267</v>
      </c>
      <c r="F619" s="1"/>
      <c r="G619" s="1" t="s">
        <v>1074</v>
      </c>
      <c r="H619" s="1" t="s">
        <v>22</v>
      </c>
      <c r="I619" s="1">
        <v>2</v>
      </c>
      <c r="J619" s="1">
        <v>15035</v>
      </c>
      <c r="K619" s="1" t="s">
        <v>34</v>
      </c>
      <c r="L619" s="1" t="s">
        <v>34</v>
      </c>
      <c r="M619" s="1" t="s">
        <v>555</v>
      </c>
      <c r="N619" s="1">
        <v>20300</v>
      </c>
      <c r="O619" s="12">
        <v>19000</v>
      </c>
      <c r="P619" s="3" t="s">
        <v>68</v>
      </c>
      <c r="Q619" s="1" cm="1">
        <f t="array" ref="Q619">VALUE(INDEX(_xlfn.TEXTSPLIT(P619, " "), 4))</f>
        <v>2014</v>
      </c>
      <c r="R619" s="1" t="str">
        <f t="shared" si="9"/>
        <v>Nissan Frontier SV</v>
      </c>
      <c r="S619" s="1" t="str" cm="1">
        <f t="array" ref="S619">_xlfn.IFS(I619 &gt;= 40, "High", I619&gt;=20, "Medium", I619&lt;20, "Low")</f>
        <v>Low</v>
      </c>
      <c r="T619" s="1" t="str" cm="1">
        <f t="array" ref="T619">_xlfn.IFS(O619&lt;18200, "Low", O619&lt;=50000, "Medium", O619&gt;50000, "High")</f>
        <v>Medium</v>
      </c>
    </row>
    <row r="620" spans="1:20" x14ac:dyDescent="0.25">
      <c r="A620" s="2">
        <v>2013</v>
      </c>
      <c r="B620" s="1" t="s">
        <v>927</v>
      </c>
      <c r="C620" s="1" t="s">
        <v>928</v>
      </c>
      <c r="D620" s="1" t="s">
        <v>663</v>
      </c>
      <c r="E620" s="1" t="s">
        <v>32</v>
      </c>
      <c r="F620" s="1" t="s">
        <v>20</v>
      </c>
      <c r="G620" s="1" t="s">
        <v>1075</v>
      </c>
      <c r="H620" s="1" t="s">
        <v>22</v>
      </c>
      <c r="I620" s="1">
        <v>28</v>
      </c>
      <c r="J620" s="1">
        <v>50451</v>
      </c>
      <c r="K620" s="1" t="s">
        <v>94</v>
      </c>
      <c r="L620" s="1" t="s">
        <v>34</v>
      </c>
      <c r="M620" s="1" t="s">
        <v>1076</v>
      </c>
      <c r="N620" s="1">
        <v>10500</v>
      </c>
      <c r="O620" s="12">
        <v>10500</v>
      </c>
      <c r="P620" s="3" t="s">
        <v>57</v>
      </c>
      <c r="Q620" s="1" cm="1">
        <f t="array" ref="Q620">VALUE(INDEX(_xlfn.TEXTSPLIT(P620, " "), 4))</f>
        <v>2014</v>
      </c>
      <c r="R620" s="1" t="str">
        <f t="shared" si="9"/>
        <v>Toyota Corolla LE</v>
      </c>
      <c r="S620" s="1" t="str" cm="1">
        <f t="array" ref="S620">_xlfn.IFS(I620 &gt;= 40, "High", I620&gt;=20, "Medium", I620&lt;20, "Low")</f>
        <v>Medium</v>
      </c>
      <c r="T620" s="1" t="str" cm="1">
        <f t="array" ref="T620">_xlfn.IFS(O620&lt;18200, "Low", O620&lt;=50000, "Medium", O620&gt;50000, "High")</f>
        <v>Low</v>
      </c>
    </row>
    <row r="621" spans="1:20" x14ac:dyDescent="0.25">
      <c r="A621" s="2">
        <v>2013</v>
      </c>
      <c r="B621" s="1" t="s">
        <v>999</v>
      </c>
      <c r="C621" s="1" t="s">
        <v>1077</v>
      </c>
      <c r="D621" s="1" t="s">
        <v>54</v>
      </c>
      <c r="E621" s="1" t="s">
        <v>130</v>
      </c>
      <c r="F621" s="1" t="s">
        <v>20</v>
      </c>
      <c r="G621" s="1" t="s">
        <v>1078</v>
      </c>
      <c r="H621" s="1" t="s">
        <v>22</v>
      </c>
      <c r="I621" s="1">
        <v>42</v>
      </c>
      <c r="J621" s="1">
        <v>16949</v>
      </c>
      <c r="K621" s="1" t="s">
        <v>23</v>
      </c>
      <c r="L621" s="1" t="s">
        <v>34</v>
      </c>
      <c r="M621" s="1" t="s">
        <v>1079</v>
      </c>
      <c r="N621" s="1">
        <v>13500</v>
      </c>
      <c r="O621" s="12">
        <v>14500</v>
      </c>
      <c r="P621" s="3" t="s">
        <v>26</v>
      </c>
      <c r="Q621" s="1" cm="1">
        <f t="array" ref="Q621">VALUE(INDEX(_xlfn.TEXTSPLIT(P621, " "), 4))</f>
        <v>2014</v>
      </c>
      <c r="R621" s="1" t="str">
        <f t="shared" si="9"/>
        <v>Scion xB Base</v>
      </c>
      <c r="S621" s="1" t="str" cm="1">
        <f t="array" ref="S621">_xlfn.IFS(I621 &gt;= 40, "High", I621&gt;=20, "Medium", I621&lt;20, "Low")</f>
        <v>High</v>
      </c>
      <c r="T621" s="1" t="str" cm="1">
        <f t="array" ref="T621">_xlfn.IFS(O621&lt;18200, "Low", O621&lt;=50000, "Medium", O621&gt;50000, "High")</f>
        <v>Low</v>
      </c>
    </row>
    <row r="622" spans="1:20" x14ac:dyDescent="0.25">
      <c r="A622" s="2">
        <v>2013</v>
      </c>
      <c r="B622" s="1" t="s">
        <v>927</v>
      </c>
      <c r="C622" s="1" t="s">
        <v>985</v>
      </c>
      <c r="D622" s="1" t="s">
        <v>54</v>
      </c>
      <c r="E622" s="1" t="s">
        <v>19</v>
      </c>
      <c r="F622" s="1" t="s">
        <v>20</v>
      </c>
      <c r="G622" s="1" t="s">
        <v>1080</v>
      </c>
      <c r="H622" s="1" t="s">
        <v>22</v>
      </c>
      <c r="I622" s="1">
        <v>42</v>
      </c>
      <c r="J622" s="1">
        <v>39437</v>
      </c>
      <c r="K622" s="1" t="s">
        <v>952</v>
      </c>
      <c r="L622" s="1" t="s">
        <v>24</v>
      </c>
      <c r="M622" s="1" t="s">
        <v>998</v>
      </c>
      <c r="N622" s="1">
        <v>26600</v>
      </c>
      <c r="O622" s="12">
        <v>26500</v>
      </c>
      <c r="P622" s="3" t="s">
        <v>57</v>
      </c>
      <c r="Q622" s="1" cm="1">
        <f t="array" ref="Q622">VALUE(INDEX(_xlfn.TEXTSPLIT(P622, " "), 4))</f>
        <v>2014</v>
      </c>
      <c r="R622" s="1" t="str">
        <f t="shared" si="9"/>
        <v>Toyota FJ Cruiser Base</v>
      </c>
      <c r="S622" s="1" t="str" cm="1">
        <f t="array" ref="S622">_xlfn.IFS(I622 &gt;= 40, "High", I622&gt;=20, "Medium", I622&lt;20, "Low")</f>
        <v>High</v>
      </c>
      <c r="T622" s="1" t="str" cm="1">
        <f t="array" ref="T622">_xlfn.IFS(O622&lt;18200, "Low", O622&lt;=50000, "Medium", O622&gt;50000, "High")</f>
        <v>Medium</v>
      </c>
    </row>
    <row r="623" spans="1:20" x14ac:dyDescent="0.25">
      <c r="A623" s="2">
        <v>2013</v>
      </c>
      <c r="B623" s="1" t="s">
        <v>47</v>
      </c>
      <c r="C623" s="1" t="s">
        <v>212</v>
      </c>
      <c r="D623" s="1" t="s">
        <v>988</v>
      </c>
      <c r="E623" s="1" t="s">
        <v>32</v>
      </c>
      <c r="F623" s="1"/>
      <c r="G623" s="1" t="s">
        <v>1081</v>
      </c>
      <c r="H623" s="1" t="s">
        <v>22</v>
      </c>
      <c r="I623" s="1">
        <v>43</v>
      </c>
      <c r="J623" s="1">
        <v>30168</v>
      </c>
      <c r="K623" s="1" t="s">
        <v>91</v>
      </c>
      <c r="L623" s="1" t="s">
        <v>24</v>
      </c>
      <c r="M623" s="1" t="s">
        <v>1082</v>
      </c>
      <c r="N623" s="1">
        <v>9800</v>
      </c>
      <c r="O623" s="12">
        <v>10500</v>
      </c>
      <c r="P623" s="3" t="s">
        <v>270</v>
      </c>
      <c r="Q623" s="1" cm="1">
        <f t="array" ref="Q623">VALUE(INDEX(_xlfn.TEXTSPLIT(P623, " "), 4))</f>
        <v>2014</v>
      </c>
      <c r="R623" s="1" t="str">
        <f t="shared" si="9"/>
        <v>Nissan Versa 1.6 S Plus</v>
      </c>
      <c r="S623" s="1" t="str" cm="1">
        <f t="array" ref="S623">_xlfn.IFS(I623 &gt;= 40, "High", I623&gt;=20, "Medium", I623&lt;20, "Low")</f>
        <v>High</v>
      </c>
      <c r="T623" s="1" t="str" cm="1">
        <f t="array" ref="T623">_xlfn.IFS(O623&lt;18200, "Low", O623&lt;=50000, "Medium", O623&gt;50000, "High")</f>
        <v>Low</v>
      </c>
    </row>
    <row r="624" spans="1:20" x14ac:dyDescent="0.25">
      <c r="A624" s="2">
        <v>2013</v>
      </c>
      <c r="B624" s="1" t="s">
        <v>47</v>
      </c>
      <c r="C624" s="1" t="s">
        <v>212</v>
      </c>
      <c r="D624" s="1" t="s">
        <v>988</v>
      </c>
      <c r="E624" s="1" t="s">
        <v>32</v>
      </c>
      <c r="F624" s="1"/>
      <c r="G624" s="1" t="s">
        <v>1083</v>
      </c>
      <c r="H624" s="1" t="s">
        <v>22</v>
      </c>
      <c r="I624" s="1">
        <v>2</v>
      </c>
      <c r="J624" s="1">
        <v>19765</v>
      </c>
      <c r="K624" s="1" t="s">
        <v>24</v>
      </c>
      <c r="L624" s="1" t="s">
        <v>24</v>
      </c>
      <c r="M624" s="1" t="s">
        <v>644</v>
      </c>
      <c r="N624" s="1">
        <v>10350</v>
      </c>
      <c r="O624" s="12">
        <v>8600</v>
      </c>
      <c r="P624" s="3" t="s">
        <v>987</v>
      </c>
      <c r="Q624" s="1" cm="1">
        <f t="array" ref="Q624">VALUE(INDEX(_xlfn.TEXTSPLIT(P624, " "), 4))</f>
        <v>2015</v>
      </c>
      <c r="R624" s="1" t="str">
        <f t="shared" si="9"/>
        <v>Nissan Versa 1.6 S Plus</v>
      </c>
      <c r="S624" s="1" t="str" cm="1">
        <f t="array" ref="S624">_xlfn.IFS(I624 &gt;= 40, "High", I624&gt;=20, "Medium", I624&lt;20, "Low")</f>
        <v>Low</v>
      </c>
      <c r="T624" s="1" t="str" cm="1">
        <f t="array" ref="T624">_xlfn.IFS(O624&lt;18200, "Low", O624&lt;=50000, "Medium", O624&gt;50000, "High")</f>
        <v>Low</v>
      </c>
    </row>
    <row r="625" spans="1:20" x14ac:dyDescent="0.25">
      <c r="A625" s="2">
        <v>2013</v>
      </c>
      <c r="B625" s="1" t="s">
        <v>47</v>
      </c>
      <c r="C625" s="1" t="s">
        <v>1084</v>
      </c>
      <c r="D625" s="1" t="s">
        <v>1085</v>
      </c>
      <c r="E625" s="1" t="s">
        <v>130</v>
      </c>
      <c r="F625" s="1" t="s">
        <v>20</v>
      </c>
      <c r="G625" s="1" t="s">
        <v>1086</v>
      </c>
      <c r="H625" s="1" t="s">
        <v>22</v>
      </c>
      <c r="I625" s="1">
        <v>32</v>
      </c>
      <c r="J625" s="1">
        <v>24437</v>
      </c>
      <c r="K625" s="1" t="s">
        <v>23</v>
      </c>
      <c r="L625" s="1" t="s">
        <v>28</v>
      </c>
      <c r="M625" s="1" t="s">
        <v>680</v>
      </c>
      <c r="N625" s="1">
        <v>11350</v>
      </c>
      <c r="O625" s="12">
        <v>12200</v>
      </c>
      <c r="P625" s="3" t="s">
        <v>57</v>
      </c>
      <c r="Q625" s="1" cm="1">
        <f t="array" ref="Q625">VALUE(INDEX(_xlfn.TEXTSPLIT(P625, " "), 4))</f>
        <v>2014</v>
      </c>
      <c r="R625" s="1" t="str">
        <f t="shared" si="9"/>
        <v>Nissan Cube 1.8 SL</v>
      </c>
      <c r="S625" s="1" t="str" cm="1">
        <f t="array" ref="S625">_xlfn.IFS(I625 &gt;= 40, "High", I625&gt;=20, "Medium", I625&lt;20, "Low")</f>
        <v>Medium</v>
      </c>
      <c r="T625" s="1" t="str" cm="1">
        <f t="array" ref="T625">_xlfn.IFS(O625&lt;18200, "Low", O625&lt;=50000, "Medium", O625&gt;50000, "High")</f>
        <v>Low</v>
      </c>
    </row>
    <row r="626" spans="1:20" x14ac:dyDescent="0.25">
      <c r="A626" s="2">
        <v>2013</v>
      </c>
      <c r="B626" s="1" t="s">
        <v>927</v>
      </c>
      <c r="C626" s="1" t="s">
        <v>968</v>
      </c>
      <c r="D626" s="1" t="s">
        <v>54</v>
      </c>
      <c r="E626" s="1" t="s">
        <v>1087</v>
      </c>
      <c r="F626" s="1" t="s">
        <v>20</v>
      </c>
      <c r="G626" s="1" t="s">
        <v>1088</v>
      </c>
      <c r="H626" s="1" t="s">
        <v>22</v>
      </c>
      <c r="I626" s="1">
        <v>45</v>
      </c>
      <c r="J626" s="1">
        <v>31326</v>
      </c>
      <c r="K626" s="1" t="s">
        <v>101</v>
      </c>
      <c r="L626" s="1" t="s">
        <v>34</v>
      </c>
      <c r="M626" s="1" t="s">
        <v>1089</v>
      </c>
      <c r="N626" s="1">
        <v>16950</v>
      </c>
      <c r="O626" s="12">
        <v>18500</v>
      </c>
      <c r="P626" s="3" t="s">
        <v>84</v>
      </c>
      <c r="Q626" s="1" cm="1">
        <f t="array" ref="Q626">VALUE(INDEX(_xlfn.TEXTSPLIT(P626, " "), 4))</f>
        <v>2014</v>
      </c>
      <c r="R626" s="1" t="str">
        <f t="shared" si="9"/>
        <v>Toyota Tacoma Base</v>
      </c>
      <c r="S626" s="1" t="str" cm="1">
        <f t="array" ref="S626">_xlfn.IFS(I626 &gt;= 40, "High", I626&gt;=20, "Medium", I626&lt;20, "Low")</f>
        <v>High</v>
      </c>
      <c r="T626" s="1" t="str" cm="1">
        <f t="array" ref="T626">_xlfn.IFS(O626&lt;18200, "Low", O626&lt;=50000, "Medium", O626&gt;50000, "High")</f>
        <v>Medium</v>
      </c>
    </row>
    <row r="627" spans="1:20" x14ac:dyDescent="0.25">
      <c r="A627" s="2">
        <v>2013</v>
      </c>
      <c r="B627" s="1" t="s">
        <v>999</v>
      </c>
      <c r="C627" s="1" t="s">
        <v>1000</v>
      </c>
      <c r="D627" s="1" t="s">
        <v>54</v>
      </c>
      <c r="E627" s="1" t="s">
        <v>107</v>
      </c>
      <c r="F627" s="1" t="s">
        <v>20</v>
      </c>
      <c r="G627" s="1" t="s">
        <v>1090</v>
      </c>
      <c r="H627" s="1" t="s">
        <v>22</v>
      </c>
      <c r="I627" s="1">
        <v>42</v>
      </c>
      <c r="J627" s="1">
        <v>10912</v>
      </c>
      <c r="K627" s="1" t="s">
        <v>34</v>
      </c>
      <c r="L627" s="1" t="s">
        <v>24</v>
      </c>
      <c r="M627" s="1" t="s">
        <v>1091</v>
      </c>
      <c r="N627" s="1">
        <v>18350</v>
      </c>
      <c r="O627" s="12">
        <v>20250</v>
      </c>
      <c r="P627" s="3" t="s">
        <v>362</v>
      </c>
      <c r="Q627" s="1" cm="1">
        <f t="array" ref="Q627">VALUE(INDEX(_xlfn.TEXTSPLIT(P627, " "), 4))</f>
        <v>2014</v>
      </c>
      <c r="R627" s="1" t="str">
        <f t="shared" si="9"/>
        <v>Scion FR-S Base</v>
      </c>
      <c r="S627" s="1" t="str" cm="1">
        <f t="array" ref="S627">_xlfn.IFS(I627 &gt;= 40, "High", I627&gt;=20, "Medium", I627&lt;20, "Low")</f>
        <v>High</v>
      </c>
      <c r="T627" s="1" t="str" cm="1">
        <f t="array" ref="T627">_xlfn.IFS(O627&lt;18200, "Low", O627&lt;=50000, "Medium", O627&gt;50000, "High")</f>
        <v>Medium</v>
      </c>
    </row>
    <row r="628" spans="1:20" x14ac:dyDescent="0.25">
      <c r="A628" s="2">
        <v>2013</v>
      </c>
      <c r="B628" s="1" t="s">
        <v>921</v>
      </c>
      <c r="C628" s="1" t="s">
        <v>1092</v>
      </c>
      <c r="D628" s="1" t="s">
        <v>1093</v>
      </c>
      <c r="E628" s="1" t="s">
        <v>130</v>
      </c>
      <c r="F628" s="1" t="s">
        <v>20</v>
      </c>
      <c r="G628" s="1" t="s">
        <v>1094</v>
      </c>
      <c r="H628" s="1" t="s">
        <v>22</v>
      </c>
      <c r="I628" s="1">
        <v>42</v>
      </c>
      <c r="J628" s="1">
        <v>38082</v>
      </c>
      <c r="K628" s="1" t="s">
        <v>94</v>
      </c>
      <c r="L628" s="1" t="s">
        <v>34</v>
      </c>
      <c r="M628" s="1" t="s">
        <v>95</v>
      </c>
      <c r="N628" s="1">
        <v>11050</v>
      </c>
      <c r="O628" s="12">
        <v>12000</v>
      </c>
      <c r="P628" s="3" t="s">
        <v>57</v>
      </c>
      <c r="Q628" s="1" cm="1">
        <f t="array" ref="Q628">VALUE(INDEX(_xlfn.TEXTSPLIT(P628, " "), 4))</f>
        <v>2014</v>
      </c>
      <c r="R628" s="1" t="str">
        <f t="shared" si="9"/>
        <v>Volkswagen Jetta SportWagen S PZEV</v>
      </c>
      <c r="S628" s="1" t="str" cm="1">
        <f t="array" ref="S628">_xlfn.IFS(I628 &gt;= 40, "High", I628&gt;=20, "Medium", I628&lt;20, "Low")</f>
        <v>High</v>
      </c>
      <c r="T628" s="1" t="str" cm="1">
        <f t="array" ref="T628">_xlfn.IFS(O628&lt;18200, "Low", O628&lt;=50000, "Medium", O628&gt;50000, "High")</f>
        <v>Low</v>
      </c>
    </row>
    <row r="629" spans="1:20" x14ac:dyDescent="0.25">
      <c r="A629" s="2">
        <v>2013</v>
      </c>
      <c r="B629" s="1" t="s">
        <v>927</v>
      </c>
      <c r="C629" s="1" t="s">
        <v>928</v>
      </c>
      <c r="D629" s="1" t="s">
        <v>663</v>
      </c>
      <c r="E629" s="1" t="s">
        <v>32</v>
      </c>
      <c r="F629" s="1" t="s">
        <v>20</v>
      </c>
      <c r="G629" s="1" t="s">
        <v>1095</v>
      </c>
      <c r="H629" s="1" t="s">
        <v>22</v>
      </c>
      <c r="I629" s="1">
        <v>42</v>
      </c>
      <c r="J629" s="1">
        <v>8649</v>
      </c>
      <c r="K629" s="1" t="s">
        <v>24</v>
      </c>
      <c r="L629" s="1" t="s">
        <v>34</v>
      </c>
      <c r="M629" s="1" t="s">
        <v>1096</v>
      </c>
      <c r="N629" s="1">
        <v>12950</v>
      </c>
      <c r="O629" s="12">
        <v>13000</v>
      </c>
      <c r="P629" s="3" t="s">
        <v>1097</v>
      </c>
      <c r="Q629" s="1" cm="1">
        <f t="array" ref="Q629">VALUE(INDEX(_xlfn.TEXTSPLIT(P629, " "), 4))</f>
        <v>2014</v>
      </c>
      <c r="R629" s="1" t="str">
        <f t="shared" si="9"/>
        <v>Toyota Corolla LE</v>
      </c>
      <c r="S629" s="1" t="str" cm="1">
        <f t="array" ref="S629">_xlfn.IFS(I629 &gt;= 40, "High", I629&gt;=20, "Medium", I629&lt;20, "Low")</f>
        <v>High</v>
      </c>
      <c r="T629" s="1" t="str" cm="1">
        <f t="array" ref="T629">_xlfn.IFS(O629&lt;18200, "Low", O629&lt;=50000, "Medium", O629&gt;50000, "High")</f>
        <v>Low</v>
      </c>
    </row>
    <row r="630" spans="1:20" x14ac:dyDescent="0.25">
      <c r="A630" s="2">
        <v>2013</v>
      </c>
      <c r="B630" s="1" t="s">
        <v>47</v>
      </c>
      <c r="C630" s="1" t="s">
        <v>940</v>
      </c>
      <c r="D630" s="1" t="s">
        <v>1098</v>
      </c>
      <c r="E630" s="1" t="s">
        <v>32</v>
      </c>
      <c r="F630" s="1" t="s">
        <v>20</v>
      </c>
      <c r="G630" s="1" t="s">
        <v>1099</v>
      </c>
      <c r="H630" s="1" t="s">
        <v>22</v>
      </c>
      <c r="I630" s="1">
        <v>43</v>
      </c>
      <c r="J630" s="1">
        <v>11338</v>
      </c>
      <c r="K630" s="1" t="s">
        <v>34</v>
      </c>
      <c r="L630" s="1" t="s">
        <v>24</v>
      </c>
      <c r="M630" s="1" t="s">
        <v>1100</v>
      </c>
      <c r="N630" s="1">
        <v>11000</v>
      </c>
      <c r="O630" s="12">
        <v>12400</v>
      </c>
      <c r="P630" s="3" t="s">
        <v>68</v>
      </c>
      <c r="Q630" s="1" cm="1">
        <f t="array" ref="Q630">VALUE(INDEX(_xlfn.TEXTSPLIT(P630, " "), 4))</f>
        <v>2014</v>
      </c>
      <c r="R630" s="1" t="str">
        <f t="shared" si="9"/>
        <v>Nissan Sentra FE+ S</v>
      </c>
      <c r="S630" s="1" t="str" cm="1">
        <f t="array" ref="S630">_xlfn.IFS(I630 &gt;= 40, "High", I630&gt;=20, "Medium", I630&lt;20, "Low")</f>
        <v>High</v>
      </c>
      <c r="T630" s="1" t="str" cm="1">
        <f t="array" ref="T630">_xlfn.IFS(O630&lt;18200, "Low", O630&lt;=50000, "Medium", O630&gt;50000, "High")</f>
        <v>Low</v>
      </c>
    </row>
    <row r="631" spans="1:20" x14ac:dyDescent="0.25">
      <c r="A631" s="2">
        <v>2013</v>
      </c>
      <c r="B631" s="1" t="s">
        <v>47</v>
      </c>
      <c r="C631" s="1" t="s">
        <v>944</v>
      </c>
      <c r="D631" s="1" t="s">
        <v>1062</v>
      </c>
      <c r="E631" s="1" t="s">
        <v>19</v>
      </c>
      <c r="F631" s="1" t="s">
        <v>20</v>
      </c>
      <c r="G631" s="1" t="s">
        <v>1101</v>
      </c>
      <c r="H631" s="1" t="s">
        <v>22</v>
      </c>
      <c r="I631" s="1">
        <v>44</v>
      </c>
      <c r="J631" s="1">
        <v>12194</v>
      </c>
      <c r="K631" s="1" t="s">
        <v>34</v>
      </c>
      <c r="L631" s="1" t="s">
        <v>24</v>
      </c>
      <c r="M631" s="1" t="s">
        <v>984</v>
      </c>
      <c r="N631" s="1">
        <v>16000</v>
      </c>
      <c r="O631" s="12">
        <v>16250</v>
      </c>
      <c r="P631" s="3" t="s">
        <v>26</v>
      </c>
      <c r="Q631" s="1" cm="1">
        <f t="array" ref="Q631">VALUE(INDEX(_xlfn.TEXTSPLIT(P631, " "), 4))</f>
        <v>2014</v>
      </c>
      <c r="R631" s="1" t="str">
        <f t="shared" si="9"/>
        <v>Nissan Rogue SV</v>
      </c>
      <c r="S631" s="1" t="str" cm="1">
        <f t="array" ref="S631">_xlfn.IFS(I631 &gt;= 40, "High", I631&gt;=20, "Medium", I631&lt;20, "Low")</f>
        <v>High</v>
      </c>
      <c r="T631" s="1" t="str" cm="1">
        <f t="array" ref="T631">_xlfn.IFS(O631&lt;18200, "Low", O631&lt;=50000, "Medium", O631&gt;50000, "High")</f>
        <v>Low</v>
      </c>
    </row>
    <row r="632" spans="1:20" x14ac:dyDescent="0.25">
      <c r="A632" s="2">
        <v>2013</v>
      </c>
      <c r="B632" s="1" t="s">
        <v>921</v>
      </c>
      <c r="C632" s="1" t="s">
        <v>992</v>
      </c>
      <c r="D632" s="1" t="s">
        <v>993</v>
      </c>
      <c r="E632" s="1" t="s">
        <v>227</v>
      </c>
      <c r="F632" s="1" t="s">
        <v>20</v>
      </c>
      <c r="G632" s="1" t="s">
        <v>1102</v>
      </c>
      <c r="H632" s="1" t="s">
        <v>22</v>
      </c>
      <c r="I632" s="1">
        <v>29</v>
      </c>
      <c r="J632" s="1">
        <v>39162</v>
      </c>
      <c r="K632" s="1" t="s">
        <v>23</v>
      </c>
      <c r="L632" s="1" t="s">
        <v>24</v>
      </c>
      <c r="M632" s="1" t="s">
        <v>182</v>
      </c>
      <c r="N632" s="1">
        <v>11350</v>
      </c>
      <c r="O632" s="12">
        <v>12100</v>
      </c>
      <c r="P632" s="3" t="s">
        <v>26</v>
      </c>
      <c r="Q632" s="1" cm="1">
        <f t="array" ref="Q632">VALUE(INDEX(_xlfn.TEXTSPLIT(P632, " "), 4))</f>
        <v>2014</v>
      </c>
      <c r="R632" s="1" t="str">
        <f t="shared" si="9"/>
        <v>Volkswagen Beetle 2.5L PZEV</v>
      </c>
      <c r="S632" s="1" t="str" cm="1">
        <f t="array" ref="S632">_xlfn.IFS(I632 &gt;= 40, "High", I632&gt;=20, "Medium", I632&lt;20, "Low")</f>
        <v>Medium</v>
      </c>
      <c r="T632" s="1" t="str" cm="1">
        <f t="array" ref="T632">_xlfn.IFS(O632&lt;18200, "Low", O632&lt;=50000, "Medium", O632&gt;50000, "High")</f>
        <v>Low</v>
      </c>
    </row>
    <row r="633" spans="1:20" x14ac:dyDescent="0.25">
      <c r="A633" s="2">
        <v>2013</v>
      </c>
      <c r="B633" s="1" t="s">
        <v>927</v>
      </c>
      <c r="C633" s="1" t="s">
        <v>1103</v>
      </c>
      <c r="D633" s="1" t="s">
        <v>337</v>
      </c>
      <c r="E633" s="1" t="s">
        <v>19</v>
      </c>
      <c r="F633" s="1" t="s">
        <v>20</v>
      </c>
      <c r="G633" s="1" t="s">
        <v>1104</v>
      </c>
      <c r="H633" s="1" t="s">
        <v>22</v>
      </c>
      <c r="I633" s="1">
        <v>49</v>
      </c>
      <c r="J633" s="1">
        <v>52002</v>
      </c>
      <c r="K633" s="1" t="s">
        <v>91</v>
      </c>
      <c r="L633" s="1" t="s">
        <v>24</v>
      </c>
      <c r="M633" s="1" t="s">
        <v>95</v>
      </c>
      <c r="N633" s="1">
        <v>30500</v>
      </c>
      <c r="O633" s="12">
        <v>25900</v>
      </c>
      <c r="P633" s="3" t="s">
        <v>57</v>
      </c>
      <c r="Q633" s="1" cm="1">
        <f t="array" ref="Q633">VALUE(INDEX(_xlfn.TEXTSPLIT(P633, " "), 4))</f>
        <v>2014</v>
      </c>
      <c r="R633" s="1" t="str">
        <f t="shared" si="9"/>
        <v>Toyota 4Runner Limited</v>
      </c>
      <c r="S633" s="1" t="str" cm="1">
        <f t="array" ref="S633">_xlfn.IFS(I633 &gt;= 40, "High", I633&gt;=20, "Medium", I633&lt;20, "Low")</f>
        <v>High</v>
      </c>
      <c r="T633" s="1" t="str" cm="1">
        <f t="array" ref="T633">_xlfn.IFS(O633&lt;18200, "Low", O633&lt;=50000, "Medium", O633&gt;50000, "High")</f>
        <v>Medium</v>
      </c>
    </row>
    <row r="634" spans="1:20" x14ac:dyDescent="0.25">
      <c r="A634" s="2">
        <v>2013</v>
      </c>
      <c r="B634" s="1" t="s">
        <v>927</v>
      </c>
      <c r="C634" s="1" t="s">
        <v>1105</v>
      </c>
      <c r="D634" s="1" t="s">
        <v>1106</v>
      </c>
      <c r="E634" s="1" t="s">
        <v>19</v>
      </c>
      <c r="F634" s="1" t="s">
        <v>20</v>
      </c>
      <c r="G634" s="1" t="s">
        <v>1107</v>
      </c>
      <c r="H634" s="1" t="s">
        <v>22</v>
      </c>
      <c r="I634" s="1">
        <v>41</v>
      </c>
      <c r="J634" s="1">
        <v>24592</v>
      </c>
      <c r="K634" s="1" t="s">
        <v>24</v>
      </c>
      <c r="L634" s="1" t="s">
        <v>34</v>
      </c>
      <c r="M634" s="1" t="s">
        <v>1096</v>
      </c>
      <c r="N634" s="1">
        <v>30200</v>
      </c>
      <c r="O634" s="12">
        <v>34000</v>
      </c>
      <c r="P634" s="3" t="s">
        <v>1108</v>
      </c>
      <c r="Q634" s="1" cm="1">
        <f t="array" ref="Q634">VALUE(INDEX(_xlfn.TEXTSPLIT(P634, " "), 4))</f>
        <v>2014</v>
      </c>
      <c r="R634" s="1" t="str">
        <f t="shared" si="9"/>
        <v>Toyota Sequoia SR5</v>
      </c>
      <c r="S634" s="1" t="str" cm="1">
        <f t="array" ref="S634">_xlfn.IFS(I634 &gt;= 40, "High", I634&gt;=20, "Medium", I634&lt;20, "Low")</f>
        <v>High</v>
      </c>
      <c r="T634" s="1" t="str" cm="1">
        <f t="array" ref="T634">_xlfn.IFS(O634&lt;18200, "Low", O634&lt;=50000, "Medium", O634&gt;50000, "High")</f>
        <v>Medium</v>
      </c>
    </row>
    <row r="635" spans="1:20" x14ac:dyDescent="0.25">
      <c r="A635" s="2">
        <v>2013</v>
      </c>
      <c r="B635" s="1" t="s">
        <v>47</v>
      </c>
      <c r="C635" s="1" t="s">
        <v>212</v>
      </c>
      <c r="D635" s="1" t="s">
        <v>988</v>
      </c>
      <c r="E635" s="1" t="s">
        <v>32</v>
      </c>
      <c r="F635" s="1" t="s">
        <v>20</v>
      </c>
      <c r="G635" s="1" t="s">
        <v>1109</v>
      </c>
      <c r="H635" s="1" t="s">
        <v>22</v>
      </c>
      <c r="I635" s="1">
        <v>35</v>
      </c>
      <c r="J635" s="1">
        <v>27953</v>
      </c>
      <c r="K635" s="1" t="s">
        <v>73</v>
      </c>
      <c r="L635" s="1" t="s">
        <v>24</v>
      </c>
      <c r="M635" s="1" t="s">
        <v>1082</v>
      </c>
      <c r="N635" s="1">
        <v>10000</v>
      </c>
      <c r="O635" s="12">
        <v>10000</v>
      </c>
      <c r="P635" s="3" t="s">
        <v>853</v>
      </c>
      <c r="Q635" s="1" cm="1">
        <f t="array" ref="Q635">VALUE(INDEX(_xlfn.TEXTSPLIT(P635, " "), 4))</f>
        <v>2015</v>
      </c>
      <c r="R635" s="1" t="str">
        <f t="shared" si="9"/>
        <v>Nissan Versa 1.6 S Plus</v>
      </c>
      <c r="S635" s="1" t="str" cm="1">
        <f t="array" ref="S635">_xlfn.IFS(I635 &gt;= 40, "High", I635&gt;=20, "Medium", I635&lt;20, "Low")</f>
        <v>Medium</v>
      </c>
      <c r="T635" s="1" t="str" cm="1">
        <f t="array" ref="T635">_xlfn.IFS(O635&lt;18200, "Low", O635&lt;=50000, "Medium", O635&gt;50000, "High")</f>
        <v>Low</v>
      </c>
    </row>
    <row r="636" spans="1:20" x14ac:dyDescent="0.25">
      <c r="A636" s="2">
        <v>2013</v>
      </c>
      <c r="B636" s="1" t="s">
        <v>47</v>
      </c>
      <c r="C636" s="1" t="s">
        <v>1030</v>
      </c>
      <c r="D636" s="1" t="s">
        <v>1110</v>
      </c>
      <c r="E636" s="1" t="s">
        <v>32</v>
      </c>
      <c r="F636" s="1" t="s">
        <v>20</v>
      </c>
      <c r="G636" s="1" t="s">
        <v>1111</v>
      </c>
      <c r="H636" s="1" t="s">
        <v>22</v>
      </c>
      <c r="I636" s="1"/>
      <c r="J636" s="1">
        <v>37803</v>
      </c>
      <c r="K636" s="1" t="s">
        <v>34</v>
      </c>
      <c r="L636" s="1" t="s">
        <v>24</v>
      </c>
      <c r="M636" s="1" t="s">
        <v>406</v>
      </c>
      <c r="N636" s="1">
        <v>15150</v>
      </c>
      <c r="O636" s="12">
        <v>2000</v>
      </c>
      <c r="P636" s="3" t="s">
        <v>62</v>
      </c>
      <c r="Q636" s="1" cm="1">
        <f t="array" ref="Q636">VALUE(INDEX(_xlfn.TEXTSPLIT(P636, " "), 4))</f>
        <v>2014</v>
      </c>
      <c r="R636" s="1" t="str">
        <f t="shared" si="9"/>
        <v>Nissan Maxima 3.5 S</v>
      </c>
      <c r="S636" s="1" t="str" cm="1">
        <f t="array" ref="S636">_xlfn.IFS(I636 &gt;= 40, "High", I636&gt;=20, "Medium", I636&lt;20, "Low")</f>
        <v>Low</v>
      </c>
      <c r="T636" s="1" t="str" cm="1">
        <f t="array" ref="T636">_xlfn.IFS(O636&lt;18200, "Low", O636&lt;=50000, "Medium", O636&gt;50000, "High")</f>
        <v>Low</v>
      </c>
    </row>
    <row r="637" spans="1:20" x14ac:dyDescent="0.25">
      <c r="A637" s="2">
        <v>2013</v>
      </c>
      <c r="B637" s="1" t="s">
        <v>37</v>
      </c>
      <c r="C637" s="1" t="s">
        <v>38</v>
      </c>
      <c r="D637" s="1" t="s">
        <v>39</v>
      </c>
      <c r="E637" s="1" t="s">
        <v>32</v>
      </c>
      <c r="F637" s="1" t="s">
        <v>20</v>
      </c>
      <c r="G637" s="1" t="s">
        <v>1112</v>
      </c>
      <c r="H637" s="1" t="s">
        <v>22</v>
      </c>
      <c r="I637" s="1">
        <v>42</v>
      </c>
      <c r="J637" s="1">
        <v>19942</v>
      </c>
      <c r="K637" s="1" t="s">
        <v>23</v>
      </c>
      <c r="L637" s="1" t="s">
        <v>28</v>
      </c>
      <c r="M637" s="1" t="s">
        <v>1113</v>
      </c>
      <c r="N637" s="1">
        <v>15550</v>
      </c>
      <c r="O637" s="12">
        <v>20000</v>
      </c>
      <c r="P637" s="3" t="s">
        <v>46</v>
      </c>
      <c r="Q637" s="1" cm="1">
        <f t="array" ref="Q637">VALUE(INDEX(_xlfn.TEXTSPLIT(P637, " "), 4))</f>
        <v>2014</v>
      </c>
      <c r="R637" s="1" t="str">
        <f t="shared" si="9"/>
        <v>Volvo S60 T5</v>
      </c>
      <c r="S637" s="1" t="str" cm="1">
        <f t="array" ref="S637">_xlfn.IFS(I637 &gt;= 40, "High", I637&gt;=20, "Medium", I637&lt;20, "Low")</f>
        <v>High</v>
      </c>
      <c r="T637" s="1" t="str" cm="1">
        <f t="array" ref="T637">_xlfn.IFS(O637&lt;18200, "Low", O637&lt;=50000, "Medium", O637&gt;50000, "High")</f>
        <v>Medium</v>
      </c>
    </row>
    <row r="638" spans="1:20" x14ac:dyDescent="0.25">
      <c r="A638" s="2">
        <v>2013</v>
      </c>
      <c r="B638" s="1" t="s">
        <v>927</v>
      </c>
      <c r="C638" s="1" t="s">
        <v>1053</v>
      </c>
      <c r="D638" s="1" t="s">
        <v>1054</v>
      </c>
      <c r="E638" s="1" t="s">
        <v>227</v>
      </c>
      <c r="F638" s="1" t="s">
        <v>20</v>
      </c>
      <c r="G638" s="1" t="s">
        <v>1114</v>
      </c>
      <c r="H638" s="1" t="s">
        <v>22</v>
      </c>
      <c r="I638" s="1">
        <v>35</v>
      </c>
      <c r="J638" s="1">
        <v>45805</v>
      </c>
      <c r="K638" s="1" t="s">
        <v>91</v>
      </c>
      <c r="L638" s="1" t="s">
        <v>34</v>
      </c>
      <c r="M638" s="1" t="s">
        <v>95</v>
      </c>
      <c r="N638" s="1">
        <v>14550</v>
      </c>
      <c r="O638" s="12">
        <v>16200</v>
      </c>
      <c r="P638" s="3" t="s">
        <v>57</v>
      </c>
      <c r="Q638" s="1" cm="1">
        <f t="array" ref="Q638">VALUE(INDEX(_xlfn.TEXTSPLIT(P638, " "), 4))</f>
        <v>2014</v>
      </c>
      <c r="R638" s="1" t="str">
        <f t="shared" si="9"/>
        <v>Toyota Prius Two</v>
      </c>
      <c r="S638" s="1" t="str" cm="1">
        <f t="array" ref="S638">_xlfn.IFS(I638 &gt;= 40, "High", I638&gt;=20, "Medium", I638&lt;20, "Low")</f>
        <v>Medium</v>
      </c>
      <c r="T638" s="1" t="str" cm="1">
        <f t="array" ref="T638">_xlfn.IFS(O638&lt;18200, "Low", O638&lt;=50000, "Medium", O638&gt;50000, "High")</f>
        <v>Low</v>
      </c>
    </row>
    <row r="639" spans="1:20" x14ac:dyDescent="0.25">
      <c r="A639" s="2">
        <v>2013</v>
      </c>
      <c r="B639" s="1" t="s">
        <v>978</v>
      </c>
      <c r="C639" s="1" t="s">
        <v>1115</v>
      </c>
      <c r="D639" s="1" t="s">
        <v>1116</v>
      </c>
      <c r="E639" s="1" t="s">
        <v>32</v>
      </c>
      <c r="F639" s="1" t="s">
        <v>20</v>
      </c>
      <c r="G639" s="1" t="s">
        <v>1117</v>
      </c>
      <c r="H639" s="1" t="s">
        <v>22</v>
      </c>
      <c r="I639" s="1">
        <v>1</v>
      </c>
      <c r="J639" s="1">
        <v>24734</v>
      </c>
      <c r="K639" s="1" t="s">
        <v>73</v>
      </c>
      <c r="L639" s="1" t="s">
        <v>24</v>
      </c>
      <c r="M639" s="1" t="s">
        <v>51</v>
      </c>
      <c r="N639" s="1">
        <v>15900</v>
      </c>
      <c r="O639" s="12">
        <v>9800</v>
      </c>
      <c r="P639" s="3" t="s">
        <v>1118</v>
      </c>
      <c r="Q639" s="1" cm="1">
        <f t="array" ref="Q639">VALUE(INDEX(_xlfn.TEXTSPLIT(P639, " "), 4))</f>
        <v>2014</v>
      </c>
      <c r="R639" s="1" t="str">
        <f t="shared" si="9"/>
        <v>Subaru Legacy 2.5i Premium PZEV</v>
      </c>
      <c r="S639" s="1" t="str" cm="1">
        <f t="array" ref="S639">_xlfn.IFS(I639 &gt;= 40, "High", I639&gt;=20, "Medium", I639&lt;20, "Low")</f>
        <v>Low</v>
      </c>
      <c r="T639" s="1" t="str" cm="1">
        <f t="array" ref="T639">_xlfn.IFS(O639&lt;18200, "Low", O639&lt;=50000, "Medium", O639&gt;50000, "High")</f>
        <v>Low</v>
      </c>
    </row>
    <row r="640" spans="1:20" x14ac:dyDescent="0.25">
      <c r="A640" s="2">
        <v>2013</v>
      </c>
      <c r="B640" s="1" t="s">
        <v>47</v>
      </c>
      <c r="C640" s="1" t="s">
        <v>959</v>
      </c>
      <c r="D640" s="1" t="s">
        <v>936</v>
      </c>
      <c r="E640" s="1" t="s">
        <v>227</v>
      </c>
      <c r="F640" s="1" t="s">
        <v>20</v>
      </c>
      <c r="G640" s="1" t="s">
        <v>1119</v>
      </c>
      <c r="H640" s="1" t="s">
        <v>22</v>
      </c>
      <c r="I640" s="1">
        <v>36</v>
      </c>
      <c r="J640" s="1">
        <v>8485</v>
      </c>
      <c r="K640" s="1" t="s">
        <v>24</v>
      </c>
      <c r="L640" s="1" t="s">
        <v>24</v>
      </c>
      <c r="M640" s="1" t="s">
        <v>651</v>
      </c>
      <c r="N640" s="1">
        <v>15150</v>
      </c>
      <c r="O640" s="12">
        <v>15000</v>
      </c>
      <c r="P640" s="3" t="s">
        <v>26</v>
      </c>
      <c r="Q640" s="1" cm="1">
        <f t="array" ref="Q640">VALUE(INDEX(_xlfn.TEXTSPLIT(P640, " "), 4))</f>
        <v>2014</v>
      </c>
      <c r="R640" s="1" t="str">
        <f t="shared" si="9"/>
        <v>Nissan Leaf S</v>
      </c>
      <c r="S640" s="1" t="str" cm="1">
        <f t="array" ref="S640">_xlfn.IFS(I640 &gt;= 40, "High", I640&gt;=20, "Medium", I640&lt;20, "Low")</f>
        <v>Medium</v>
      </c>
      <c r="T640" s="1" t="str" cm="1">
        <f t="array" ref="T640">_xlfn.IFS(O640&lt;18200, "Low", O640&lt;=50000, "Medium", O640&gt;50000, "High")</f>
        <v>Low</v>
      </c>
    </row>
    <row r="641" spans="1:20" x14ac:dyDescent="0.25">
      <c r="A641" s="2">
        <v>2013</v>
      </c>
      <c r="B641" s="1" t="s">
        <v>47</v>
      </c>
      <c r="C641" s="1" t="s">
        <v>212</v>
      </c>
      <c r="D641" s="1" t="s">
        <v>988</v>
      </c>
      <c r="E641" s="1" t="s">
        <v>32</v>
      </c>
      <c r="F641" s="1"/>
      <c r="G641" s="1" t="s">
        <v>1120</v>
      </c>
      <c r="H641" s="1" t="s">
        <v>22</v>
      </c>
      <c r="I641" s="1">
        <v>19</v>
      </c>
      <c r="J641" s="1">
        <v>28786</v>
      </c>
      <c r="K641" s="1" t="s">
        <v>23</v>
      </c>
      <c r="L641" s="1" t="s">
        <v>24</v>
      </c>
      <c r="M641" s="1" t="s">
        <v>555</v>
      </c>
      <c r="N641" s="1">
        <v>9850</v>
      </c>
      <c r="O641" s="12">
        <v>7700</v>
      </c>
      <c r="P641" s="3" t="s">
        <v>68</v>
      </c>
      <c r="Q641" s="1" cm="1">
        <f t="array" ref="Q641">VALUE(INDEX(_xlfn.TEXTSPLIT(P641, " "), 4))</f>
        <v>2014</v>
      </c>
      <c r="R641" s="1" t="str">
        <f t="shared" si="9"/>
        <v>Nissan Versa 1.6 S Plus</v>
      </c>
      <c r="S641" s="1" t="str" cm="1">
        <f t="array" ref="S641">_xlfn.IFS(I641 &gt;= 40, "High", I641&gt;=20, "Medium", I641&lt;20, "Low")</f>
        <v>Low</v>
      </c>
      <c r="T641" s="1" t="str" cm="1">
        <f t="array" ref="T641">_xlfn.IFS(O641&lt;18200, "Low", O641&lt;=50000, "Medium", O641&gt;50000, "High")</f>
        <v>Low</v>
      </c>
    </row>
    <row r="642" spans="1:20" x14ac:dyDescent="0.25">
      <c r="A642" s="2">
        <v>2013</v>
      </c>
      <c r="B642" s="1" t="s">
        <v>47</v>
      </c>
      <c r="C642" s="1" t="s">
        <v>1014</v>
      </c>
      <c r="D642" s="1" t="s">
        <v>960</v>
      </c>
      <c r="E642" s="1" t="s">
        <v>738</v>
      </c>
      <c r="F642" s="1" t="s">
        <v>20</v>
      </c>
      <c r="G642" s="1" t="s">
        <v>1121</v>
      </c>
      <c r="H642" s="1" t="s">
        <v>22</v>
      </c>
      <c r="I642" s="1"/>
      <c r="J642" s="1">
        <v>22654</v>
      </c>
      <c r="K642" s="1" t="s">
        <v>24</v>
      </c>
      <c r="L642" s="1" t="s">
        <v>34</v>
      </c>
      <c r="M642" s="1" t="s">
        <v>1122</v>
      </c>
      <c r="N642" s="1">
        <v>23000</v>
      </c>
      <c r="O642" s="12">
        <v>22800</v>
      </c>
      <c r="P642" s="3" t="s">
        <v>68</v>
      </c>
      <c r="Q642" s="1" cm="1">
        <f t="array" ref="Q642">VALUE(INDEX(_xlfn.TEXTSPLIT(P642, " "), 4))</f>
        <v>2014</v>
      </c>
      <c r="R642" s="1" t="str">
        <f t="shared" si="9"/>
        <v>Nissan Quest SL</v>
      </c>
      <c r="S642" s="1" t="str" cm="1">
        <f t="array" ref="S642">_xlfn.IFS(I642 &gt;= 40, "High", I642&gt;=20, "Medium", I642&lt;20, "Low")</f>
        <v>Low</v>
      </c>
      <c r="T642" s="1" t="str" cm="1">
        <f t="array" ref="T642">_xlfn.IFS(O642&lt;18200, "Low", O642&lt;=50000, "Medium", O642&gt;50000, "High")</f>
        <v>Medium</v>
      </c>
    </row>
    <row r="643" spans="1:20" x14ac:dyDescent="0.25">
      <c r="A643" s="2">
        <v>2013</v>
      </c>
      <c r="B643" s="1" t="s">
        <v>921</v>
      </c>
      <c r="C643" s="1" t="s">
        <v>922</v>
      </c>
      <c r="D643" s="1" t="s">
        <v>923</v>
      </c>
      <c r="E643" s="1" t="s">
        <v>32</v>
      </c>
      <c r="F643" s="1" t="s">
        <v>20</v>
      </c>
      <c r="G643" s="1" t="s">
        <v>1123</v>
      </c>
      <c r="H643" s="1" t="s">
        <v>22</v>
      </c>
      <c r="I643" s="1"/>
      <c r="J643" s="1">
        <v>37703</v>
      </c>
      <c r="K643" s="1" t="s">
        <v>34</v>
      </c>
      <c r="L643" s="1" t="s">
        <v>101</v>
      </c>
      <c r="M643" s="1" t="s">
        <v>1124</v>
      </c>
      <c r="N643" s="1">
        <v>12950</v>
      </c>
      <c r="O643" s="12">
        <v>11900</v>
      </c>
      <c r="P643" s="3" t="s">
        <v>57</v>
      </c>
      <c r="Q643" s="1" cm="1">
        <f t="array" ref="Q643">VALUE(INDEX(_xlfn.TEXTSPLIT(P643, " "), 4))</f>
        <v>2014</v>
      </c>
      <c r="R643" s="1" t="str">
        <f t="shared" ref="R643:R706" si="10">_xlfn.TEXTJOIN(" ", TRUE, B643, C643, D643)</f>
        <v>Volkswagen Passat SE PZEV</v>
      </c>
      <c r="S643" s="1" t="str" cm="1">
        <f t="array" ref="S643">_xlfn.IFS(I643 &gt;= 40, "High", I643&gt;=20, "Medium", I643&lt;20, "Low")</f>
        <v>Low</v>
      </c>
      <c r="T643" s="1" t="str" cm="1">
        <f t="array" ref="T643">_xlfn.IFS(O643&lt;18200, "Low", O643&lt;=50000, "Medium", O643&gt;50000, "High")</f>
        <v>Low</v>
      </c>
    </row>
    <row r="644" spans="1:20" x14ac:dyDescent="0.25">
      <c r="A644" s="2">
        <v>2013</v>
      </c>
      <c r="B644" s="1" t="s">
        <v>47</v>
      </c>
      <c r="C644" s="1" t="s">
        <v>1125</v>
      </c>
      <c r="D644" s="1" t="s">
        <v>1062</v>
      </c>
      <c r="E644" s="1" t="s">
        <v>19</v>
      </c>
      <c r="F644" s="1" t="s">
        <v>20</v>
      </c>
      <c r="G644" s="1" t="s">
        <v>1126</v>
      </c>
      <c r="H644" s="1" t="s">
        <v>22</v>
      </c>
      <c r="I644" s="1">
        <v>31</v>
      </c>
      <c r="J644" s="1">
        <v>63459</v>
      </c>
      <c r="K644" s="1" t="s">
        <v>24</v>
      </c>
      <c r="L644" s="1" t="s">
        <v>24</v>
      </c>
      <c r="M644" s="1" t="s">
        <v>56</v>
      </c>
      <c r="N644" s="1">
        <v>18100</v>
      </c>
      <c r="O644" s="12">
        <v>19500</v>
      </c>
      <c r="P644" s="3" t="s">
        <v>270</v>
      </c>
      <c r="Q644" s="1" cm="1">
        <f t="array" ref="Q644">VALUE(INDEX(_xlfn.TEXTSPLIT(P644, " "), 4))</f>
        <v>2014</v>
      </c>
      <c r="R644" s="1" t="str">
        <f t="shared" si="10"/>
        <v>Nissan Armada SV</v>
      </c>
      <c r="S644" s="1" t="str" cm="1">
        <f t="array" ref="S644">_xlfn.IFS(I644 &gt;= 40, "High", I644&gt;=20, "Medium", I644&lt;20, "Low")</f>
        <v>Medium</v>
      </c>
      <c r="T644" s="1" t="str" cm="1">
        <f t="array" ref="T644">_xlfn.IFS(O644&lt;18200, "Low", O644&lt;=50000, "Medium", O644&gt;50000, "High")</f>
        <v>Medium</v>
      </c>
    </row>
    <row r="645" spans="1:20" x14ac:dyDescent="0.25">
      <c r="A645" s="2">
        <v>2013</v>
      </c>
      <c r="B645" s="1" t="s">
        <v>47</v>
      </c>
      <c r="C645" s="1" t="s">
        <v>944</v>
      </c>
      <c r="D645" s="1" t="s">
        <v>1062</v>
      </c>
      <c r="E645" s="1" t="s">
        <v>19</v>
      </c>
      <c r="F645" s="1"/>
      <c r="G645" s="1" t="s">
        <v>1127</v>
      </c>
      <c r="H645" s="1" t="s">
        <v>22</v>
      </c>
      <c r="I645" s="1">
        <v>43</v>
      </c>
      <c r="J645" s="1">
        <v>22338</v>
      </c>
      <c r="K645" s="1" t="s">
        <v>91</v>
      </c>
      <c r="L645" s="1" t="s">
        <v>24</v>
      </c>
      <c r="M645" s="1" t="s">
        <v>651</v>
      </c>
      <c r="N645" s="1">
        <v>15050</v>
      </c>
      <c r="O645" s="12">
        <v>18000</v>
      </c>
      <c r="P645" s="3" t="s">
        <v>26</v>
      </c>
      <c r="Q645" s="1" cm="1">
        <f t="array" ref="Q645">VALUE(INDEX(_xlfn.TEXTSPLIT(P645, " "), 4))</f>
        <v>2014</v>
      </c>
      <c r="R645" s="1" t="str">
        <f t="shared" si="10"/>
        <v>Nissan Rogue SV</v>
      </c>
      <c r="S645" s="1" t="str" cm="1">
        <f t="array" ref="S645">_xlfn.IFS(I645 &gt;= 40, "High", I645&gt;=20, "Medium", I645&lt;20, "Low")</f>
        <v>High</v>
      </c>
      <c r="T645" s="1" t="str" cm="1">
        <f t="array" ref="T645">_xlfn.IFS(O645&lt;18200, "Low", O645&lt;=50000, "Medium", O645&gt;50000, "High")</f>
        <v>Low</v>
      </c>
    </row>
    <row r="646" spans="1:20" x14ac:dyDescent="0.25">
      <c r="A646" s="2">
        <v>2013</v>
      </c>
      <c r="B646" s="1" t="s">
        <v>927</v>
      </c>
      <c r="C646" s="1" t="s">
        <v>1128</v>
      </c>
      <c r="D646" s="1" t="s">
        <v>663</v>
      </c>
      <c r="E646" s="1" t="s">
        <v>130</v>
      </c>
      <c r="F646" s="1" t="s">
        <v>20</v>
      </c>
      <c r="G646" s="1" t="s">
        <v>1129</v>
      </c>
      <c r="H646" s="1" t="s">
        <v>22</v>
      </c>
      <c r="I646" s="1">
        <v>39</v>
      </c>
      <c r="J646" s="1">
        <v>41829</v>
      </c>
      <c r="K646" s="1" t="s">
        <v>23</v>
      </c>
      <c r="L646" s="1" t="s">
        <v>28</v>
      </c>
      <c r="M646" s="1" t="s">
        <v>95</v>
      </c>
      <c r="N646" s="1">
        <v>16600</v>
      </c>
      <c r="O646" s="12">
        <v>17600</v>
      </c>
      <c r="P646" s="3" t="s">
        <v>57</v>
      </c>
      <c r="Q646" s="1" cm="1">
        <f t="array" ref="Q646">VALUE(INDEX(_xlfn.TEXTSPLIT(P646, " "), 4))</f>
        <v>2014</v>
      </c>
      <c r="R646" s="1" t="str">
        <f t="shared" si="10"/>
        <v>Toyota Venza LE</v>
      </c>
      <c r="S646" s="1" t="str" cm="1">
        <f t="array" ref="S646">_xlfn.IFS(I646 &gt;= 40, "High", I646&gt;=20, "Medium", I646&lt;20, "Low")</f>
        <v>Medium</v>
      </c>
      <c r="T646" s="1" t="str" cm="1">
        <f t="array" ref="T646">_xlfn.IFS(O646&lt;18200, "Low", O646&lt;=50000, "Medium", O646&gt;50000, "High")</f>
        <v>Low</v>
      </c>
    </row>
    <row r="647" spans="1:20" x14ac:dyDescent="0.25">
      <c r="A647" s="2">
        <v>2013</v>
      </c>
      <c r="B647" s="1" t="s">
        <v>921</v>
      </c>
      <c r="C647" s="1" t="s">
        <v>976</v>
      </c>
      <c r="D647" s="1" t="s">
        <v>923</v>
      </c>
      <c r="E647" s="1" t="s">
        <v>32</v>
      </c>
      <c r="F647" s="1" t="s">
        <v>20</v>
      </c>
      <c r="G647" s="1" t="s">
        <v>1130</v>
      </c>
      <c r="H647" s="1" t="s">
        <v>22</v>
      </c>
      <c r="I647" s="1">
        <v>4</v>
      </c>
      <c r="J647" s="1">
        <v>37508</v>
      </c>
      <c r="K647" s="1" t="s">
        <v>24</v>
      </c>
      <c r="L647" s="1" t="s">
        <v>24</v>
      </c>
      <c r="M647" s="1" t="s">
        <v>182</v>
      </c>
      <c r="N647" s="1">
        <v>10950</v>
      </c>
      <c r="O647" s="12">
        <v>11600</v>
      </c>
      <c r="P647" s="3" t="s">
        <v>26</v>
      </c>
      <c r="Q647" s="1" cm="1">
        <f t="array" ref="Q647">VALUE(INDEX(_xlfn.TEXTSPLIT(P647, " "), 4))</f>
        <v>2014</v>
      </c>
      <c r="R647" s="1" t="str">
        <f t="shared" si="10"/>
        <v>Volkswagen Jetta SE PZEV</v>
      </c>
      <c r="S647" s="1" t="str" cm="1">
        <f t="array" ref="S647">_xlfn.IFS(I647 &gt;= 40, "High", I647&gt;=20, "Medium", I647&lt;20, "Low")</f>
        <v>Low</v>
      </c>
      <c r="T647" s="1" t="str" cm="1">
        <f t="array" ref="T647">_xlfn.IFS(O647&lt;18200, "Low", O647&lt;=50000, "Medium", O647&gt;50000, "High")</f>
        <v>Low</v>
      </c>
    </row>
    <row r="648" spans="1:20" x14ac:dyDescent="0.25">
      <c r="A648" s="2">
        <v>2013</v>
      </c>
      <c r="B648" s="1" t="s">
        <v>47</v>
      </c>
      <c r="C648" s="1" t="s">
        <v>944</v>
      </c>
      <c r="D648" s="1" t="s">
        <v>936</v>
      </c>
      <c r="E648" s="1" t="s">
        <v>19</v>
      </c>
      <c r="F648" s="1"/>
      <c r="G648" s="1" t="s">
        <v>1131</v>
      </c>
      <c r="H648" s="1" t="s">
        <v>22</v>
      </c>
      <c r="I648" s="1">
        <v>43</v>
      </c>
      <c r="J648" s="1">
        <v>27187</v>
      </c>
      <c r="K648" s="1" t="s">
        <v>94</v>
      </c>
      <c r="L648" s="1" t="s">
        <v>34</v>
      </c>
      <c r="M648" s="1" t="s">
        <v>984</v>
      </c>
      <c r="N648" s="1">
        <v>14550</v>
      </c>
      <c r="O648" s="12">
        <v>15500</v>
      </c>
      <c r="P648" s="3" t="s">
        <v>26</v>
      </c>
      <c r="Q648" s="1" cm="1">
        <f t="array" ref="Q648">VALUE(INDEX(_xlfn.TEXTSPLIT(P648, " "), 4))</f>
        <v>2014</v>
      </c>
      <c r="R648" s="1" t="str">
        <f t="shared" si="10"/>
        <v>Nissan Rogue S</v>
      </c>
      <c r="S648" s="1" t="str" cm="1">
        <f t="array" ref="S648">_xlfn.IFS(I648 &gt;= 40, "High", I648&gt;=20, "Medium", I648&lt;20, "Low")</f>
        <v>High</v>
      </c>
      <c r="T648" s="1" t="str" cm="1">
        <f t="array" ref="T648">_xlfn.IFS(O648&lt;18200, "Low", O648&lt;=50000, "Medium", O648&gt;50000, "High")</f>
        <v>Low</v>
      </c>
    </row>
    <row r="649" spans="1:20" x14ac:dyDescent="0.25">
      <c r="A649" s="2">
        <v>2013</v>
      </c>
      <c r="B649" s="1" t="s">
        <v>47</v>
      </c>
      <c r="C649" s="1" t="s">
        <v>940</v>
      </c>
      <c r="D649" s="1" t="s">
        <v>1062</v>
      </c>
      <c r="E649" s="1" t="s">
        <v>32</v>
      </c>
      <c r="F649" s="1" t="s">
        <v>20</v>
      </c>
      <c r="G649" s="1" t="s">
        <v>1132</v>
      </c>
      <c r="H649" s="1" t="s">
        <v>22</v>
      </c>
      <c r="I649" s="1">
        <v>46</v>
      </c>
      <c r="J649" s="1">
        <v>29277</v>
      </c>
      <c r="K649" s="1" t="s">
        <v>24</v>
      </c>
      <c r="L649" s="1" t="s">
        <v>24</v>
      </c>
      <c r="M649" s="1" t="s">
        <v>217</v>
      </c>
      <c r="N649" s="1">
        <v>11850</v>
      </c>
      <c r="O649" s="12">
        <v>12250</v>
      </c>
      <c r="P649" s="3" t="s">
        <v>26</v>
      </c>
      <c r="Q649" s="1" cm="1">
        <f t="array" ref="Q649">VALUE(INDEX(_xlfn.TEXTSPLIT(P649, " "), 4))</f>
        <v>2014</v>
      </c>
      <c r="R649" s="1" t="str">
        <f t="shared" si="10"/>
        <v>Nissan Sentra SV</v>
      </c>
      <c r="S649" s="1" t="str" cm="1">
        <f t="array" ref="S649">_xlfn.IFS(I649 &gt;= 40, "High", I649&gt;=20, "Medium", I649&lt;20, "Low")</f>
        <v>High</v>
      </c>
      <c r="T649" s="1" t="str" cm="1">
        <f t="array" ref="T649">_xlfn.IFS(O649&lt;18200, "Low", O649&lt;=50000, "Medium", O649&gt;50000, "High")</f>
        <v>Low</v>
      </c>
    </row>
    <row r="650" spans="1:20" x14ac:dyDescent="0.25">
      <c r="A650" s="2">
        <v>2013</v>
      </c>
      <c r="B650" s="1" t="s">
        <v>47</v>
      </c>
      <c r="C650" s="1" t="s">
        <v>48</v>
      </c>
      <c r="D650" s="1">
        <v>2.5</v>
      </c>
      <c r="E650" s="1" t="s">
        <v>32</v>
      </c>
      <c r="F650" s="1"/>
      <c r="G650" s="1" t="s">
        <v>1133</v>
      </c>
      <c r="H650" s="1" t="s">
        <v>22</v>
      </c>
      <c r="I650" s="1">
        <v>42</v>
      </c>
      <c r="J650" s="1">
        <v>21896</v>
      </c>
      <c r="K650" s="1" t="s">
        <v>132</v>
      </c>
      <c r="L650" s="1" t="s">
        <v>28</v>
      </c>
      <c r="M650" s="1" t="s">
        <v>217</v>
      </c>
      <c r="N650" s="1">
        <v>14500</v>
      </c>
      <c r="O650" s="12">
        <v>14500</v>
      </c>
      <c r="P650" s="3" t="s">
        <v>26</v>
      </c>
      <c r="Q650" s="1" cm="1">
        <f t="array" ref="Q650">VALUE(INDEX(_xlfn.TEXTSPLIT(P650, " "), 4))</f>
        <v>2014</v>
      </c>
      <c r="R650" s="1" t="str">
        <f t="shared" si="10"/>
        <v>Nissan Altima 2.5</v>
      </c>
      <c r="S650" s="1" t="str" cm="1">
        <f t="array" ref="S650">_xlfn.IFS(I650 &gt;= 40, "High", I650&gt;=20, "Medium", I650&lt;20, "Low")</f>
        <v>High</v>
      </c>
      <c r="T650" s="1" t="str" cm="1">
        <f t="array" ref="T650">_xlfn.IFS(O650&lt;18200, "Low", O650&lt;=50000, "Medium", O650&gt;50000, "High")</f>
        <v>Low</v>
      </c>
    </row>
    <row r="651" spans="1:20" x14ac:dyDescent="0.25">
      <c r="A651" s="2">
        <v>2013</v>
      </c>
      <c r="B651" s="1" t="s">
        <v>921</v>
      </c>
      <c r="C651" s="1" t="s">
        <v>976</v>
      </c>
      <c r="D651" s="1" t="s">
        <v>923</v>
      </c>
      <c r="E651" s="1" t="s">
        <v>32</v>
      </c>
      <c r="F651" s="1"/>
      <c r="G651" s="1" t="s">
        <v>1134</v>
      </c>
      <c r="H651" s="1" t="s">
        <v>22</v>
      </c>
      <c r="I651" s="1">
        <v>1</v>
      </c>
      <c r="J651" s="1">
        <v>18293</v>
      </c>
      <c r="K651" s="1" t="s">
        <v>94</v>
      </c>
      <c r="L651" s="1" t="s">
        <v>24</v>
      </c>
      <c r="M651" s="1" t="s">
        <v>51</v>
      </c>
      <c r="N651" s="1">
        <v>12250</v>
      </c>
      <c r="O651" s="12">
        <v>7200</v>
      </c>
      <c r="P651" s="3" t="s">
        <v>693</v>
      </c>
      <c r="Q651" s="1" cm="1">
        <f t="array" ref="Q651">VALUE(INDEX(_xlfn.TEXTSPLIT(P651, " "), 4))</f>
        <v>2014</v>
      </c>
      <c r="R651" s="1" t="str">
        <f t="shared" si="10"/>
        <v>Volkswagen Jetta SE PZEV</v>
      </c>
      <c r="S651" s="1" t="str" cm="1">
        <f t="array" ref="S651">_xlfn.IFS(I651 &gt;= 40, "High", I651&gt;=20, "Medium", I651&lt;20, "Low")</f>
        <v>Low</v>
      </c>
      <c r="T651" s="1" t="str" cm="1">
        <f t="array" ref="T651">_xlfn.IFS(O651&lt;18200, "Low", O651&lt;=50000, "Medium", O651&gt;50000, "High")</f>
        <v>Low</v>
      </c>
    </row>
    <row r="652" spans="1:20" x14ac:dyDescent="0.25">
      <c r="A652" s="2">
        <v>2013</v>
      </c>
      <c r="B652" s="1" t="s">
        <v>47</v>
      </c>
      <c r="C652" s="1" t="s">
        <v>1084</v>
      </c>
      <c r="D652" s="1" t="s">
        <v>1085</v>
      </c>
      <c r="E652" s="1" t="s">
        <v>130</v>
      </c>
      <c r="F652" s="1" t="s">
        <v>20</v>
      </c>
      <c r="G652" s="1" t="s">
        <v>1135</v>
      </c>
      <c r="H652" s="1" t="s">
        <v>22</v>
      </c>
      <c r="I652" s="1">
        <v>37</v>
      </c>
      <c r="J652" s="1">
        <v>26505</v>
      </c>
      <c r="K652" s="1" t="s">
        <v>94</v>
      </c>
      <c r="L652" s="1" t="s">
        <v>24</v>
      </c>
      <c r="M652" s="1" t="s">
        <v>109</v>
      </c>
      <c r="N652" s="1">
        <v>11850</v>
      </c>
      <c r="O652" s="12">
        <v>12100</v>
      </c>
      <c r="P652" s="3" t="s">
        <v>68</v>
      </c>
      <c r="Q652" s="1" cm="1">
        <f t="array" ref="Q652">VALUE(INDEX(_xlfn.TEXTSPLIT(P652, " "), 4))</f>
        <v>2014</v>
      </c>
      <c r="R652" s="1" t="str">
        <f t="shared" si="10"/>
        <v>Nissan Cube 1.8 SL</v>
      </c>
      <c r="S652" s="1" t="str" cm="1">
        <f t="array" ref="S652">_xlfn.IFS(I652 &gt;= 40, "High", I652&gt;=20, "Medium", I652&lt;20, "Low")</f>
        <v>Medium</v>
      </c>
      <c r="T652" s="1" t="str" cm="1">
        <f t="array" ref="T652">_xlfn.IFS(O652&lt;18200, "Low", O652&lt;=50000, "Medium", O652&gt;50000, "High")</f>
        <v>Low</v>
      </c>
    </row>
    <row r="653" spans="1:20" x14ac:dyDescent="0.25">
      <c r="A653" s="2">
        <v>2013</v>
      </c>
      <c r="B653" s="1" t="s">
        <v>927</v>
      </c>
      <c r="C653" s="1" t="s">
        <v>968</v>
      </c>
      <c r="D653" s="1" t="s">
        <v>1136</v>
      </c>
      <c r="E653" s="1" t="s">
        <v>970</v>
      </c>
      <c r="F653" s="1" t="s">
        <v>20</v>
      </c>
      <c r="G653" s="1" t="s">
        <v>1137</v>
      </c>
      <c r="H653" s="1" t="s">
        <v>22</v>
      </c>
      <c r="I653" s="1">
        <v>5</v>
      </c>
      <c r="J653" s="1">
        <v>18015</v>
      </c>
      <c r="K653" s="1" t="s">
        <v>91</v>
      </c>
      <c r="L653" s="1" t="s">
        <v>34</v>
      </c>
      <c r="M653" s="1" t="s">
        <v>1138</v>
      </c>
      <c r="N653" s="1">
        <v>24400</v>
      </c>
      <c r="O653" s="12">
        <v>23700</v>
      </c>
      <c r="P653" s="3" t="s">
        <v>57</v>
      </c>
      <c r="Q653" s="1" cm="1">
        <f t="array" ref="Q653">VALUE(INDEX(_xlfn.TEXTSPLIT(P653, " "), 4))</f>
        <v>2014</v>
      </c>
      <c r="R653" s="1" t="str">
        <f t="shared" si="10"/>
        <v>Toyota Tacoma PreRunner V6</v>
      </c>
      <c r="S653" s="1" t="str" cm="1">
        <f t="array" ref="S653">_xlfn.IFS(I653 &gt;= 40, "High", I653&gt;=20, "Medium", I653&lt;20, "Low")</f>
        <v>Low</v>
      </c>
      <c r="T653" s="1" t="str" cm="1">
        <f t="array" ref="T653">_xlfn.IFS(O653&lt;18200, "Low", O653&lt;=50000, "Medium", O653&gt;50000, "High")</f>
        <v>Medium</v>
      </c>
    </row>
    <row r="654" spans="1:20" x14ac:dyDescent="0.25">
      <c r="A654" s="2">
        <v>2013</v>
      </c>
      <c r="B654" s="1" t="s">
        <v>47</v>
      </c>
      <c r="C654" s="1" t="s">
        <v>1139</v>
      </c>
      <c r="D654" s="1" t="s">
        <v>1062</v>
      </c>
      <c r="E654" s="1" t="s">
        <v>19</v>
      </c>
      <c r="F654" s="1"/>
      <c r="G654" s="1" t="s">
        <v>1140</v>
      </c>
      <c r="H654" s="1" t="s">
        <v>22</v>
      </c>
      <c r="I654" s="1">
        <v>49</v>
      </c>
      <c r="J654" s="1">
        <v>11284</v>
      </c>
      <c r="K654" s="1" t="s">
        <v>34</v>
      </c>
      <c r="L654" s="1" t="s">
        <v>24</v>
      </c>
      <c r="M654" s="1" t="s">
        <v>651</v>
      </c>
      <c r="N654" s="1">
        <v>20400</v>
      </c>
      <c r="O654" s="12">
        <v>21500</v>
      </c>
      <c r="P654" s="3" t="s">
        <v>26</v>
      </c>
      <c r="Q654" s="1" cm="1">
        <f t="array" ref="Q654">VALUE(INDEX(_xlfn.TEXTSPLIT(P654, " "), 4))</f>
        <v>2014</v>
      </c>
      <c r="R654" s="1" t="str">
        <f t="shared" si="10"/>
        <v>Nissan Murano SV</v>
      </c>
      <c r="S654" s="1" t="str" cm="1">
        <f t="array" ref="S654">_xlfn.IFS(I654 &gt;= 40, "High", I654&gt;=20, "Medium", I654&lt;20, "Low")</f>
        <v>High</v>
      </c>
      <c r="T654" s="1" t="str" cm="1">
        <f t="array" ref="T654">_xlfn.IFS(O654&lt;18200, "Low", O654&lt;=50000, "Medium", O654&gt;50000, "High")</f>
        <v>Medium</v>
      </c>
    </row>
    <row r="655" spans="1:20" x14ac:dyDescent="0.25">
      <c r="A655" s="2">
        <v>2013</v>
      </c>
      <c r="B655" s="1" t="s">
        <v>1033</v>
      </c>
      <c r="C655" s="1" t="s">
        <v>1034</v>
      </c>
      <c r="D655" s="1" t="s">
        <v>1141</v>
      </c>
      <c r="E655" s="1" t="s">
        <v>19</v>
      </c>
      <c r="F655" s="1" t="s">
        <v>20</v>
      </c>
      <c r="G655" s="1" t="s">
        <v>1142</v>
      </c>
      <c r="H655" s="1" t="s">
        <v>22</v>
      </c>
      <c r="I655" s="1">
        <v>38</v>
      </c>
      <c r="J655" s="1">
        <v>26999</v>
      </c>
      <c r="K655" s="1" t="s">
        <v>24</v>
      </c>
      <c r="L655" s="1" t="s">
        <v>82</v>
      </c>
      <c r="M655" s="1" t="s">
        <v>1143</v>
      </c>
      <c r="N655" s="1">
        <v>58000</v>
      </c>
      <c r="O655" s="12">
        <v>55000</v>
      </c>
      <c r="P655" s="3" t="s">
        <v>46</v>
      </c>
      <c r="Q655" s="1" cm="1">
        <f t="array" ref="Q655">VALUE(INDEX(_xlfn.TEXTSPLIT(P655, " "), 4))</f>
        <v>2014</v>
      </c>
      <c r="R655" s="1" t="str">
        <f t="shared" si="10"/>
        <v>Porsche Cayenne S Hybrid</v>
      </c>
      <c r="S655" s="1" t="str" cm="1">
        <f t="array" ref="S655">_xlfn.IFS(I655 &gt;= 40, "High", I655&gt;=20, "Medium", I655&lt;20, "Low")</f>
        <v>Medium</v>
      </c>
      <c r="T655" s="1" t="str" cm="1">
        <f t="array" ref="T655">_xlfn.IFS(O655&lt;18200, "Low", O655&lt;=50000, "Medium", O655&gt;50000, "High")</f>
        <v>High</v>
      </c>
    </row>
    <row r="656" spans="1:20" x14ac:dyDescent="0.25">
      <c r="A656" s="2">
        <v>2013</v>
      </c>
      <c r="B656" s="1" t="s">
        <v>921</v>
      </c>
      <c r="C656" s="1" t="s">
        <v>992</v>
      </c>
      <c r="D656" s="1" t="s">
        <v>993</v>
      </c>
      <c r="E656" s="1" t="s">
        <v>227</v>
      </c>
      <c r="F656" s="1" t="s">
        <v>20</v>
      </c>
      <c r="G656" s="1" t="s">
        <v>1144</v>
      </c>
      <c r="H656" s="1" t="s">
        <v>22</v>
      </c>
      <c r="I656" s="1">
        <v>41</v>
      </c>
      <c r="J656" s="1">
        <v>37791</v>
      </c>
      <c r="K656" s="1" t="s">
        <v>24</v>
      </c>
      <c r="L656" s="1" t="s">
        <v>34</v>
      </c>
      <c r="M656" s="1" t="s">
        <v>95</v>
      </c>
      <c r="N656" s="1">
        <v>11800</v>
      </c>
      <c r="O656" s="12">
        <v>11600</v>
      </c>
      <c r="P656" s="3" t="s">
        <v>459</v>
      </c>
      <c r="Q656" s="1" cm="1">
        <f t="array" ref="Q656">VALUE(INDEX(_xlfn.TEXTSPLIT(P656, " "), 4))</f>
        <v>2014</v>
      </c>
      <c r="R656" s="1" t="str">
        <f t="shared" si="10"/>
        <v>Volkswagen Beetle 2.5L PZEV</v>
      </c>
      <c r="S656" s="1" t="str" cm="1">
        <f t="array" ref="S656">_xlfn.IFS(I656 &gt;= 40, "High", I656&gt;=20, "Medium", I656&lt;20, "Low")</f>
        <v>High</v>
      </c>
      <c r="T656" s="1" t="str" cm="1">
        <f t="array" ref="T656">_xlfn.IFS(O656&lt;18200, "Low", O656&lt;=50000, "Medium", O656&gt;50000, "High")</f>
        <v>Low</v>
      </c>
    </row>
    <row r="657" spans="1:20" x14ac:dyDescent="0.25">
      <c r="A657" s="2">
        <v>2013</v>
      </c>
      <c r="B657" s="1" t="s">
        <v>47</v>
      </c>
      <c r="C657" s="1" t="s">
        <v>940</v>
      </c>
      <c r="D657" s="1" t="s">
        <v>1062</v>
      </c>
      <c r="E657" s="1" t="s">
        <v>32</v>
      </c>
      <c r="F657" s="1" t="s">
        <v>20</v>
      </c>
      <c r="G657" s="1" t="s">
        <v>1145</v>
      </c>
      <c r="H657" s="1" t="s">
        <v>22</v>
      </c>
      <c r="I657" s="1">
        <v>28</v>
      </c>
      <c r="J657" s="1">
        <v>45876</v>
      </c>
      <c r="K657" s="1" t="s">
        <v>91</v>
      </c>
      <c r="L657" s="1" t="s">
        <v>24</v>
      </c>
      <c r="M657" s="1" t="s">
        <v>95</v>
      </c>
      <c r="N657" s="1">
        <v>10400</v>
      </c>
      <c r="O657" s="12">
        <v>10800</v>
      </c>
      <c r="P657" s="3" t="s">
        <v>251</v>
      </c>
      <c r="Q657" s="1" cm="1">
        <f t="array" ref="Q657">VALUE(INDEX(_xlfn.TEXTSPLIT(P657, " "), 4))</f>
        <v>2014</v>
      </c>
      <c r="R657" s="1" t="str">
        <f t="shared" si="10"/>
        <v>Nissan Sentra SV</v>
      </c>
      <c r="S657" s="1" t="str" cm="1">
        <f t="array" ref="S657">_xlfn.IFS(I657 &gt;= 40, "High", I657&gt;=20, "Medium", I657&lt;20, "Low")</f>
        <v>Medium</v>
      </c>
      <c r="T657" s="1" t="str" cm="1">
        <f t="array" ref="T657">_xlfn.IFS(O657&lt;18200, "Low", O657&lt;=50000, "Medium", O657&gt;50000, "High")</f>
        <v>Low</v>
      </c>
    </row>
    <row r="658" spans="1:20" x14ac:dyDescent="0.25">
      <c r="A658" s="2">
        <v>2013</v>
      </c>
      <c r="B658" s="1" t="s">
        <v>47</v>
      </c>
      <c r="C658" s="1" t="s">
        <v>1146</v>
      </c>
      <c r="D658" s="1" t="s">
        <v>1062</v>
      </c>
      <c r="E658" s="1" t="s">
        <v>19</v>
      </c>
      <c r="F658" s="1" t="s">
        <v>20</v>
      </c>
      <c r="G658" s="1" t="s">
        <v>1147</v>
      </c>
      <c r="H658" s="1" t="s">
        <v>22</v>
      </c>
      <c r="I658" s="1">
        <v>27</v>
      </c>
      <c r="J658" s="1">
        <v>44897</v>
      </c>
      <c r="K658" s="1" t="s">
        <v>24</v>
      </c>
      <c r="L658" s="1" t="s">
        <v>24</v>
      </c>
      <c r="M658" s="1" t="s">
        <v>182</v>
      </c>
      <c r="N658" s="1">
        <v>19400</v>
      </c>
      <c r="O658" s="12">
        <v>19700</v>
      </c>
      <c r="P658" s="3" t="s">
        <v>270</v>
      </c>
      <c r="Q658" s="1" cm="1">
        <f t="array" ref="Q658">VALUE(INDEX(_xlfn.TEXTSPLIT(P658, " "), 4))</f>
        <v>2014</v>
      </c>
      <c r="R658" s="1" t="str">
        <f t="shared" si="10"/>
        <v>Nissan Pathfinder SV</v>
      </c>
      <c r="S658" s="1" t="str" cm="1">
        <f t="array" ref="S658">_xlfn.IFS(I658 &gt;= 40, "High", I658&gt;=20, "Medium", I658&lt;20, "Low")</f>
        <v>Medium</v>
      </c>
      <c r="T658" s="1" t="str" cm="1">
        <f t="array" ref="T658">_xlfn.IFS(O658&lt;18200, "Low", O658&lt;=50000, "Medium", O658&gt;50000, "High")</f>
        <v>Medium</v>
      </c>
    </row>
    <row r="659" spans="1:20" x14ac:dyDescent="0.25">
      <c r="A659" s="2">
        <v>2013</v>
      </c>
      <c r="B659" s="1" t="s">
        <v>47</v>
      </c>
      <c r="C659" s="1" t="s">
        <v>940</v>
      </c>
      <c r="D659" s="1" t="s">
        <v>1062</v>
      </c>
      <c r="E659" s="1" t="s">
        <v>32</v>
      </c>
      <c r="F659" s="1" t="s">
        <v>20</v>
      </c>
      <c r="G659" s="1" t="s">
        <v>1148</v>
      </c>
      <c r="H659" s="1" t="s">
        <v>22</v>
      </c>
      <c r="I659" s="1">
        <v>29</v>
      </c>
      <c r="J659" s="1">
        <v>39548</v>
      </c>
      <c r="K659" s="1" t="s">
        <v>23</v>
      </c>
      <c r="L659" s="1" t="s">
        <v>24</v>
      </c>
      <c r="M659" s="1" t="s">
        <v>644</v>
      </c>
      <c r="N659" s="1">
        <v>10400</v>
      </c>
      <c r="O659" s="12">
        <v>10500</v>
      </c>
      <c r="P659" s="3" t="s">
        <v>57</v>
      </c>
      <c r="Q659" s="1" cm="1">
        <f t="array" ref="Q659">VALUE(INDEX(_xlfn.TEXTSPLIT(P659, " "), 4))</f>
        <v>2014</v>
      </c>
      <c r="R659" s="1" t="str">
        <f t="shared" si="10"/>
        <v>Nissan Sentra SV</v>
      </c>
      <c r="S659" s="1" t="str" cm="1">
        <f t="array" ref="S659">_xlfn.IFS(I659 &gt;= 40, "High", I659&gt;=20, "Medium", I659&lt;20, "Low")</f>
        <v>Medium</v>
      </c>
      <c r="T659" s="1" t="str" cm="1">
        <f t="array" ref="T659">_xlfn.IFS(O659&lt;18200, "Low", O659&lt;=50000, "Medium", O659&gt;50000, "High")</f>
        <v>Low</v>
      </c>
    </row>
    <row r="660" spans="1:20" x14ac:dyDescent="0.25">
      <c r="A660" s="2">
        <v>2013</v>
      </c>
      <c r="B660" s="1" t="s">
        <v>927</v>
      </c>
      <c r="C660" s="1" t="s">
        <v>928</v>
      </c>
      <c r="D660" s="1" t="s">
        <v>663</v>
      </c>
      <c r="E660" s="1" t="s">
        <v>32</v>
      </c>
      <c r="F660" s="1" t="s">
        <v>20</v>
      </c>
      <c r="G660" s="1" t="s">
        <v>1149</v>
      </c>
      <c r="H660" s="1" t="s">
        <v>22</v>
      </c>
      <c r="I660" s="1">
        <v>38</v>
      </c>
      <c r="J660" s="1">
        <v>35400</v>
      </c>
      <c r="K660" s="1" t="s">
        <v>34</v>
      </c>
      <c r="L660" s="1" t="s">
        <v>34</v>
      </c>
      <c r="M660" s="1" t="s">
        <v>1150</v>
      </c>
      <c r="N660" s="1">
        <v>11500</v>
      </c>
      <c r="O660" s="12">
        <v>11700</v>
      </c>
      <c r="P660" s="3" t="s">
        <v>251</v>
      </c>
      <c r="Q660" s="1" cm="1">
        <f t="array" ref="Q660">VALUE(INDEX(_xlfn.TEXTSPLIT(P660, " "), 4))</f>
        <v>2014</v>
      </c>
      <c r="R660" s="1" t="str">
        <f t="shared" si="10"/>
        <v>Toyota Corolla LE</v>
      </c>
      <c r="S660" s="1" t="str" cm="1">
        <f t="array" ref="S660">_xlfn.IFS(I660 &gt;= 40, "High", I660&gt;=20, "Medium", I660&lt;20, "Low")</f>
        <v>Medium</v>
      </c>
      <c r="T660" s="1" t="str" cm="1">
        <f t="array" ref="T660">_xlfn.IFS(O660&lt;18200, "Low", O660&lt;=50000, "Medium", O660&gt;50000, "High")</f>
        <v>Low</v>
      </c>
    </row>
    <row r="661" spans="1:20" x14ac:dyDescent="0.25">
      <c r="A661" s="2">
        <v>2013</v>
      </c>
      <c r="B661" s="1" t="s">
        <v>47</v>
      </c>
      <c r="C661" s="1" t="s">
        <v>944</v>
      </c>
      <c r="D661" s="1" t="s">
        <v>1062</v>
      </c>
      <c r="E661" s="1" t="s">
        <v>19</v>
      </c>
      <c r="F661" s="1" t="s">
        <v>20</v>
      </c>
      <c r="G661" s="1" t="s">
        <v>1151</v>
      </c>
      <c r="H661" s="1" t="s">
        <v>22</v>
      </c>
      <c r="I661" s="1">
        <v>39</v>
      </c>
      <c r="J661" s="1">
        <v>32117</v>
      </c>
      <c r="K661" s="1" t="s">
        <v>73</v>
      </c>
      <c r="L661" s="1" t="s">
        <v>24</v>
      </c>
      <c r="M661" s="1" t="s">
        <v>109</v>
      </c>
      <c r="N661" s="1">
        <v>15800</v>
      </c>
      <c r="O661" s="12">
        <v>15800</v>
      </c>
      <c r="P661" s="3" t="s">
        <v>68</v>
      </c>
      <c r="Q661" s="1" cm="1">
        <f t="array" ref="Q661">VALUE(INDEX(_xlfn.TEXTSPLIT(P661, " "), 4))</f>
        <v>2014</v>
      </c>
      <c r="R661" s="1" t="str">
        <f t="shared" si="10"/>
        <v>Nissan Rogue SV</v>
      </c>
      <c r="S661" s="1" t="str" cm="1">
        <f t="array" ref="S661">_xlfn.IFS(I661 &gt;= 40, "High", I661&gt;=20, "Medium", I661&lt;20, "Low")</f>
        <v>Medium</v>
      </c>
      <c r="T661" s="1" t="str" cm="1">
        <f t="array" ref="T661">_xlfn.IFS(O661&lt;18200, "Low", O661&lt;=50000, "Medium", O661&gt;50000, "High")</f>
        <v>Low</v>
      </c>
    </row>
    <row r="662" spans="1:20" x14ac:dyDescent="0.25">
      <c r="A662" s="2">
        <v>2013</v>
      </c>
      <c r="B662" s="1" t="s">
        <v>47</v>
      </c>
      <c r="C662" s="1" t="s">
        <v>940</v>
      </c>
      <c r="D662" s="1" t="s">
        <v>1062</v>
      </c>
      <c r="E662" s="1" t="s">
        <v>32</v>
      </c>
      <c r="F662" s="1" t="s">
        <v>20</v>
      </c>
      <c r="G662" s="1" t="s">
        <v>1152</v>
      </c>
      <c r="H662" s="1" t="s">
        <v>22</v>
      </c>
      <c r="I662" s="1">
        <v>38</v>
      </c>
      <c r="J662" s="1">
        <v>38775</v>
      </c>
      <c r="K662" s="1" t="s">
        <v>73</v>
      </c>
      <c r="L662" s="1" t="s">
        <v>24</v>
      </c>
      <c r="M662" s="1" t="s">
        <v>728</v>
      </c>
      <c r="N662" s="1">
        <v>10450</v>
      </c>
      <c r="O662" s="12">
        <v>10900</v>
      </c>
      <c r="P662" s="3" t="s">
        <v>57</v>
      </c>
      <c r="Q662" s="1" cm="1">
        <f t="array" ref="Q662">VALUE(INDEX(_xlfn.TEXTSPLIT(P662, " "), 4))</f>
        <v>2014</v>
      </c>
      <c r="R662" s="1" t="str">
        <f t="shared" si="10"/>
        <v>Nissan Sentra SV</v>
      </c>
      <c r="S662" s="1" t="str" cm="1">
        <f t="array" ref="S662">_xlfn.IFS(I662 &gt;= 40, "High", I662&gt;=20, "Medium", I662&lt;20, "Low")</f>
        <v>Medium</v>
      </c>
      <c r="T662" s="1" t="str" cm="1">
        <f t="array" ref="T662">_xlfn.IFS(O662&lt;18200, "Low", O662&lt;=50000, "Medium", O662&gt;50000, "High")</f>
        <v>Low</v>
      </c>
    </row>
    <row r="663" spans="1:20" x14ac:dyDescent="0.25">
      <c r="A663" s="2">
        <v>2013</v>
      </c>
      <c r="B663" s="1" t="s">
        <v>47</v>
      </c>
      <c r="C663" s="1" t="s">
        <v>940</v>
      </c>
      <c r="D663" s="1" t="s">
        <v>936</v>
      </c>
      <c r="E663" s="1" t="s">
        <v>32</v>
      </c>
      <c r="F663" s="1"/>
      <c r="G663" s="1" t="s">
        <v>1153</v>
      </c>
      <c r="H663" s="1" t="s">
        <v>22</v>
      </c>
      <c r="I663" s="1">
        <v>32</v>
      </c>
      <c r="J663" s="1">
        <v>11357</v>
      </c>
      <c r="K663" s="1" t="s">
        <v>34</v>
      </c>
      <c r="L663" s="1" t="s">
        <v>24</v>
      </c>
      <c r="M663" s="1" t="s">
        <v>984</v>
      </c>
      <c r="N663" s="1">
        <v>12600</v>
      </c>
      <c r="O663" s="12">
        <v>11500</v>
      </c>
      <c r="P663" s="3" t="s">
        <v>251</v>
      </c>
      <c r="Q663" s="1" cm="1">
        <f t="array" ref="Q663">VALUE(INDEX(_xlfn.TEXTSPLIT(P663, " "), 4))</f>
        <v>2014</v>
      </c>
      <c r="R663" s="1" t="str">
        <f t="shared" si="10"/>
        <v>Nissan Sentra S</v>
      </c>
      <c r="S663" s="1" t="str" cm="1">
        <f t="array" ref="S663">_xlfn.IFS(I663 &gt;= 40, "High", I663&gt;=20, "Medium", I663&lt;20, "Low")</f>
        <v>Medium</v>
      </c>
      <c r="T663" s="1" t="str" cm="1">
        <f t="array" ref="T663">_xlfn.IFS(O663&lt;18200, "Low", O663&lt;=50000, "Medium", O663&gt;50000, "High")</f>
        <v>Low</v>
      </c>
    </row>
    <row r="664" spans="1:20" x14ac:dyDescent="0.25">
      <c r="A664" s="2">
        <v>2013</v>
      </c>
      <c r="B664" s="1" t="s">
        <v>927</v>
      </c>
      <c r="C664" s="1" t="s">
        <v>938</v>
      </c>
      <c r="D664" s="1" t="s">
        <v>773</v>
      </c>
      <c r="E664" s="1" t="s">
        <v>227</v>
      </c>
      <c r="F664" s="1" t="s">
        <v>20</v>
      </c>
      <c r="G664" s="1" t="s">
        <v>1154</v>
      </c>
      <c r="H664" s="1" t="s">
        <v>22</v>
      </c>
      <c r="I664" s="1">
        <v>38</v>
      </c>
      <c r="J664" s="1">
        <v>36882</v>
      </c>
      <c r="K664" s="1" t="s">
        <v>34</v>
      </c>
      <c r="L664" s="1" t="s">
        <v>24</v>
      </c>
      <c r="M664" s="1" t="s">
        <v>998</v>
      </c>
      <c r="N664" s="1">
        <v>9575</v>
      </c>
      <c r="O664" s="12">
        <v>9900</v>
      </c>
      <c r="P664" s="3" t="s">
        <v>459</v>
      </c>
      <c r="Q664" s="1" cm="1">
        <f t="array" ref="Q664">VALUE(INDEX(_xlfn.TEXTSPLIT(P664, " "), 4))</f>
        <v>2014</v>
      </c>
      <c r="R664" s="1" t="str">
        <f t="shared" si="10"/>
        <v>Toyota Yaris L</v>
      </c>
      <c r="S664" s="1" t="str" cm="1">
        <f t="array" ref="S664">_xlfn.IFS(I664 &gt;= 40, "High", I664&gt;=20, "Medium", I664&lt;20, "Low")</f>
        <v>Medium</v>
      </c>
      <c r="T664" s="1" t="str" cm="1">
        <f t="array" ref="T664">_xlfn.IFS(O664&lt;18200, "Low", O664&lt;=50000, "Medium", O664&gt;50000, "High")</f>
        <v>Low</v>
      </c>
    </row>
    <row r="665" spans="1:20" x14ac:dyDescent="0.25">
      <c r="A665" s="2">
        <v>2013</v>
      </c>
      <c r="B665" s="1" t="s">
        <v>47</v>
      </c>
      <c r="C665" s="1" t="s">
        <v>944</v>
      </c>
      <c r="D665" s="1" t="s">
        <v>1062</v>
      </c>
      <c r="E665" s="1" t="s">
        <v>19</v>
      </c>
      <c r="F665" s="1" t="s">
        <v>20</v>
      </c>
      <c r="G665" s="1" t="s">
        <v>1155</v>
      </c>
      <c r="H665" s="1" t="s">
        <v>22</v>
      </c>
      <c r="I665" s="1">
        <v>5</v>
      </c>
      <c r="J665" s="1">
        <v>7794</v>
      </c>
      <c r="K665" s="1" t="s">
        <v>23</v>
      </c>
      <c r="L665" s="1" t="s">
        <v>24</v>
      </c>
      <c r="M665" s="1" t="s">
        <v>984</v>
      </c>
      <c r="N665" s="1">
        <v>16450</v>
      </c>
      <c r="O665" s="12">
        <v>18250</v>
      </c>
      <c r="P665" s="3" t="s">
        <v>26</v>
      </c>
      <c r="Q665" s="1" cm="1">
        <f t="array" ref="Q665">VALUE(INDEX(_xlfn.TEXTSPLIT(P665, " "), 4))</f>
        <v>2014</v>
      </c>
      <c r="R665" s="1" t="str">
        <f t="shared" si="10"/>
        <v>Nissan Rogue SV</v>
      </c>
      <c r="S665" s="1" t="str" cm="1">
        <f t="array" ref="S665">_xlfn.IFS(I665 &gt;= 40, "High", I665&gt;=20, "Medium", I665&lt;20, "Low")</f>
        <v>Low</v>
      </c>
      <c r="T665" s="1" t="str" cm="1">
        <f t="array" ref="T665">_xlfn.IFS(O665&lt;18200, "Low", O665&lt;=50000, "Medium", O665&gt;50000, "High")</f>
        <v>Medium</v>
      </c>
    </row>
    <row r="666" spans="1:20" x14ac:dyDescent="0.25">
      <c r="A666" s="2">
        <v>2013</v>
      </c>
      <c r="B666" s="1" t="s">
        <v>47</v>
      </c>
      <c r="C666" s="1" t="s">
        <v>940</v>
      </c>
      <c r="D666" s="1" t="s">
        <v>1062</v>
      </c>
      <c r="E666" s="1" t="s">
        <v>32</v>
      </c>
      <c r="F666" s="1" t="s">
        <v>20</v>
      </c>
      <c r="G666" s="1" t="s">
        <v>1156</v>
      </c>
      <c r="H666" s="1" t="s">
        <v>22</v>
      </c>
      <c r="I666" s="1">
        <v>42</v>
      </c>
      <c r="J666" s="1">
        <v>22420</v>
      </c>
      <c r="K666" s="1" t="s">
        <v>34</v>
      </c>
      <c r="L666" s="1" t="s">
        <v>24</v>
      </c>
      <c r="M666" s="1" t="s">
        <v>984</v>
      </c>
      <c r="N666" s="1">
        <v>12200</v>
      </c>
      <c r="O666" s="12">
        <v>12000</v>
      </c>
      <c r="P666" s="3" t="s">
        <v>26</v>
      </c>
      <c r="Q666" s="1" cm="1">
        <f t="array" ref="Q666">VALUE(INDEX(_xlfn.TEXTSPLIT(P666, " "), 4))</f>
        <v>2014</v>
      </c>
      <c r="R666" s="1" t="str">
        <f t="shared" si="10"/>
        <v>Nissan Sentra SV</v>
      </c>
      <c r="S666" s="1" t="str" cm="1">
        <f t="array" ref="S666">_xlfn.IFS(I666 &gt;= 40, "High", I666&gt;=20, "Medium", I666&lt;20, "Low")</f>
        <v>High</v>
      </c>
      <c r="T666" s="1" t="str" cm="1">
        <f t="array" ref="T666">_xlfn.IFS(O666&lt;18200, "Low", O666&lt;=50000, "Medium", O666&gt;50000, "High")</f>
        <v>Low</v>
      </c>
    </row>
    <row r="667" spans="1:20" x14ac:dyDescent="0.25">
      <c r="A667" s="2">
        <v>2013</v>
      </c>
      <c r="B667" s="1" t="s">
        <v>1033</v>
      </c>
      <c r="C667" s="1" t="s">
        <v>1157</v>
      </c>
      <c r="D667" s="1" t="s">
        <v>54</v>
      </c>
      <c r="E667" s="1" t="s">
        <v>32</v>
      </c>
      <c r="F667" s="1" t="s">
        <v>20</v>
      </c>
      <c r="G667" s="1" t="s">
        <v>1158</v>
      </c>
      <c r="H667" s="1" t="s">
        <v>22</v>
      </c>
      <c r="I667" s="1">
        <v>39</v>
      </c>
      <c r="J667" s="1">
        <v>12379</v>
      </c>
      <c r="K667" s="1" t="s">
        <v>24</v>
      </c>
      <c r="L667" s="1" t="s">
        <v>24</v>
      </c>
      <c r="M667" s="1" t="s">
        <v>56</v>
      </c>
      <c r="N667" s="1">
        <v>61000</v>
      </c>
      <c r="O667" s="12">
        <v>59750</v>
      </c>
      <c r="P667" s="3" t="s">
        <v>46</v>
      </c>
      <c r="Q667" s="1" cm="1">
        <f t="array" ref="Q667">VALUE(INDEX(_xlfn.TEXTSPLIT(P667, " "), 4))</f>
        <v>2014</v>
      </c>
      <c r="R667" s="1" t="str">
        <f t="shared" si="10"/>
        <v>Porsche Panamera Base</v>
      </c>
      <c r="S667" s="1" t="str" cm="1">
        <f t="array" ref="S667">_xlfn.IFS(I667 &gt;= 40, "High", I667&gt;=20, "Medium", I667&lt;20, "Low")</f>
        <v>Medium</v>
      </c>
      <c r="T667" s="1" t="str" cm="1">
        <f t="array" ref="T667">_xlfn.IFS(O667&lt;18200, "Low", O667&lt;=50000, "Medium", O667&gt;50000, "High")</f>
        <v>High</v>
      </c>
    </row>
    <row r="668" spans="1:20" x14ac:dyDescent="0.25">
      <c r="A668" s="2">
        <v>2013</v>
      </c>
      <c r="B668" s="1" t="s">
        <v>921</v>
      </c>
      <c r="C668" s="1" t="s">
        <v>992</v>
      </c>
      <c r="D668" s="1" t="s">
        <v>993</v>
      </c>
      <c r="E668" s="1" t="s">
        <v>227</v>
      </c>
      <c r="F668" s="1" t="s">
        <v>20</v>
      </c>
      <c r="G668" s="1" t="s">
        <v>1159</v>
      </c>
      <c r="H668" s="1" t="s">
        <v>22</v>
      </c>
      <c r="I668" s="1">
        <v>44</v>
      </c>
      <c r="J668" s="1">
        <v>38019</v>
      </c>
      <c r="K668" s="1" t="s">
        <v>34</v>
      </c>
      <c r="L668" s="1" t="s">
        <v>24</v>
      </c>
      <c r="M668" s="1" t="s">
        <v>95</v>
      </c>
      <c r="N668" s="1">
        <v>11500</v>
      </c>
      <c r="O668" s="12">
        <v>27100</v>
      </c>
      <c r="P668" s="3" t="s">
        <v>783</v>
      </c>
      <c r="Q668" s="1" cm="1">
        <f t="array" ref="Q668">VALUE(INDEX(_xlfn.TEXTSPLIT(P668, " "), 4))</f>
        <v>2015</v>
      </c>
      <c r="R668" s="1" t="str">
        <f t="shared" si="10"/>
        <v>Volkswagen Beetle 2.5L PZEV</v>
      </c>
      <c r="S668" s="1" t="str" cm="1">
        <f t="array" ref="S668">_xlfn.IFS(I668 &gt;= 40, "High", I668&gt;=20, "Medium", I668&lt;20, "Low")</f>
        <v>High</v>
      </c>
      <c r="T668" s="1" t="str" cm="1">
        <f t="array" ref="T668">_xlfn.IFS(O668&lt;18200, "Low", O668&lt;=50000, "Medium", O668&gt;50000, "High")</f>
        <v>Medium</v>
      </c>
    </row>
    <row r="669" spans="1:20" x14ac:dyDescent="0.25">
      <c r="A669" s="2">
        <v>2013</v>
      </c>
      <c r="B669" s="1" t="s">
        <v>47</v>
      </c>
      <c r="C669" s="1" t="s">
        <v>48</v>
      </c>
      <c r="D669" s="1">
        <v>2.5</v>
      </c>
      <c r="E669" s="1" t="s">
        <v>32</v>
      </c>
      <c r="F669" s="1" t="s">
        <v>20</v>
      </c>
      <c r="G669" s="1" t="s">
        <v>1160</v>
      </c>
      <c r="H669" s="1" t="s">
        <v>22</v>
      </c>
      <c r="I669" s="1">
        <v>37</v>
      </c>
      <c r="J669" s="1">
        <v>26221</v>
      </c>
      <c r="K669" s="1" t="s">
        <v>101</v>
      </c>
      <c r="L669" s="1" t="s">
        <v>24</v>
      </c>
      <c r="M669" s="1" t="s">
        <v>217</v>
      </c>
      <c r="N669" s="1">
        <v>14200</v>
      </c>
      <c r="O669" s="12">
        <v>15500</v>
      </c>
      <c r="P669" s="3" t="s">
        <v>26</v>
      </c>
      <c r="Q669" s="1" cm="1">
        <f t="array" ref="Q669">VALUE(INDEX(_xlfn.TEXTSPLIT(P669, " "), 4))</f>
        <v>2014</v>
      </c>
      <c r="R669" s="1" t="str">
        <f t="shared" si="10"/>
        <v>Nissan Altima 2.5</v>
      </c>
      <c r="S669" s="1" t="str" cm="1">
        <f t="array" ref="S669">_xlfn.IFS(I669 &gt;= 40, "High", I669&gt;=20, "Medium", I669&lt;20, "Low")</f>
        <v>Medium</v>
      </c>
      <c r="T669" s="1" t="str" cm="1">
        <f t="array" ref="T669">_xlfn.IFS(O669&lt;18200, "Low", O669&lt;=50000, "Medium", O669&gt;50000, "High")</f>
        <v>Low</v>
      </c>
    </row>
    <row r="670" spans="1:20" x14ac:dyDescent="0.25">
      <c r="A670" s="2">
        <v>2013</v>
      </c>
      <c r="B670" s="1" t="s">
        <v>921</v>
      </c>
      <c r="C670" s="1" t="s">
        <v>922</v>
      </c>
      <c r="D670" s="1" t="s">
        <v>923</v>
      </c>
      <c r="E670" s="1" t="s">
        <v>32</v>
      </c>
      <c r="F670" s="1" t="s">
        <v>20</v>
      </c>
      <c r="G670" s="1" t="s">
        <v>1161</v>
      </c>
      <c r="H670" s="1" t="s">
        <v>22</v>
      </c>
      <c r="I670" s="1">
        <v>34</v>
      </c>
      <c r="J670" s="1">
        <v>37724</v>
      </c>
      <c r="K670" s="1" t="s">
        <v>91</v>
      </c>
      <c r="L670" s="1" t="s">
        <v>24</v>
      </c>
      <c r="M670" s="1" t="s">
        <v>182</v>
      </c>
      <c r="N670" s="1">
        <v>13000</v>
      </c>
      <c r="O670" s="12">
        <v>13400</v>
      </c>
      <c r="P670" s="3" t="s">
        <v>26</v>
      </c>
      <c r="Q670" s="1" cm="1">
        <f t="array" ref="Q670">VALUE(INDEX(_xlfn.TEXTSPLIT(P670, " "), 4))</f>
        <v>2014</v>
      </c>
      <c r="R670" s="1" t="str">
        <f t="shared" si="10"/>
        <v>Volkswagen Passat SE PZEV</v>
      </c>
      <c r="S670" s="1" t="str" cm="1">
        <f t="array" ref="S670">_xlfn.IFS(I670 &gt;= 40, "High", I670&gt;=20, "Medium", I670&lt;20, "Low")</f>
        <v>Medium</v>
      </c>
      <c r="T670" s="1" t="str" cm="1">
        <f t="array" ref="T670">_xlfn.IFS(O670&lt;18200, "Low", O670&lt;=50000, "Medium", O670&gt;50000, "High")</f>
        <v>Low</v>
      </c>
    </row>
    <row r="671" spans="1:20" x14ac:dyDescent="0.25">
      <c r="A671" s="2">
        <v>2013</v>
      </c>
      <c r="B671" s="1" t="s">
        <v>47</v>
      </c>
      <c r="C671" s="1" t="s">
        <v>48</v>
      </c>
      <c r="D671" s="1">
        <v>2.5</v>
      </c>
      <c r="E671" s="1" t="s">
        <v>32</v>
      </c>
      <c r="F671" s="1"/>
      <c r="G671" s="1" t="s">
        <v>1162</v>
      </c>
      <c r="H671" s="1" t="s">
        <v>22</v>
      </c>
      <c r="I671" s="1">
        <v>44</v>
      </c>
      <c r="J671" s="1">
        <v>18265</v>
      </c>
      <c r="K671" s="1" t="s">
        <v>24</v>
      </c>
      <c r="L671" s="1" t="s">
        <v>24</v>
      </c>
      <c r="M671" s="1" t="s">
        <v>651</v>
      </c>
      <c r="N671" s="1">
        <v>14800</v>
      </c>
      <c r="O671" s="12">
        <v>12750</v>
      </c>
      <c r="P671" s="3" t="s">
        <v>26</v>
      </c>
      <c r="Q671" s="1" cm="1">
        <f t="array" ref="Q671">VALUE(INDEX(_xlfn.TEXTSPLIT(P671, " "), 4))</f>
        <v>2014</v>
      </c>
      <c r="R671" s="1" t="str">
        <f t="shared" si="10"/>
        <v>Nissan Altima 2.5</v>
      </c>
      <c r="S671" s="1" t="str" cm="1">
        <f t="array" ref="S671">_xlfn.IFS(I671 &gt;= 40, "High", I671&gt;=20, "Medium", I671&lt;20, "Low")</f>
        <v>High</v>
      </c>
      <c r="T671" s="1" t="str" cm="1">
        <f t="array" ref="T671">_xlfn.IFS(O671&lt;18200, "Low", O671&lt;=50000, "Medium", O671&gt;50000, "High")</f>
        <v>Low</v>
      </c>
    </row>
    <row r="672" spans="1:20" x14ac:dyDescent="0.25">
      <c r="A672" s="2">
        <v>2013</v>
      </c>
      <c r="B672" s="1" t="s">
        <v>927</v>
      </c>
      <c r="C672" s="1" t="s">
        <v>928</v>
      </c>
      <c r="D672" s="1" t="s">
        <v>1163</v>
      </c>
      <c r="E672" s="1" t="s">
        <v>32</v>
      </c>
      <c r="F672" s="1" t="s">
        <v>20</v>
      </c>
      <c r="G672" s="1" t="s">
        <v>1164</v>
      </c>
      <c r="H672" s="1" t="s">
        <v>22</v>
      </c>
      <c r="I672" s="1">
        <v>35</v>
      </c>
      <c r="J672" s="1">
        <v>19377</v>
      </c>
      <c r="K672" s="1" t="s">
        <v>34</v>
      </c>
      <c r="L672" s="1" t="s">
        <v>34</v>
      </c>
      <c r="M672" s="1" t="s">
        <v>1096</v>
      </c>
      <c r="N672" s="1">
        <v>11850</v>
      </c>
      <c r="O672" s="12">
        <v>12400</v>
      </c>
      <c r="P672" s="3" t="s">
        <v>1108</v>
      </c>
      <c r="Q672" s="1" cm="1">
        <f t="array" ref="Q672">VALUE(INDEX(_xlfn.TEXTSPLIT(P672, " "), 4))</f>
        <v>2014</v>
      </c>
      <c r="R672" s="1" t="str">
        <f t="shared" si="10"/>
        <v>Toyota Corolla S Special Edition</v>
      </c>
      <c r="S672" s="1" t="str" cm="1">
        <f t="array" ref="S672">_xlfn.IFS(I672 &gt;= 40, "High", I672&gt;=20, "Medium", I672&lt;20, "Low")</f>
        <v>Medium</v>
      </c>
      <c r="T672" s="1" t="str" cm="1">
        <f t="array" ref="T672">_xlfn.IFS(O672&lt;18200, "Low", O672&lt;=50000, "Medium", O672&gt;50000, "High")</f>
        <v>Low</v>
      </c>
    </row>
    <row r="673" spans="1:20" x14ac:dyDescent="0.25">
      <c r="A673" s="2">
        <v>2013</v>
      </c>
      <c r="B673" s="1" t="s">
        <v>47</v>
      </c>
      <c r="C673" s="1" t="s">
        <v>1061</v>
      </c>
      <c r="D673" s="1" t="s">
        <v>936</v>
      </c>
      <c r="E673" s="1" t="s">
        <v>1165</v>
      </c>
      <c r="F673" s="1" t="s">
        <v>20</v>
      </c>
      <c r="G673" s="1" t="s">
        <v>1166</v>
      </c>
      <c r="H673" s="1" t="s">
        <v>22</v>
      </c>
      <c r="I673" s="1">
        <v>19</v>
      </c>
      <c r="J673" s="1">
        <v>20893</v>
      </c>
      <c r="K673" s="1" t="s">
        <v>23</v>
      </c>
      <c r="L673" s="1" t="s">
        <v>34</v>
      </c>
      <c r="M673" s="1" t="s">
        <v>946</v>
      </c>
      <c r="N673" s="1">
        <v>13750</v>
      </c>
      <c r="O673" s="12">
        <v>9000</v>
      </c>
      <c r="P673" s="3" t="s">
        <v>915</v>
      </c>
      <c r="Q673" s="1" cm="1">
        <f t="array" ref="Q673">VALUE(INDEX(_xlfn.TEXTSPLIT(P673, " "), 4))</f>
        <v>2015</v>
      </c>
      <c r="R673" s="1" t="str">
        <f t="shared" si="10"/>
        <v>Nissan Frontier S</v>
      </c>
      <c r="S673" s="1" t="str" cm="1">
        <f t="array" ref="S673">_xlfn.IFS(I673 &gt;= 40, "High", I673&gt;=20, "Medium", I673&lt;20, "Low")</f>
        <v>Low</v>
      </c>
      <c r="T673" s="1" t="str" cm="1">
        <f t="array" ref="T673">_xlfn.IFS(O673&lt;18200, "Low", O673&lt;=50000, "Medium", O673&gt;50000, "High")</f>
        <v>Low</v>
      </c>
    </row>
    <row r="674" spans="1:20" x14ac:dyDescent="0.25">
      <c r="A674" s="2">
        <v>2013</v>
      </c>
      <c r="B674" s="1" t="s">
        <v>978</v>
      </c>
      <c r="C674" s="1" t="s">
        <v>1167</v>
      </c>
      <c r="D674" s="1" t="s">
        <v>1168</v>
      </c>
      <c r="E674" s="1" t="s">
        <v>19</v>
      </c>
      <c r="F674" s="1" t="s">
        <v>20</v>
      </c>
      <c r="G674" s="1" t="s">
        <v>1169</v>
      </c>
      <c r="H674" s="1" t="s">
        <v>22</v>
      </c>
      <c r="I674" s="1">
        <v>35</v>
      </c>
      <c r="J674" s="1">
        <v>60564</v>
      </c>
      <c r="K674" s="1" t="s">
        <v>101</v>
      </c>
      <c r="L674" s="1" t="s">
        <v>34</v>
      </c>
      <c r="M674" s="1" t="s">
        <v>742</v>
      </c>
      <c r="N674" s="1">
        <v>15200</v>
      </c>
      <c r="O674" s="12">
        <v>14000</v>
      </c>
      <c r="P674" s="3" t="s">
        <v>57</v>
      </c>
      <c r="Q674" s="1" cm="1">
        <f t="array" ref="Q674">VALUE(INDEX(_xlfn.TEXTSPLIT(P674, " "), 4))</f>
        <v>2014</v>
      </c>
      <c r="R674" s="1" t="str">
        <f t="shared" si="10"/>
        <v>Subaru Forester 2.5X PZEV</v>
      </c>
      <c r="S674" s="1" t="str" cm="1">
        <f t="array" ref="S674">_xlfn.IFS(I674 &gt;= 40, "High", I674&gt;=20, "Medium", I674&lt;20, "Low")</f>
        <v>Medium</v>
      </c>
      <c r="T674" s="1" t="str" cm="1">
        <f t="array" ref="T674">_xlfn.IFS(O674&lt;18200, "Low", O674&lt;=50000, "Medium", O674&gt;50000, "High")</f>
        <v>Low</v>
      </c>
    </row>
    <row r="675" spans="1:20" x14ac:dyDescent="0.25">
      <c r="A675" s="2">
        <v>2013</v>
      </c>
      <c r="B675" s="1" t="s">
        <v>921</v>
      </c>
      <c r="C675" s="1" t="s">
        <v>992</v>
      </c>
      <c r="D675" s="1" t="s">
        <v>993</v>
      </c>
      <c r="E675" s="1" t="s">
        <v>227</v>
      </c>
      <c r="F675" s="1" t="s">
        <v>20</v>
      </c>
      <c r="G675" s="1" t="s">
        <v>1170</v>
      </c>
      <c r="H675" s="1" t="s">
        <v>22</v>
      </c>
      <c r="I675" s="1">
        <v>37</v>
      </c>
      <c r="J675" s="1">
        <v>40250</v>
      </c>
      <c r="K675" s="1" t="s">
        <v>34</v>
      </c>
      <c r="L675" s="1" t="s">
        <v>24</v>
      </c>
      <c r="M675" s="1" t="s">
        <v>182</v>
      </c>
      <c r="N675" s="1">
        <v>11300</v>
      </c>
      <c r="O675" s="12">
        <v>11600</v>
      </c>
      <c r="P675" s="3" t="s">
        <v>26</v>
      </c>
      <c r="Q675" s="1" cm="1">
        <f t="array" ref="Q675">VALUE(INDEX(_xlfn.TEXTSPLIT(P675, " "), 4))</f>
        <v>2014</v>
      </c>
      <c r="R675" s="1" t="str">
        <f t="shared" si="10"/>
        <v>Volkswagen Beetle 2.5L PZEV</v>
      </c>
      <c r="S675" s="1" t="str" cm="1">
        <f t="array" ref="S675">_xlfn.IFS(I675 &gt;= 40, "High", I675&gt;=20, "Medium", I675&lt;20, "Low")</f>
        <v>Medium</v>
      </c>
      <c r="T675" s="1" t="str" cm="1">
        <f t="array" ref="T675">_xlfn.IFS(O675&lt;18200, "Low", O675&lt;=50000, "Medium", O675&gt;50000, "High")</f>
        <v>Low</v>
      </c>
    </row>
    <row r="676" spans="1:20" x14ac:dyDescent="0.25">
      <c r="A676" s="2">
        <v>2013</v>
      </c>
      <c r="B676" s="1" t="s">
        <v>47</v>
      </c>
      <c r="C676" s="1" t="s">
        <v>940</v>
      </c>
      <c r="D676" s="1" t="s">
        <v>936</v>
      </c>
      <c r="E676" s="1" t="s">
        <v>32</v>
      </c>
      <c r="F676" s="1" t="s">
        <v>20</v>
      </c>
      <c r="G676" s="1" t="s">
        <v>1171</v>
      </c>
      <c r="H676" s="1" t="s">
        <v>22</v>
      </c>
      <c r="I676" s="1">
        <v>27</v>
      </c>
      <c r="J676" s="1">
        <v>29258</v>
      </c>
      <c r="K676" s="1" t="s">
        <v>23</v>
      </c>
      <c r="L676" s="1" t="s">
        <v>28</v>
      </c>
      <c r="M676" s="1" t="s">
        <v>946</v>
      </c>
      <c r="N676" s="1">
        <v>11650</v>
      </c>
      <c r="O676" s="12">
        <v>10500</v>
      </c>
      <c r="P676" s="3" t="s">
        <v>834</v>
      </c>
      <c r="Q676" s="1" cm="1">
        <f t="array" ref="Q676">VALUE(INDEX(_xlfn.TEXTSPLIT(P676, " "), 4))</f>
        <v>2014</v>
      </c>
      <c r="R676" s="1" t="str">
        <f t="shared" si="10"/>
        <v>Nissan Sentra S</v>
      </c>
      <c r="S676" s="1" t="str" cm="1">
        <f t="array" ref="S676">_xlfn.IFS(I676 &gt;= 40, "High", I676&gt;=20, "Medium", I676&lt;20, "Low")</f>
        <v>Medium</v>
      </c>
      <c r="T676" s="1" t="str" cm="1">
        <f t="array" ref="T676">_xlfn.IFS(O676&lt;18200, "Low", O676&lt;=50000, "Medium", O676&gt;50000, "High")</f>
        <v>Low</v>
      </c>
    </row>
    <row r="677" spans="1:20" x14ac:dyDescent="0.25">
      <c r="A677" s="2">
        <v>2013</v>
      </c>
      <c r="B677" s="1" t="s">
        <v>927</v>
      </c>
      <c r="C677" s="1" t="s">
        <v>1128</v>
      </c>
      <c r="D677" s="1" t="s">
        <v>663</v>
      </c>
      <c r="E677" s="1" t="s">
        <v>130</v>
      </c>
      <c r="F677" s="1" t="s">
        <v>20</v>
      </c>
      <c r="G677" s="1" t="s">
        <v>1172</v>
      </c>
      <c r="H677" s="1" t="s">
        <v>22</v>
      </c>
      <c r="I677" s="1">
        <v>36</v>
      </c>
      <c r="J677" s="1">
        <v>38288</v>
      </c>
      <c r="K677" s="1" t="s">
        <v>23</v>
      </c>
      <c r="L677" s="1" t="s">
        <v>28</v>
      </c>
      <c r="M677" s="1" t="s">
        <v>95</v>
      </c>
      <c r="N677" s="1">
        <v>16850</v>
      </c>
      <c r="O677" s="12">
        <v>17100</v>
      </c>
      <c r="P677" s="3" t="s">
        <v>57</v>
      </c>
      <c r="Q677" s="1" cm="1">
        <f t="array" ref="Q677">VALUE(INDEX(_xlfn.TEXTSPLIT(P677, " "), 4))</f>
        <v>2014</v>
      </c>
      <c r="R677" s="1" t="str">
        <f t="shared" si="10"/>
        <v>Toyota Venza LE</v>
      </c>
      <c r="S677" s="1" t="str" cm="1">
        <f t="array" ref="S677">_xlfn.IFS(I677 &gt;= 40, "High", I677&gt;=20, "Medium", I677&lt;20, "Low")</f>
        <v>Medium</v>
      </c>
      <c r="T677" s="1" t="str" cm="1">
        <f t="array" ref="T677">_xlfn.IFS(O677&lt;18200, "Low", O677&lt;=50000, "Medium", O677&gt;50000, "High")</f>
        <v>Low</v>
      </c>
    </row>
    <row r="678" spans="1:20" x14ac:dyDescent="0.25">
      <c r="A678" s="2">
        <v>2013</v>
      </c>
      <c r="B678" s="1" t="s">
        <v>47</v>
      </c>
      <c r="C678" s="1" t="s">
        <v>940</v>
      </c>
      <c r="D678" s="1" t="s">
        <v>936</v>
      </c>
      <c r="E678" s="1" t="s">
        <v>32</v>
      </c>
      <c r="F678" s="1"/>
      <c r="G678" s="1" t="s">
        <v>1173</v>
      </c>
      <c r="H678" s="1" t="s">
        <v>22</v>
      </c>
      <c r="I678" s="1">
        <v>33</v>
      </c>
      <c r="J678" s="1">
        <v>54019</v>
      </c>
      <c r="K678" s="1" t="s">
        <v>216</v>
      </c>
      <c r="L678" s="1" t="s">
        <v>24</v>
      </c>
      <c r="M678" s="1" t="s">
        <v>984</v>
      </c>
      <c r="N678" s="1">
        <v>10500</v>
      </c>
      <c r="O678" s="12">
        <v>9500</v>
      </c>
      <c r="P678" s="3" t="s">
        <v>26</v>
      </c>
      <c r="Q678" s="1" cm="1">
        <f t="array" ref="Q678">VALUE(INDEX(_xlfn.TEXTSPLIT(P678, " "), 4))</f>
        <v>2014</v>
      </c>
      <c r="R678" s="1" t="str">
        <f t="shared" si="10"/>
        <v>Nissan Sentra S</v>
      </c>
      <c r="S678" s="1" t="str" cm="1">
        <f t="array" ref="S678">_xlfn.IFS(I678 &gt;= 40, "High", I678&gt;=20, "Medium", I678&lt;20, "Low")</f>
        <v>Medium</v>
      </c>
      <c r="T678" s="1" t="str" cm="1">
        <f t="array" ref="T678">_xlfn.IFS(O678&lt;18200, "Low", O678&lt;=50000, "Medium", O678&gt;50000, "High")</f>
        <v>Low</v>
      </c>
    </row>
    <row r="679" spans="1:20" x14ac:dyDescent="0.25">
      <c r="A679" s="2">
        <v>2013</v>
      </c>
      <c r="B679" s="1" t="s">
        <v>921</v>
      </c>
      <c r="C679" s="1" t="s">
        <v>956</v>
      </c>
      <c r="D679" s="1" t="s">
        <v>957</v>
      </c>
      <c r="E679" s="1" t="s">
        <v>32</v>
      </c>
      <c r="F679" s="1" t="s">
        <v>20</v>
      </c>
      <c r="G679" s="1" t="s">
        <v>1174</v>
      </c>
      <c r="H679" s="1" t="s">
        <v>22</v>
      </c>
      <c r="I679" s="1">
        <v>1</v>
      </c>
      <c r="J679" s="1">
        <v>24369</v>
      </c>
      <c r="K679" s="1" t="s">
        <v>24</v>
      </c>
      <c r="L679" s="1" t="s">
        <v>24</v>
      </c>
      <c r="M679" s="1" t="s">
        <v>925</v>
      </c>
      <c r="N679" s="1">
        <v>16350</v>
      </c>
      <c r="O679" s="12">
        <v>13100</v>
      </c>
      <c r="P679" s="3" t="s">
        <v>84</v>
      </c>
      <c r="Q679" s="1" cm="1">
        <f t="array" ref="Q679">VALUE(INDEX(_xlfn.TEXTSPLIT(P679, " "), 4))</f>
        <v>2014</v>
      </c>
      <c r="R679" s="1" t="str">
        <f t="shared" si="10"/>
        <v>Volkswagen CC R-Line PZEV</v>
      </c>
      <c r="S679" s="1" t="str" cm="1">
        <f t="array" ref="S679">_xlfn.IFS(I679 &gt;= 40, "High", I679&gt;=20, "Medium", I679&lt;20, "Low")</f>
        <v>Low</v>
      </c>
      <c r="T679" s="1" t="str" cm="1">
        <f t="array" ref="T679">_xlfn.IFS(O679&lt;18200, "Low", O679&lt;=50000, "Medium", O679&gt;50000, "High")</f>
        <v>Low</v>
      </c>
    </row>
    <row r="680" spans="1:20" x14ac:dyDescent="0.25">
      <c r="A680" s="2">
        <v>2013</v>
      </c>
      <c r="B680" s="1" t="s">
        <v>927</v>
      </c>
      <c r="C680" s="1" t="s">
        <v>1053</v>
      </c>
      <c r="D680" s="1" t="s">
        <v>1054</v>
      </c>
      <c r="E680" s="1" t="s">
        <v>227</v>
      </c>
      <c r="F680" s="1" t="s">
        <v>20</v>
      </c>
      <c r="G680" s="1" t="s">
        <v>1175</v>
      </c>
      <c r="H680" s="1" t="s">
        <v>22</v>
      </c>
      <c r="I680" s="1">
        <v>43</v>
      </c>
      <c r="J680" s="1">
        <v>68829</v>
      </c>
      <c r="K680" s="1" t="s">
        <v>23</v>
      </c>
      <c r="L680" s="1" t="s">
        <v>24</v>
      </c>
      <c r="M680" s="1" t="s">
        <v>1176</v>
      </c>
      <c r="N680" s="1">
        <v>13550</v>
      </c>
      <c r="O680" s="12">
        <v>14600</v>
      </c>
      <c r="P680" s="3" t="s">
        <v>68</v>
      </c>
      <c r="Q680" s="1" cm="1">
        <f t="array" ref="Q680">VALUE(INDEX(_xlfn.TEXTSPLIT(P680, " "), 4))</f>
        <v>2014</v>
      </c>
      <c r="R680" s="1" t="str">
        <f t="shared" si="10"/>
        <v>Toyota Prius Two</v>
      </c>
      <c r="S680" s="1" t="str" cm="1">
        <f t="array" ref="S680">_xlfn.IFS(I680 &gt;= 40, "High", I680&gt;=20, "Medium", I680&lt;20, "Low")</f>
        <v>High</v>
      </c>
      <c r="T680" s="1" t="str" cm="1">
        <f t="array" ref="T680">_xlfn.IFS(O680&lt;18200, "Low", O680&lt;=50000, "Medium", O680&gt;50000, "High")</f>
        <v>Low</v>
      </c>
    </row>
    <row r="681" spans="1:20" x14ac:dyDescent="0.25">
      <c r="A681" s="2">
        <v>2013</v>
      </c>
      <c r="B681" s="1" t="s">
        <v>927</v>
      </c>
      <c r="C681" s="1" t="s">
        <v>1128</v>
      </c>
      <c r="D681" s="1" t="s">
        <v>663</v>
      </c>
      <c r="E681" s="1" t="s">
        <v>130</v>
      </c>
      <c r="F681" s="1" t="s">
        <v>20</v>
      </c>
      <c r="G681" s="1" t="s">
        <v>1177</v>
      </c>
      <c r="H681" s="1" t="s">
        <v>22</v>
      </c>
      <c r="I681" s="1">
        <v>4</v>
      </c>
      <c r="J681" s="1">
        <v>38759</v>
      </c>
      <c r="K681" s="1" t="s">
        <v>23</v>
      </c>
      <c r="L681" s="1" t="s">
        <v>28</v>
      </c>
      <c r="M681" s="1" t="s">
        <v>182</v>
      </c>
      <c r="N681" s="1">
        <v>17250</v>
      </c>
      <c r="O681" s="12">
        <v>17500</v>
      </c>
      <c r="P681" s="3" t="s">
        <v>251</v>
      </c>
      <c r="Q681" s="1" cm="1">
        <f t="array" ref="Q681">VALUE(INDEX(_xlfn.TEXTSPLIT(P681, " "), 4))</f>
        <v>2014</v>
      </c>
      <c r="R681" s="1" t="str">
        <f t="shared" si="10"/>
        <v>Toyota Venza LE</v>
      </c>
      <c r="S681" s="1" t="str" cm="1">
        <f t="array" ref="S681">_xlfn.IFS(I681 &gt;= 40, "High", I681&gt;=20, "Medium", I681&lt;20, "Low")</f>
        <v>Low</v>
      </c>
      <c r="T681" s="1" t="str" cm="1">
        <f t="array" ref="T681">_xlfn.IFS(O681&lt;18200, "Low", O681&lt;=50000, "Medium", O681&gt;50000, "High")</f>
        <v>Low</v>
      </c>
    </row>
    <row r="682" spans="1:20" x14ac:dyDescent="0.25">
      <c r="A682" s="2">
        <v>2013</v>
      </c>
      <c r="B682" s="1" t="s">
        <v>927</v>
      </c>
      <c r="C682" s="1" t="s">
        <v>1178</v>
      </c>
      <c r="D682" s="1" t="s">
        <v>337</v>
      </c>
      <c r="E682" s="1" t="s">
        <v>19</v>
      </c>
      <c r="F682" s="1" t="s">
        <v>20</v>
      </c>
      <c r="G682" s="1" t="s">
        <v>1179</v>
      </c>
      <c r="H682" s="1" t="s">
        <v>22</v>
      </c>
      <c r="I682" s="1">
        <v>3</v>
      </c>
      <c r="J682" s="1">
        <v>39900</v>
      </c>
      <c r="K682" s="1" t="s">
        <v>23</v>
      </c>
      <c r="L682" s="1" t="s">
        <v>24</v>
      </c>
      <c r="M682" s="1" t="s">
        <v>1096</v>
      </c>
      <c r="N682" s="1">
        <v>28300</v>
      </c>
      <c r="O682" s="12">
        <v>28000</v>
      </c>
      <c r="P682" s="3" t="s">
        <v>206</v>
      </c>
      <c r="Q682" s="1" cm="1">
        <f t="array" ref="Q682">VALUE(INDEX(_xlfn.TEXTSPLIT(P682, " "), 4))</f>
        <v>2014</v>
      </c>
      <c r="R682" s="1" t="str">
        <f t="shared" si="10"/>
        <v>Toyota Highlander Limited</v>
      </c>
      <c r="S682" s="1" t="str" cm="1">
        <f t="array" ref="S682">_xlfn.IFS(I682 &gt;= 40, "High", I682&gt;=20, "Medium", I682&lt;20, "Low")</f>
        <v>Low</v>
      </c>
      <c r="T682" s="1" t="str" cm="1">
        <f t="array" ref="T682">_xlfn.IFS(O682&lt;18200, "Low", O682&lt;=50000, "Medium", O682&gt;50000, "High")</f>
        <v>Medium</v>
      </c>
    </row>
    <row r="683" spans="1:20" x14ac:dyDescent="0.25">
      <c r="A683" s="2">
        <v>2013</v>
      </c>
      <c r="B683" s="1" t="s">
        <v>47</v>
      </c>
      <c r="C683" s="1" t="s">
        <v>48</v>
      </c>
      <c r="D683" s="1" t="s">
        <v>982</v>
      </c>
      <c r="E683" s="1" t="s">
        <v>32</v>
      </c>
      <c r="F683" s="1" t="s">
        <v>20</v>
      </c>
      <c r="G683" s="1" t="s">
        <v>1180</v>
      </c>
      <c r="H683" s="1" t="s">
        <v>22</v>
      </c>
      <c r="I683" s="1">
        <v>42</v>
      </c>
      <c r="J683" s="1">
        <v>20906</v>
      </c>
      <c r="K683" s="1" t="s">
        <v>23</v>
      </c>
      <c r="L683" s="1" t="s">
        <v>34</v>
      </c>
      <c r="M683" s="1" t="s">
        <v>217</v>
      </c>
      <c r="N683" s="1">
        <v>16850</v>
      </c>
      <c r="O683" s="12">
        <v>17750</v>
      </c>
      <c r="P683" s="3" t="s">
        <v>26</v>
      </c>
      <c r="Q683" s="1" cm="1">
        <f t="array" ref="Q683">VALUE(INDEX(_xlfn.TEXTSPLIT(P683, " "), 4))</f>
        <v>2014</v>
      </c>
      <c r="R683" s="1" t="str">
        <f t="shared" si="10"/>
        <v>Nissan Altima 3.5 SL</v>
      </c>
      <c r="S683" s="1" t="str" cm="1">
        <f t="array" ref="S683">_xlfn.IFS(I683 &gt;= 40, "High", I683&gt;=20, "Medium", I683&lt;20, "Low")</f>
        <v>High</v>
      </c>
      <c r="T683" s="1" t="str" cm="1">
        <f t="array" ref="T683">_xlfn.IFS(O683&lt;18200, "Low", O683&lt;=50000, "Medium", O683&gt;50000, "High")</f>
        <v>Low</v>
      </c>
    </row>
    <row r="684" spans="1:20" x14ac:dyDescent="0.25">
      <c r="A684" s="2">
        <v>2013</v>
      </c>
      <c r="B684" s="1" t="s">
        <v>47</v>
      </c>
      <c r="C684" s="1" t="s">
        <v>212</v>
      </c>
      <c r="D684" s="1" t="s">
        <v>988</v>
      </c>
      <c r="E684" s="1" t="s">
        <v>32</v>
      </c>
      <c r="F684" s="1" t="s">
        <v>20</v>
      </c>
      <c r="G684" s="1" t="s">
        <v>1181</v>
      </c>
      <c r="H684" s="1" t="s">
        <v>22</v>
      </c>
      <c r="I684" s="1">
        <v>42</v>
      </c>
      <c r="J684" s="1">
        <v>15343</v>
      </c>
      <c r="K684" s="1" t="s">
        <v>34</v>
      </c>
      <c r="L684" s="1" t="s">
        <v>24</v>
      </c>
      <c r="M684" s="1" t="s">
        <v>946</v>
      </c>
      <c r="N684" s="1">
        <v>10400</v>
      </c>
      <c r="O684" s="12">
        <v>11000</v>
      </c>
      <c r="P684" s="3" t="s">
        <v>68</v>
      </c>
      <c r="Q684" s="1" cm="1">
        <f t="array" ref="Q684">VALUE(INDEX(_xlfn.TEXTSPLIT(P684, " "), 4))</f>
        <v>2014</v>
      </c>
      <c r="R684" s="1" t="str">
        <f t="shared" si="10"/>
        <v>Nissan Versa 1.6 S Plus</v>
      </c>
      <c r="S684" s="1" t="str" cm="1">
        <f t="array" ref="S684">_xlfn.IFS(I684 &gt;= 40, "High", I684&gt;=20, "Medium", I684&lt;20, "Low")</f>
        <v>High</v>
      </c>
      <c r="T684" s="1" t="str" cm="1">
        <f t="array" ref="T684">_xlfn.IFS(O684&lt;18200, "Low", O684&lt;=50000, "Medium", O684&gt;50000, "High")</f>
        <v>Low</v>
      </c>
    </row>
    <row r="685" spans="1:20" x14ac:dyDescent="0.25">
      <c r="A685" s="2">
        <v>2013</v>
      </c>
      <c r="B685" s="1" t="s">
        <v>927</v>
      </c>
      <c r="C685" s="1" t="s">
        <v>996</v>
      </c>
      <c r="D685" s="1" t="s">
        <v>337</v>
      </c>
      <c r="E685" s="1" t="s">
        <v>32</v>
      </c>
      <c r="F685" s="1" t="s">
        <v>20</v>
      </c>
      <c r="G685" s="1" t="s">
        <v>1182</v>
      </c>
      <c r="H685" s="1" t="s">
        <v>22</v>
      </c>
      <c r="I685" s="1">
        <v>1</v>
      </c>
      <c r="J685" s="1">
        <v>34549</v>
      </c>
      <c r="K685" s="1" t="s">
        <v>91</v>
      </c>
      <c r="L685" s="1" t="s">
        <v>24</v>
      </c>
      <c r="M685" s="1" t="s">
        <v>51</v>
      </c>
      <c r="N685" s="1">
        <v>23200</v>
      </c>
      <c r="O685" s="12">
        <v>15500</v>
      </c>
      <c r="P685" s="3" t="s">
        <v>280</v>
      </c>
      <c r="Q685" s="1" cm="1">
        <f t="array" ref="Q685">VALUE(INDEX(_xlfn.TEXTSPLIT(P685, " "), 4))</f>
        <v>2014</v>
      </c>
      <c r="R685" s="1" t="str">
        <f t="shared" si="10"/>
        <v>Toyota Avalon Limited</v>
      </c>
      <c r="S685" s="1" t="str" cm="1">
        <f t="array" ref="S685">_xlfn.IFS(I685 &gt;= 40, "High", I685&gt;=20, "Medium", I685&lt;20, "Low")</f>
        <v>Low</v>
      </c>
      <c r="T685" s="1" t="str" cm="1">
        <f t="array" ref="T685">_xlfn.IFS(O685&lt;18200, "Low", O685&lt;=50000, "Medium", O685&gt;50000, "High")</f>
        <v>Low</v>
      </c>
    </row>
    <row r="686" spans="1:20" x14ac:dyDescent="0.25">
      <c r="A686" s="2">
        <v>2013</v>
      </c>
      <c r="B686" s="1" t="s">
        <v>47</v>
      </c>
      <c r="C686" s="1" t="s">
        <v>48</v>
      </c>
      <c r="D686" s="1" t="s">
        <v>982</v>
      </c>
      <c r="E686" s="1" t="s">
        <v>32</v>
      </c>
      <c r="F686" s="1" t="s">
        <v>20</v>
      </c>
      <c r="G686" s="1" t="s">
        <v>1183</v>
      </c>
      <c r="H686" s="1" t="s">
        <v>22</v>
      </c>
      <c r="I686" s="1">
        <v>44</v>
      </c>
      <c r="J686" s="1">
        <v>26165</v>
      </c>
      <c r="K686" s="1" t="s">
        <v>101</v>
      </c>
      <c r="L686" s="1" t="s">
        <v>24</v>
      </c>
      <c r="M686" s="1" t="s">
        <v>217</v>
      </c>
      <c r="N686" s="1">
        <v>16650</v>
      </c>
      <c r="O686" s="12">
        <v>17250</v>
      </c>
      <c r="P686" s="3" t="s">
        <v>26</v>
      </c>
      <c r="Q686" s="1" cm="1">
        <f t="array" ref="Q686">VALUE(INDEX(_xlfn.TEXTSPLIT(P686, " "), 4))</f>
        <v>2014</v>
      </c>
      <c r="R686" s="1" t="str">
        <f t="shared" si="10"/>
        <v>Nissan Altima 3.5 SL</v>
      </c>
      <c r="S686" s="1" t="str" cm="1">
        <f t="array" ref="S686">_xlfn.IFS(I686 &gt;= 40, "High", I686&gt;=20, "Medium", I686&lt;20, "Low")</f>
        <v>High</v>
      </c>
      <c r="T686" s="1" t="str" cm="1">
        <f t="array" ref="T686">_xlfn.IFS(O686&lt;18200, "Low", O686&lt;=50000, "Medium", O686&gt;50000, "High")</f>
        <v>Low</v>
      </c>
    </row>
    <row r="687" spans="1:20" x14ac:dyDescent="0.25">
      <c r="A687" s="2">
        <v>2013</v>
      </c>
      <c r="B687" s="1" t="s">
        <v>921</v>
      </c>
      <c r="C687" s="1" t="s">
        <v>922</v>
      </c>
      <c r="D687" s="1" t="s">
        <v>1009</v>
      </c>
      <c r="E687" s="1" t="s">
        <v>32</v>
      </c>
      <c r="F687" s="1" t="s">
        <v>20</v>
      </c>
      <c r="G687" s="1" t="s">
        <v>1184</v>
      </c>
      <c r="H687" s="1" t="s">
        <v>22</v>
      </c>
      <c r="I687" s="1"/>
      <c r="J687" s="1">
        <v>10628</v>
      </c>
      <c r="K687" s="1" t="s">
        <v>23</v>
      </c>
      <c r="L687" s="1" t="s">
        <v>101</v>
      </c>
      <c r="M687" s="1" t="s">
        <v>1124</v>
      </c>
      <c r="N687" s="1">
        <v>12050</v>
      </c>
      <c r="O687" s="12">
        <v>10600</v>
      </c>
      <c r="P687" s="3" t="s">
        <v>57</v>
      </c>
      <c r="Q687" s="1" cm="1">
        <f t="array" ref="Q687">VALUE(INDEX(_xlfn.TEXTSPLIT(P687, " "), 4))</f>
        <v>2014</v>
      </c>
      <c r="R687" s="1" t="str">
        <f t="shared" si="10"/>
        <v>Volkswagen Passat Wolfsburg Edition PZEV</v>
      </c>
      <c r="S687" s="1" t="str" cm="1">
        <f t="array" ref="S687">_xlfn.IFS(I687 &gt;= 40, "High", I687&gt;=20, "Medium", I687&lt;20, "Low")</f>
        <v>Low</v>
      </c>
      <c r="T687" s="1" t="str" cm="1">
        <f t="array" ref="T687">_xlfn.IFS(O687&lt;18200, "Low", O687&lt;=50000, "Medium", O687&gt;50000, "High")</f>
        <v>Low</v>
      </c>
    </row>
    <row r="688" spans="1:20" x14ac:dyDescent="0.25">
      <c r="A688" s="2">
        <v>2013</v>
      </c>
      <c r="B688" s="1" t="s">
        <v>921</v>
      </c>
      <c r="C688" s="1" t="s">
        <v>976</v>
      </c>
      <c r="D688" s="1" t="s">
        <v>923</v>
      </c>
      <c r="E688" s="1" t="s">
        <v>32</v>
      </c>
      <c r="F688" s="1" t="s">
        <v>20</v>
      </c>
      <c r="G688" s="1" t="s">
        <v>1185</v>
      </c>
      <c r="H688" s="1" t="s">
        <v>22</v>
      </c>
      <c r="I688" s="1">
        <v>38</v>
      </c>
      <c r="J688" s="1">
        <v>39931</v>
      </c>
      <c r="K688" s="1" t="s">
        <v>24</v>
      </c>
      <c r="L688" s="1" t="s">
        <v>24</v>
      </c>
      <c r="M688" s="1" t="s">
        <v>95</v>
      </c>
      <c r="N688" s="1">
        <v>11050</v>
      </c>
      <c r="O688" s="12">
        <v>11700</v>
      </c>
      <c r="P688" s="3" t="s">
        <v>459</v>
      </c>
      <c r="Q688" s="1" cm="1">
        <f t="array" ref="Q688">VALUE(INDEX(_xlfn.TEXTSPLIT(P688, " "), 4))</f>
        <v>2014</v>
      </c>
      <c r="R688" s="1" t="str">
        <f t="shared" si="10"/>
        <v>Volkswagen Jetta SE PZEV</v>
      </c>
      <c r="S688" s="1" t="str" cm="1">
        <f t="array" ref="S688">_xlfn.IFS(I688 &gt;= 40, "High", I688&gt;=20, "Medium", I688&lt;20, "Low")</f>
        <v>Medium</v>
      </c>
      <c r="T688" s="1" t="str" cm="1">
        <f t="array" ref="T688">_xlfn.IFS(O688&lt;18200, "Low", O688&lt;=50000, "Medium", O688&gt;50000, "High")</f>
        <v>Low</v>
      </c>
    </row>
    <row r="689" spans="1:20" x14ac:dyDescent="0.25">
      <c r="A689" s="2">
        <v>2013</v>
      </c>
      <c r="B689" s="1" t="s">
        <v>978</v>
      </c>
      <c r="C689" s="1" t="s">
        <v>1186</v>
      </c>
      <c r="D689" s="1" t="s">
        <v>1187</v>
      </c>
      <c r="E689" s="1" t="s">
        <v>227</v>
      </c>
      <c r="F689" s="1" t="s">
        <v>20</v>
      </c>
      <c r="G689" s="1" t="s">
        <v>1188</v>
      </c>
      <c r="H689" s="1" t="s">
        <v>22</v>
      </c>
      <c r="I689" s="1"/>
      <c r="J689" s="1">
        <v>20091</v>
      </c>
      <c r="K689" s="1" t="s">
        <v>91</v>
      </c>
      <c r="L689" s="1" t="s">
        <v>24</v>
      </c>
      <c r="M689" s="1" t="s">
        <v>1189</v>
      </c>
      <c r="N689" s="1">
        <v>19300</v>
      </c>
      <c r="O689" s="12">
        <v>18500</v>
      </c>
      <c r="P689" s="3" t="s">
        <v>1190</v>
      </c>
      <c r="Q689" s="1" cm="1">
        <f t="array" ref="Q689">VALUE(INDEX(_xlfn.TEXTSPLIT(P689, " "), 4))</f>
        <v>2014</v>
      </c>
      <c r="R689" s="1" t="str">
        <f t="shared" si="10"/>
        <v>Subaru Impreza 2.0i Sport Limited PZEV</v>
      </c>
      <c r="S689" s="1" t="str" cm="1">
        <f t="array" ref="S689">_xlfn.IFS(I689 &gt;= 40, "High", I689&gt;=20, "Medium", I689&lt;20, "Low")</f>
        <v>Low</v>
      </c>
      <c r="T689" s="1" t="str" cm="1">
        <f t="array" ref="T689">_xlfn.IFS(O689&lt;18200, "Low", O689&lt;=50000, "Medium", O689&gt;50000, "High")</f>
        <v>Medium</v>
      </c>
    </row>
    <row r="690" spans="1:20" x14ac:dyDescent="0.25">
      <c r="A690" s="2">
        <v>2013</v>
      </c>
      <c r="B690" s="1" t="s">
        <v>47</v>
      </c>
      <c r="C690" s="1" t="s">
        <v>212</v>
      </c>
      <c r="D690" s="1" t="s">
        <v>988</v>
      </c>
      <c r="E690" s="1" t="s">
        <v>32</v>
      </c>
      <c r="F690" s="1"/>
      <c r="G690" s="1" t="s">
        <v>1191</v>
      </c>
      <c r="H690" s="1" t="s">
        <v>22</v>
      </c>
      <c r="I690" s="1">
        <v>2</v>
      </c>
      <c r="J690" s="1">
        <v>34561</v>
      </c>
      <c r="K690" s="1" t="s">
        <v>23</v>
      </c>
      <c r="L690" s="1" t="s">
        <v>24</v>
      </c>
      <c r="M690" s="1" t="s">
        <v>1192</v>
      </c>
      <c r="N690" s="1">
        <v>9750</v>
      </c>
      <c r="O690" s="12">
        <v>6000</v>
      </c>
      <c r="P690" s="3" t="s">
        <v>62</v>
      </c>
      <c r="Q690" s="1" cm="1">
        <f t="array" ref="Q690">VALUE(INDEX(_xlfn.TEXTSPLIT(P690, " "), 4))</f>
        <v>2014</v>
      </c>
      <c r="R690" s="1" t="str">
        <f t="shared" si="10"/>
        <v>Nissan Versa 1.6 S Plus</v>
      </c>
      <c r="S690" s="1" t="str" cm="1">
        <f t="array" ref="S690">_xlfn.IFS(I690 &gt;= 40, "High", I690&gt;=20, "Medium", I690&lt;20, "Low")</f>
        <v>Low</v>
      </c>
      <c r="T690" s="1" t="str" cm="1">
        <f t="array" ref="T690">_xlfn.IFS(O690&lt;18200, "Low", O690&lt;=50000, "Medium", O690&gt;50000, "High")</f>
        <v>Low</v>
      </c>
    </row>
    <row r="691" spans="1:20" x14ac:dyDescent="0.25">
      <c r="A691" s="2">
        <v>2013</v>
      </c>
      <c r="B691" s="1" t="s">
        <v>47</v>
      </c>
      <c r="C691" s="1" t="s">
        <v>48</v>
      </c>
      <c r="D691" s="1" t="s">
        <v>982</v>
      </c>
      <c r="E691" s="1" t="s">
        <v>32</v>
      </c>
      <c r="F691" s="1" t="s">
        <v>20</v>
      </c>
      <c r="G691" s="1" t="s">
        <v>1193</v>
      </c>
      <c r="H691" s="1" t="s">
        <v>22</v>
      </c>
      <c r="I691" s="1">
        <v>43</v>
      </c>
      <c r="J691" s="1">
        <v>16417</v>
      </c>
      <c r="K691" s="1" t="s">
        <v>91</v>
      </c>
      <c r="L691" s="1" t="s">
        <v>24</v>
      </c>
      <c r="M691" s="1" t="s">
        <v>651</v>
      </c>
      <c r="N691" s="1">
        <v>17050</v>
      </c>
      <c r="O691" s="12">
        <v>16250</v>
      </c>
      <c r="P691" s="3" t="s">
        <v>26</v>
      </c>
      <c r="Q691" s="1" cm="1">
        <f t="array" ref="Q691">VALUE(INDEX(_xlfn.TEXTSPLIT(P691, " "), 4))</f>
        <v>2014</v>
      </c>
      <c r="R691" s="1" t="str">
        <f t="shared" si="10"/>
        <v>Nissan Altima 3.5 SL</v>
      </c>
      <c r="S691" s="1" t="str" cm="1">
        <f t="array" ref="S691">_xlfn.IFS(I691 &gt;= 40, "High", I691&gt;=20, "Medium", I691&lt;20, "Low")</f>
        <v>High</v>
      </c>
      <c r="T691" s="1" t="str" cm="1">
        <f t="array" ref="T691">_xlfn.IFS(O691&lt;18200, "Low", O691&lt;=50000, "Medium", O691&gt;50000, "High")</f>
        <v>Low</v>
      </c>
    </row>
    <row r="692" spans="1:20" x14ac:dyDescent="0.25">
      <c r="A692" s="2">
        <v>2013</v>
      </c>
      <c r="B692" s="1" t="s">
        <v>921</v>
      </c>
      <c r="C692" s="1" t="s">
        <v>922</v>
      </c>
      <c r="D692" s="1" t="s">
        <v>923</v>
      </c>
      <c r="E692" s="1" t="s">
        <v>32</v>
      </c>
      <c r="F692" s="1" t="s">
        <v>20</v>
      </c>
      <c r="G692" s="1" t="s">
        <v>1194</v>
      </c>
      <c r="H692" s="1" t="s">
        <v>22</v>
      </c>
      <c r="I692" s="1">
        <v>26</v>
      </c>
      <c r="J692" s="1">
        <v>35303</v>
      </c>
      <c r="K692" s="1" t="s">
        <v>34</v>
      </c>
      <c r="L692" s="1" t="s">
        <v>24</v>
      </c>
      <c r="M692" s="1" t="s">
        <v>182</v>
      </c>
      <c r="N692" s="1">
        <v>13300</v>
      </c>
      <c r="O692" s="12">
        <v>13300</v>
      </c>
      <c r="P692" s="3" t="s">
        <v>270</v>
      </c>
      <c r="Q692" s="1" cm="1">
        <f t="array" ref="Q692">VALUE(INDEX(_xlfn.TEXTSPLIT(P692, " "), 4))</f>
        <v>2014</v>
      </c>
      <c r="R692" s="1" t="str">
        <f t="shared" si="10"/>
        <v>Volkswagen Passat SE PZEV</v>
      </c>
      <c r="S692" s="1" t="str" cm="1">
        <f t="array" ref="S692">_xlfn.IFS(I692 &gt;= 40, "High", I692&gt;=20, "Medium", I692&lt;20, "Low")</f>
        <v>Medium</v>
      </c>
      <c r="T692" s="1" t="str" cm="1">
        <f t="array" ref="T692">_xlfn.IFS(O692&lt;18200, "Low", O692&lt;=50000, "Medium", O692&gt;50000, "High")</f>
        <v>Low</v>
      </c>
    </row>
    <row r="693" spans="1:20" x14ac:dyDescent="0.25">
      <c r="A693" s="2">
        <v>2013</v>
      </c>
      <c r="B693" s="1" t="s">
        <v>921</v>
      </c>
      <c r="C693" s="1" t="s">
        <v>922</v>
      </c>
      <c r="D693" s="1" t="s">
        <v>87</v>
      </c>
      <c r="E693" s="1" t="s">
        <v>32</v>
      </c>
      <c r="F693" s="1" t="s">
        <v>20</v>
      </c>
      <c r="G693" s="1" t="s">
        <v>1195</v>
      </c>
      <c r="H693" s="1" t="s">
        <v>22</v>
      </c>
      <c r="I693" s="1">
        <v>1</v>
      </c>
      <c r="J693" s="1">
        <v>24954</v>
      </c>
      <c r="K693" s="1" t="s">
        <v>101</v>
      </c>
      <c r="L693" s="1" t="s">
        <v>24</v>
      </c>
      <c r="M693" s="1" t="s">
        <v>925</v>
      </c>
      <c r="N693" s="1">
        <v>14250</v>
      </c>
      <c r="O693" s="12">
        <v>11100</v>
      </c>
      <c r="P693" s="3" t="s">
        <v>84</v>
      </c>
      <c r="Q693" s="1" cm="1">
        <f t="array" ref="Q693">VALUE(INDEX(_xlfn.TEXTSPLIT(P693, " "), 4))</f>
        <v>2014</v>
      </c>
      <c r="R693" s="1" t="str">
        <f t="shared" si="10"/>
        <v>Volkswagen Passat SE</v>
      </c>
      <c r="S693" s="1" t="str" cm="1">
        <f t="array" ref="S693">_xlfn.IFS(I693 &gt;= 40, "High", I693&gt;=20, "Medium", I693&lt;20, "Low")</f>
        <v>Low</v>
      </c>
      <c r="T693" s="1" t="str" cm="1">
        <f t="array" ref="T693">_xlfn.IFS(O693&lt;18200, "Low", O693&lt;=50000, "Medium", O693&gt;50000, "High")</f>
        <v>Low</v>
      </c>
    </row>
    <row r="694" spans="1:20" x14ac:dyDescent="0.25">
      <c r="A694" s="2">
        <v>2013</v>
      </c>
      <c r="B694" s="1" t="s">
        <v>927</v>
      </c>
      <c r="C694" s="1" t="s">
        <v>968</v>
      </c>
      <c r="D694" s="1" t="s">
        <v>1196</v>
      </c>
      <c r="E694" s="1" t="s">
        <v>970</v>
      </c>
      <c r="F694" s="1" t="s">
        <v>20</v>
      </c>
      <c r="G694" s="1" t="s">
        <v>1197</v>
      </c>
      <c r="H694" s="1" t="s">
        <v>22</v>
      </c>
      <c r="I694" s="1">
        <v>41</v>
      </c>
      <c r="J694" s="1">
        <v>39631</v>
      </c>
      <c r="K694" s="1" t="s">
        <v>23</v>
      </c>
      <c r="L694" s="1" t="s">
        <v>34</v>
      </c>
      <c r="M694" s="1" t="s">
        <v>1091</v>
      </c>
      <c r="N694" s="1">
        <v>25800</v>
      </c>
      <c r="O694" s="12">
        <v>27000</v>
      </c>
      <c r="P694" s="3" t="s">
        <v>362</v>
      </c>
      <c r="Q694" s="1" cm="1">
        <f t="array" ref="Q694">VALUE(INDEX(_xlfn.TEXTSPLIT(P694, " "), 4))</f>
        <v>2014</v>
      </c>
      <c r="R694" s="1" t="str">
        <f t="shared" si="10"/>
        <v>Toyota Tacoma V6</v>
      </c>
      <c r="S694" s="1" t="str" cm="1">
        <f t="array" ref="S694">_xlfn.IFS(I694 &gt;= 40, "High", I694&gt;=20, "Medium", I694&lt;20, "Low")</f>
        <v>High</v>
      </c>
      <c r="T694" s="1" t="str" cm="1">
        <f t="array" ref="T694">_xlfn.IFS(O694&lt;18200, "Low", O694&lt;=50000, "Medium", O694&gt;50000, "High")</f>
        <v>Medium</v>
      </c>
    </row>
    <row r="695" spans="1:20" x14ac:dyDescent="0.25">
      <c r="A695" s="2">
        <v>2013</v>
      </c>
      <c r="B695" s="1" t="s">
        <v>47</v>
      </c>
      <c r="C695" s="1" t="s">
        <v>1043</v>
      </c>
      <c r="D695" s="1" t="s">
        <v>936</v>
      </c>
      <c r="E695" s="1" t="s">
        <v>19</v>
      </c>
      <c r="F695" s="1" t="s">
        <v>20</v>
      </c>
      <c r="G695" s="1" t="s">
        <v>1198</v>
      </c>
      <c r="H695" s="1" t="s">
        <v>22</v>
      </c>
      <c r="I695" s="1">
        <v>5</v>
      </c>
      <c r="J695" s="1">
        <v>4423</v>
      </c>
      <c r="K695" s="1" t="s">
        <v>23</v>
      </c>
      <c r="L695" s="1" t="s">
        <v>34</v>
      </c>
      <c r="M695" s="1" t="s">
        <v>651</v>
      </c>
      <c r="N695" s="1">
        <v>18400</v>
      </c>
      <c r="O695" s="12">
        <v>18000</v>
      </c>
      <c r="P695" s="3" t="s">
        <v>26</v>
      </c>
      <c r="Q695" s="1" cm="1">
        <f t="array" ref="Q695">VALUE(INDEX(_xlfn.TEXTSPLIT(P695, " "), 4))</f>
        <v>2014</v>
      </c>
      <c r="R695" s="1" t="str">
        <f t="shared" si="10"/>
        <v>Nissan Xterra S</v>
      </c>
      <c r="S695" s="1" t="str" cm="1">
        <f t="array" ref="S695">_xlfn.IFS(I695 &gt;= 40, "High", I695&gt;=20, "Medium", I695&lt;20, "Low")</f>
        <v>Low</v>
      </c>
      <c r="T695" s="1" t="str" cm="1">
        <f t="array" ref="T695">_xlfn.IFS(O695&lt;18200, "Low", O695&lt;=50000, "Medium", O695&gt;50000, "High")</f>
        <v>Low</v>
      </c>
    </row>
    <row r="696" spans="1:20" x14ac:dyDescent="0.25">
      <c r="A696" s="2">
        <v>2013</v>
      </c>
      <c r="B696" s="1" t="s">
        <v>978</v>
      </c>
      <c r="C696" s="1" t="s">
        <v>979</v>
      </c>
      <c r="D696" s="1" t="s">
        <v>1199</v>
      </c>
      <c r="E696" s="1" t="s">
        <v>32</v>
      </c>
      <c r="F696" s="1" t="s">
        <v>214</v>
      </c>
      <c r="G696" s="1" t="s">
        <v>1200</v>
      </c>
      <c r="H696" s="1" t="s">
        <v>22</v>
      </c>
      <c r="I696" s="1">
        <v>35</v>
      </c>
      <c r="J696" s="1">
        <v>22006</v>
      </c>
      <c r="K696" s="1" t="s">
        <v>94</v>
      </c>
      <c r="L696" s="1" t="s">
        <v>24</v>
      </c>
      <c r="M696" s="1" t="s">
        <v>1201</v>
      </c>
      <c r="N696" s="1">
        <v>31200</v>
      </c>
      <c r="O696" s="12">
        <v>29000</v>
      </c>
      <c r="P696" s="3" t="s">
        <v>46</v>
      </c>
      <c r="Q696" s="1" cm="1">
        <f t="array" ref="Q696">VALUE(INDEX(_xlfn.TEXTSPLIT(P696, " "), 4))</f>
        <v>2014</v>
      </c>
      <c r="R696" s="1" t="str">
        <f t="shared" si="10"/>
        <v>Subaru Impreza WRX STI</v>
      </c>
      <c r="S696" s="1" t="str" cm="1">
        <f t="array" ref="S696">_xlfn.IFS(I696 &gt;= 40, "High", I696&gt;=20, "Medium", I696&lt;20, "Low")</f>
        <v>Medium</v>
      </c>
      <c r="T696" s="1" t="str" cm="1">
        <f t="array" ref="T696">_xlfn.IFS(O696&lt;18200, "Low", O696&lt;=50000, "Medium", O696&gt;50000, "High")</f>
        <v>Medium</v>
      </c>
    </row>
    <row r="697" spans="1:20" x14ac:dyDescent="0.25">
      <c r="A697" s="2">
        <v>2013</v>
      </c>
      <c r="B697" s="1" t="s">
        <v>47</v>
      </c>
      <c r="C697" s="1" t="s">
        <v>1084</v>
      </c>
      <c r="D697" s="1" t="s">
        <v>1085</v>
      </c>
      <c r="E697" s="1" t="s">
        <v>130</v>
      </c>
      <c r="F697" s="1" t="s">
        <v>20</v>
      </c>
      <c r="G697" s="1" t="s">
        <v>1202</v>
      </c>
      <c r="H697" s="1" t="s">
        <v>22</v>
      </c>
      <c r="I697" s="1">
        <v>4</v>
      </c>
      <c r="J697" s="1">
        <v>36297</v>
      </c>
      <c r="K697" s="1" t="s">
        <v>91</v>
      </c>
      <c r="L697" s="1" t="s">
        <v>24</v>
      </c>
      <c r="M697" s="1" t="s">
        <v>555</v>
      </c>
      <c r="N697" s="1">
        <v>11500</v>
      </c>
      <c r="O697" s="12">
        <v>12300</v>
      </c>
      <c r="P697" s="3" t="s">
        <v>68</v>
      </c>
      <c r="Q697" s="1" cm="1">
        <f t="array" ref="Q697">VALUE(INDEX(_xlfn.TEXTSPLIT(P697, " "), 4))</f>
        <v>2014</v>
      </c>
      <c r="R697" s="1" t="str">
        <f t="shared" si="10"/>
        <v>Nissan Cube 1.8 SL</v>
      </c>
      <c r="S697" s="1" t="str" cm="1">
        <f t="array" ref="S697">_xlfn.IFS(I697 &gt;= 40, "High", I697&gt;=20, "Medium", I697&lt;20, "Low")</f>
        <v>Low</v>
      </c>
      <c r="T697" s="1" t="str" cm="1">
        <f t="array" ref="T697">_xlfn.IFS(O697&lt;18200, "Low", O697&lt;=50000, "Medium", O697&gt;50000, "High")</f>
        <v>Low</v>
      </c>
    </row>
    <row r="698" spans="1:20" x14ac:dyDescent="0.25">
      <c r="A698" s="2">
        <v>2013</v>
      </c>
      <c r="B698" s="1" t="s">
        <v>927</v>
      </c>
      <c r="C698" s="1" t="s">
        <v>932</v>
      </c>
      <c r="D698" s="1" t="s">
        <v>933</v>
      </c>
      <c r="E698" s="1" t="s">
        <v>738</v>
      </c>
      <c r="F698" s="1" t="s">
        <v>20</v>
      </c>
      <c r="G698" s="1" t="s">
        <v>1203</v>
      </c>
      <c r="H698" s="1" t="s">
        <v>22</v>
      </c>
      <c r="I698" s="1">
        <v>34</v>
      </c>
      <c r="J698" s="1">
        <v>63250</v>
      </c>
      <c r="K698" s="1" t="s">
        <v>288</v>
      </c>
      <c r="L698" s="1" t="s">
        <v>28</v>
      </c>
      <c r="M698" s="1" t="s">
        <v>56</v>
      </c>
      <c r="N698" s="1">
        <v>15900</v>
      </c>
      <c r="O698" s="12">
        <v>16600</v>
      </c>
      <c r="P698" s="3" t="s">
        <v>57</v>
      </c>
      <c r="Q698" s="1" cm="1">
        <f t="array" ref="Q698">VALUE(INDEX(_xlfn.TEXTSPLIT(P698, " "), 4))</f>
        <v>2014</v>
      </c>
      <c r="R698" s="1" t="str">
        <f t="shared" si="10"/>
        <v>Toyota Sienna LE 7-Passenger Mobility Auto Access</v>
      </c>
      <c r="S698" s="1" t="str" cm="1">
        <f t="array" ref="S698">_xlfn.IFS(I698 &gt;= 40, "High", I698&gt;=20, "Medium", I698&lt;20, "Low")</f>
        <v>Medium</v>
      </c>
      <c r="T698" s="1" t="str" cm="1">
        <f t="array" ref="T698">_xlfn.IFS(O698&lt;18200, "Low", O698&lt;=50000, "Medium", O698&gt;50000, "High")</f>
        <v>Low</v>
      </c>
    </row>
    <row r="699" spans="1:20" x14ac:dyDescent="0.25">
      <c r="A699" s="2">
        <v>2013</v>
      </c>
      <c r="B699" s="1" t="s">
        <v>47</v>
      </c>
      <c r="C699" s="1" t="s">
        <v>1030</v>
      </c>
      <c r="D699" s="1" t="s">
        <v>1110</v>
      </c>
      <c r="E699" s="1" t="s">
        <v>32</v>
      </c>
      <c r="F699" s="1" t="s">
        <v>20</v>
      </c>
      <c r="G699" s="1" t="s">
        <v>1204</v>
      </c>
      <c r="H699" s="1" t="s">
        <v>22</v>
      </c>
      <c r="I699" s="1">
        <v>1</v>
      </c>
      <c r="J699" s="1">
        <v>1</v>
      </c>
      <c r="K699" s="1" t="s">
        <v>34</v>
      </c>
      <c r="L699" s="1" t="s">
        <v>24</v>
      </c>
      <c r="M699" s="1" t="s">
        <v>51</v>
      </c>
      <c r="N699" s="1">
        <v>16950</v>
      </c>
      <c r="O699" s="12">
        <v>1000</v>
      </c>
      <c r="P699" s="3" t="s">
        <v>256</v>
      </c>
      <c r="Q699" s="1" cm="1">
        <f t="array" ref="Q699">VALUE(INDEX(_xlfn.TEXTSPLIT(P699, " "), 4))</f>
        <v>2015</v>
      </c>
      <c r="R699" s="1" t="str">
        <f t="shared" si="10"/>
        <v>Nissan Maxima 3.5 S</v>
      </c>
      <c r="S699" s="1" t="str" cm="1">
        <f t="array" ref="S699">_xlfn.IFS(I699 &gt;= 40, "High", I699&gt;=20, "Medium", I699&lt;20, "Low")</f>
        <v>Low</v>
      </c>
      <c r="T699" s="1" t="str" cm="1">
        <f t="array" ref="T699">_xlfn.IFS(O699&lt;18200, "Low", O699&lt;=50000, "Medium", O699&gt;50000, "High")</f>
        <v>Low</v>
      </c>
    </row>
    <row r="700" spans="1:20" x14ac:dyDescent="0.25">
      <c r="A700" s="2">
        <v>2013</v>
      </c>
      <c r="B700" s="1" t="s">
        <v>927</v>
      </c>
      <c r="C700" s="1" t="s">
        <v>963</v>
      </c>
      <c r="D700" s="1" t="s">
        <v>87</v>
      </c>
      <c r="E700" s="1" t="s">
        <v>32</v>
      </c>
      <c r="F700" s="1" t="s">
        <v>20</v>
      </c>
      <c r="G700" s="1" t="s">
        <v>1205</v>
      </c>
      <c r="H700" s="1" t="s">
        <v>22</v>
      </c>
      <c r="I700" s="1"/>
      <c r="J700" s="1">
        <v>59291</v>
      </c>
      <c r="K700" s="1" t="s">
        <v>24</v>
      </c>
      <c r="L700" s="1" t="s">
        <v>101</v>
      </c>
      <c r="M700" s="1" t="s">
        <v>1206</v>
      </c>
      <c r="N700" s="1">
        <v>12550</v>
      </c>
      <c r="O700" s="12">
        <v>13800</v>
      </c>
      <c r="P700" s="3" t="s">
        <v>57</v>
      </c>
      <c r="Q700" s="1" cm="1">
        <f t="array" ref="Q700">VALUE(INDEX(_xlfn.TEXTSPLIT(P700, " "), 4))</f>
        <v>2014</v>
      </c>
      <c r="R700" s="1" t="str">
        <f t="shared" si="10"/>
        <v>Toyota Camry SE</v>
      </c>
      <c r="S700" s="1" t="str" cm="1">
        <f t="array" ref="S700">_xlfn.IFS(I700 &gt;= 40, "High", I700&gt;=20, "Medium", I700&lt;20, "Low")</f>
        <v>Low</v>
      </c>
      <c r="T700" s="1" t="str" cm="1">
        <f t="array" ref="T700">_xlfn.IFS(O700&lt;18200, "Low", O700&lt;=50000, "Medium", O700&gt;50000, "High")</f>
        <v>Low</v>
      </c>
    </row>
    <row r="701" spans="1:20" x14ac:dyDescent="0.25">
      <c r="A701" s="2">
        <v>2013</v>
      </c>
      <c r="B701" s="1" t="s">
        <v>927</v>
      </c>
      <c r="C701" s="1" t="s">
        <v>963</v>
      </c>
      <c r="D701" s="1" t="s">
        <v>663</v>
      </c>
      <c r="E701" s="1" t="s">
        <v>32</v>
      </c>
      <c r="F701" s="1" t="s">
        <v>20</v>
      </c>
      <c r="G701" s="1" t="s">
        <v>1207</v>
      </c>
      <c r="H701" s="1" t="s">
        <v>22</v>
      </c>
      <c r="I701" s="1">
        <v>44</v>
      </c>
      <c r="J701" s="1">
        <v>13948</v>
      </c>
      <c r="K701" s="1" t="s">
        <v>28</v>
      </c>
      <c r="L701" s="1" t="s">
        <v>28</v>
      </c>
      <c r="M701" s="1" t="s">
        <v>1096</v>
      </c>
      <c r="N701" s="1">
        <v>14950</v>
      </c>
      <c r="O701" s="12">
        <v>14900</v>
      </c>
      <c r="P701" s="3" t="s">
        <v>1108</v>
      </c>
      <c r="Q701" s="1" cm="1">
        <f t="array" ref="Q701">VALUE(INDEX(_xlfn.TEXTSPLIT(P701, " "), 4))</f>
        <v>2014</v>
      </c>
      <c r="R701" s="1" t="str">
        <f t="shared" si="10"/>
        <v>Toyota Camry LE</v>
      </c>
      <c r="S701" s="1" t="str" cm="1">
        <f t="array" ref="S701">_xlfn.IFS(I701 &gt;= 40, "High", I701&gt;=20, "Medium", I701&lt;20, "Low")</f>
        <v>High</v>
      </c>
      <c r="T701" s="1" t="str" cm="1">
        <f t="array" ref="T701">_xlfn.IFS(O701&lt;18200, "Low", O701&lt;=50000, "Medium", O701&gt;50000, "High")</f>
        <v>Low</v>
      </c>
    </row>
    <row r="702" spans="1:20" x14ac:dyDescent="0.25">
      <c r="A702" s="2">
        <v>2013</v>
      </c>
      <c r="B702" s="1" t="s">
        <v>47</v>
      </c>
      <c r="C702" s="1" t="s">
        <v>212</v>
      </c>
      <c r="D702" s="1" t="s">
        <v>988</v>
      </c>
      <c r="E702" s="1" t="s">
        <v>32</v>
      </c>
      <c r="F702" s="1" t="s">
        <v>214</v>
      </c>
      <c r="G702" s="1" t="s">
        <v>1208</v>
      </c>
      <c r="H702" s="1" t="s">
        <v>22</v>
      </c>
      <c r="I702" s="1">
        <v>43</v>
      </c>
      <c r="J702" s="1">
        <v>18366</v>
      </c>
      <c r="K702" s="1" t="s">
        <v>34</v>
      </c>
      <c r="L702" s="1" t="s">
        <v>24</v>
      </c>
      <c r="M702" s="1" t="s">
        <v>946</v>
      </c>
      <c r="N702" s="1">
        <v>9300</v>
      </c>
      <c r="O702" s="12">
        <v>9500</v>
      </c>
      <c r="P702" s="3" t="s">
        <v>68</v>
      </c>
      <c r="Q702" s="1" cm="1">
        <f t="array" ref="Q702">VALUE(INDEX(_xlfn.TEXTSPLIT(P702, " "), 4))</f>
        <v>2014</v>
      </c>
      <c r="R702" s="1" t="str">
        <f t="shared" si="10"/>
        <v>Nissan Versa 1.6 S Plus</v>
      </c>
      <c r="S702" s="1" t="str" cm="1">
        <f t="array" ref="S702">_xlfn.IFS(I702 &gt;= 40, "High", I702&gt;=20, "Medium", I702&lt;20, "Low")</f>
        <v>High</v>
      </c>
      <c r="T702" s="1" t="str" cm="1">
        <f t="array" ref="T702">_xlfn.IFS(O702&lt;18200, "Low", O702&lt;=50000, "Medium", O702&gt;50000, "High")</f>
        <v>Low</v>
      </c>
    </row>
    <row r="703" spans="1:20" x14ac:dyDescent="0.25">
      <c r="A703" s="2">
        <v>2013</v>
      </c>
      <c r="B703" s="1" t="s">
        <v>47</v>
      </c>
      <c r="C703" s="1" t="s">
        <v>212</v>
      </c>
      <c r="D703" s="1" t="s">
        <v>988</v>
      </c>
      <c r="E703" s="1" t="s">
        <v>32</v>
      </c>
      <c r="F703" s="1" t="s">
        <v>20</v>
      </c>
      <c r="G703" s="1" t="s">
        <v>1209</v>
      </c>
      <c r="H703" s="1" t="s">
        <v>22</v>
      </c>
      <c r="I703" s="1">
        <v>2</v>
      </c>
      <c r="J703" s="1">
        <v>41426</v>
      </c>
      <c r="K703" s="1" t="s">
        <v>34</v>
      </c>
      <c r="L703" s="1" t="s">
        <v>24</v>
      </c>
      <c r="M703" s="1" t="s">
        <v>406</v>
      </c>
      <c r="N703" s="1">
        <v>9450</v>
      </c>
      <c r="O703" s="12">
        <v>4000</v>
      </c>
      <c r="P703" s="3" t="s">
        <v>693</v>
      </c>
      <c r="Q703" s="1" cm="1">
        <f t="array" ref="Q703">VALUE(INDEX(_xlfn.TEXTSPLIT(P703, " "), 4))</f>
        <v>2014</v>
      </c>
      <c r="R703" s="1" t="str">
        <f t="shared" si="10"/>
        <v>Nissan Versa 1.6 S Plus</v>
      </c>
      <c r="S703" s="1" t="str" cm="1">
        <f t="array" ref="S703">_xlfn.IFS(I703 &gt;= 40, "High", I703&gt;=20, "Medium", I703&lt;20, "Low")</f>
        <v>Low</v>
      </c>
      <c r="T703" s="1" t="str" cm="1">
        <f t="array" ref="T703">_xlfn.IFS(O703&lt;18200, "Low", O703&lt;=50000, "Medium", O703&gt;50000, "High")</f>
        <v>Low</v>
      </c>
    </row>
    <row r="704" spans="1:20" x14ac:dyDescent="0.25">
      <c r="A704" s="2">
        <v>2013</v>
      </c>
      <c r="B704" s="1" t="s">
        <v>1033</v>
      </c>
      <c r="C704" s="1" t="s">
        <v>1157</v>
      </c>
      <c r="D704" s="1" t="s">
        <v>54</v>
      </c>
      <c r="E704" s="1" t="s">
        <v>32</v>
      </c>
      <c r="F704" s="1" t="s">
        <v>20</v>
      </c>
      <c r="G704" s="1" t="s">
        <v>1210</v>
      </c>
      <c r="H704" s="1" t="s">
        <v>22</v>
      </c>
      <c r="I704" s="1">
        <v>41</v>
      </c>
      <c r="J704" s="1">
        <v>33876</v>
      </c>
      <c r="K704" s="1" t="s">
        <v>23</v>
      </c>
      <c r="L704" s="1" t="s">
        <v>28</v>
      </c>
      <c r="M704" s="1" t="s">
        <v>625</v>
      </c>
      <c r="N704" s="1">
        <v>54000</v>
      </c>
      <c r="O704" s="12">
        <v>58000</v>
      </c>
      <c r="P704" s="3" t="s">
        <v>68</v>
      </c>
      <c r="Q704" s="1" cm="1">
        <f t="array" ref="Q704">VALUE(INDEX(_xlfn.TEXTSPLIT(P704, " "), 4))</f>
        <v>2014</v>
      </c>
      <c r="R704" s="1" t="str">
        <f t="shared" si="10"/>
        <v>Porsche Panamera Base</v>
      </c>
      <c r="S704" s="1" t="str" cm="1">
        <f t="array" ref="S704">_xlfn.IFS(I704 &gt;= 40, "High", I704&gt;=20, "Medium", I704&lt;20, "Low")</f>
        <v>High</v>
      </c>
      <c r="T704" s="1" t="str" cm="1">
        <f t="array" ref="T704">_xlfn.IFS(O704&lt;18200, "Low", O704&lt;=50000, "Medium", O704&gt;50000, "High")</f>
        <v>High</v>
      </c>
    </row>
    <row r="705" spans="1:20" x14ac:dyDescent="0.25">
      <c r="A705" s="2">
        <v>2013</v>
      </c>
      <c r="B705" s="1" t="s">
        <v>47</v>
      </c>
      <c r="C705" s="1" t="s">
        <v>940</v>
      </c>
      <c r="D705" s="1" t="s">
        <v>1062</v>
      </c>
      <c r="E705" s="1" t="s">
        <v>32</v>
      </c>
      <c r="F705" s="1" t="s">
        <v>20</v>
      </c>
      <c r="G705" s="1" t="s">
        <v>1211</v>
      </c>
      <c r="H705" s="1" t="s">
        <v>22</v>
      </c>
      <c r="I705" s="1">
        <v>29</v>
      </c>
      <c r="J705" s="1">
        <v>33219</v>
      </c>
      <c r="K705" s="1" t="s">
        <v>23</v>
      </c>
      <c r="L705" s="1" t="s">
        <v>24</v>
      </c>
      <c r="M705" s="1" t="s">
        <v>555</v>
      </c>
      <c r="N705" s="1">
        <v>11200</v>
      </c>
      <c r="O705" s="12">
        <v>10300</v>
      </c>
      <c r="P705" s="3" t="s">
        <v>68</v>
      </c>
      <c r="Q705" s="1" cm="1">
        <f t="array" ref="Q705">VALUE(INDEX(_xlfn.TEXTSPLIT(P705, " "), 4))</f>
        <v>2014</v>
      </c>
      <c r="R705" s="1" t="str">
        <f t="shared" si="10"/>
        <v>Nissan Sentra SV</v>
      </c>
      <c r="S705" s="1" t="str" cm="1">
        <f t="array" ref="S705">_xlfn.IFS(I705 &gt;= 40, "High", I705&gt;=20, "Medium", I705&lt;20, "Low")</f>
        <v>Medium</v>
      </c>
      <c r="T705" s="1" t="str" cm="1">
        <f t="array" ref="T705">_xlfn.IFS(O705&lt;18200, "Low", O705&lt;=50000, "Medium", O705&gt;50000, "High")</f>
        <v>Low</v>
      </c>
    </row>
    <row r="706" spans="1:20" x14ac:dyDescent="0.25">
      <c r="A706" s="2">
        <v>2013</v>
      </c>
      <c r="B706" s="1" t="s">
        <v>927</v>
      </c>
      <c r="C706" s="1" t="s">
        <v>963</v>
      </c>
      <c r="D706" s="1" t="s">
        <v>87</v>
      </c>
      <c r="E706" s="1" t="s">
        <v>32</v>
      </c>
      <c r="F706" s="1" t="s">
        <v>20</v>
      </c>
      <c r="G706" s="1" t="s">
        <v>1212</v>
      </c>
      <c r="H706" s="1" t="s">
        <v>22</v>
      </c>
      <c r="I706" s="1">
        <v>38</v>
      </c>
      <c r="J706" s="1">
        <v>30392</v>
      </c>
      <c r="K706" s="1" t="s">
        <v>24</v>
      </c>
      <c r="L706" s="1" t="s">
        <v>24</v>
      </c>
      <c r="M706" s="1" t="s">
        <v>555</v>
      </c>
      <c r="N706" s="1">
        <v>15200</v>
      </c>
      <c r="O706" s="12">
        <v>15700</v>
      </c>
      <c r="P706" s="3" t="s">
        <v>68</v>
      </c>
      <c r="Q706" s="1" cm="1">
        <f t="array" ref="Q706">VALUE(INDEX(_xlfn.TEXTSPLIT(P706, " "), 4))</f>
        <v>2014</v>
      </c>
      <c r="R706" s="1" t="str">
        <f t="shared" si="10"/>
        <v>Toyota Camry SE</v>
      </c>
      <c r="S706" s="1" t="str" cm="1">
        <f t="array" ref="S706">_xlfn.IFS(I706 &gt;= 40, "High", I706&gt;=20, "Medium", I706&lt;20, "Low")</f>
        <v>Medium</v>
      </c>
      <c r="T706" s="1" t="str" cm="1">
        <f t="array" ref="T706">_xlfn.IFS(O706&lt;18200, "Low", O706&lt;=50000, "Medium", O706&gt;50000, "High")</f>
        <v>Low</v>
      </c>
    </row>
    <row r="707" spans="1:20" x14ac:dyDescent="0.25">
      <c r="A707" s="2">
        <v>2013</v>
      </c>
      <c r="B707" s="1" t="s">
        <v>999</v>
      </c>
      <c r="C707" s="1" t="s">
        <v>1000</v>
      </c>
      <c r="D707" s="1" t="s">
        <v>54</v>
      </c>
      <c r="E707" s="1" t="s">
        <v>107</v>
      </c>
      <c r="F707" s="1" t="s">
        <v>214</v>
      </c>
      <c r="G707" s="1" t="s">
        <v>1213</v>
      </c>
      <c r="H707" s="1" t="s">
        <v>22</v>
      </c>
      <c r="I707" s="1">
        <v>44</v>
      </c>
      <c r="J707" s="1">
        <v>13325</v>
      </c>
      <c r="K707" s="1" t="s">
        <v>34</v>
      </c>
      <c r="L707" s="1" t="s">
        <v>24</v>
      </c>
      <c r="M707" s="1" t="s">
        <v>1096</v>
      </c>
      <c r="N707" s="1">
        <v>18650</v>
      </c>
      <c r="O707" s="12">
        <v>18700</v>
      </c>
      <c r="P707" s="3" t="s">
        <v>57</v>
      </c>
      <c r="Q707" s="1" cm="1">
        <f t="array" ref="Q707">VALUE(INDEX(_xlfn.TEXTSPLIT(P707, " "), 4))</f>
        <v>2014</v>
      </c>
      <c r="R707" s="1" t="str">
        <f t="shared" ref="R707:R770" si="11">_xlfn.TEXTJOIN(" ", TRUE, B707, C707, D707)</f>
        <v>Scion FR-S Base</v>
      </c>
      <c r="S707" s="1" t="str" cm="1">
        <f t="array" ref="S707">_xlfn.IFS(I707 &gt;= 40, "High", I707&gt;=20, "Medium", I707&lt;20, "Low")</f>
        <v>High</v>
      </c>
      <c r="T707" s="1" t="str" cm="1">
        <f t="array" ref="T707">_xlfn.IFS(O707&lt;18200, "Low", O707&lt;=50000, "Medium", O707&gt;50000, "High")</f>
        <v>Medium</v>
      </c>
    </row>
    <row r="708" spans="1:20" x14ac:dyDescent="0.25">
      <c r="A708" s="2">
        <v>2013</v>
      </c>
      <c r="B708" s="1" t="s">
        <v>47</v>
      </c>
      <c r="C708" s="1" t="s">
        <v>940</v>
      </c>
      <c r="D708" s="1" t="s">
        <v>1214</v>
      </c>
      <c r="E708" s="1" t="s">
        <v>32</v>
      </c>
      <c r="F708" s="1" t="s">
        <v>20</v>
      </c>
      <c r="G708" s="1" t="s">
        <v>1215</v>
      </c>
      <c r="H708" s="1" t="s">
        <v>22</v>
      </c>
      <c r="I708" s="1">
        <v>36</v>
      </c>
      <c r="J708" s="1">
        <v>36247</v>
      </c>
      <c r="K708" s="1" t="s">
        <v>24</v>
      </c>
      <c r="L708" s="1" t="s">
        <v>24</v>
      </c>
      <c r="M708" s="1" t="s">
        <v>182</v>
      </c>
      <c r="N708" s="1">
        <v>11000</v>
      </c>
      <c r="O708" s="12">
        <v>11400</v>
      </c>
      <c r="P708" s="3" t="s">
        <v>26</v>
      </c>
      <c r="Q708" s="1" cm="1">
        <f t="array" ref="Q708">VALUE(INDEX(_xlfn.TEXTSPLIT(P708, " "), 4))</f>
        <v>2014</v>
      </c>
      <c r="R708" s="1" t="str">
        <f t="shared" si="11"/>
        <v>Nissan Sentra FE+ SV</v>
      </c>
      <c r="S708" s="1" t="str" cm="1">
        <f t="array" ref="S708">_xlfn.IFS(I708 &gt;= 40, "High", I708&gt;=20, "Medium", I708&lt;20, "Low")</f>
        <v>Medium</v>
      </c>
      <c r="T708" s="1" t="str" cm="1">
        <f t="array" ref="T708">_xlfn.IFS(O708&lt;18200, "Low", O708&lt;=50000, "Medium", O708&gt;50000, "High")</f>
        <v>Low</v>
      </c>
    </row>
    <row r="709" spans="1:20" x14ac:dyDescent="0.25">
      <c r="A709" s="2">
        <v>2013</v>
      </c>
      <c r="B709" s="1" t="s">
        <v>47</v>
      </c>
      <c r="C709" s="1" t="s">
        <v>48</v>
      </c>
      <c r="D709" s="1">
        <v>2.5</v>
      </c>
      <c r="E709" s="1" t="s">
        <v>32</v>
      </c>
      <c r="F709" s="1" t="s">
        <v>20</v>
      </c>
      <c r="G709" s="1" t="s">
        <v>1216</v>
      </c>
      <c r="H709" s="1" t="s">
        <v>22</v>
      </c>
      <c r="I709" s="1">
        <v>41</v>
      </c>
      <c r="J709" s="1">
        <v>26640</v>
      </c>
      <c r="K709" s="1" t="s">
        <v>23</v>
      </c>
      <c r="L709" s="1" t="s">
        <v>24</v>
      </c>
      <c r="M709" s="1" t="s">
        <v>217</v>
      </c>
      <c r="N709" s="1">
        <v>14150</v>
      </c>
      <c r="O709" s="12">
        <v>15250</v>
      </c>
      <c r="P709" s="3" t="s">
        <v>57</v>
      </c>
      <c r="Q709" s="1" cm="1">
        <f t="array" ref="Q709">VALUE(INDEX(_xlfn.TEXTSPLIT(P709, " "), 4))</f>
        <v>2014</v>
      </c>
      <c r="R709" s="1" t="str">
        <f t="shared" si="11"/>
        <v>Nissan Altima 2.5</v>
      </c>
      <c r="S709" s="1" t="str" cm="1">
        <f t="array" ref="S709">_xlfn.IFS(I709 &gt;= 40, "High", I709&gt;=20, "Medium", I709&lt;20, "Low")</f>
        <v>High</v>
      </c>
      <c r="T709" s="1" t="str" cm="1">
        <f t="array" ref="T709">_xlfn.IFS(O709&lt;18200, "Low", O709&lt;=50000, "Medium", O709&gt;50000, "High")</f>
        <v>Low</v>
      </c>
    </row>
    <row r="710" spans="1:20" x14ac:dyDescent="0.25">
      <c r="A710" s="2">
        <v>2013</v>
      </c>
      <c r="B710" s="1" t="s">
        <v>921</v>
      </c>
      <c r="C710" s="1" t="s">
        <v>922</v>
      </c>
      <c r="D710" s="1" t="s">
        <v>1217</v>
      </c>
      <c r="E710" s="1" t="s">
        <v>32</v>
      </c>
      <c r="F710" s="1" t="s">
        <v>20</v>
      </c>
      <c r="G710" s="1" t="s">
        <v>1218</v>
      </c>
      <c r="H710" s="1" t="s">
        <v>22</v>
      </c>
      <c r="I710" s="1">
        <v>32</v>
      </c>
      <c r="J710" s="1">
        <v>14779</v>
      </c>
      <c r="K710" s="1" t="s">
        <v>34</v>
      </c>
      <c r="L710" s="1" t="s">
        <v>24</v>
      </c>
      <c r="M710" s="1" t="s">
        <v>742</v>
      </c>
      <c r="N710" s="1">
        <v>20400</v>
      </c>
      <c r="O710" s="12">
        <v>20200</v>
      </c>
      <c r="P710" s="3" t="s">
        <v>57</v>
      </c>
      <c r="Q710" s="1" cm="1">
        <f t="array" ref="Q710">VALUE(INDEX(_xlfn.TEXTSPLIT(P710, " "), 4))</f>
        <v>2014</v>
      </c>
      <c r="R710" s="1" t="str">
        <f t="shared" si="11"/>
        <v>Volkswagen Passat TDI SE</v>
      </c>
      <c r="S710" s="1" t="str" cm="1">
        <f t="array" ref="S710">_xlfn.IFS(I710 &gt;= 40, "High", I710&gt;=20, "Medium", I710&lt;20, "Low")</f>
        <v>Medium</v>
      </c>
      <c r="T710" s="1" t="str" cm="1">
        <f t="array" ref="T710">_xlfn.IFS(O710&lt;18200, "Low", O710&lt;=50000, "Medium", O710&gt;50000, "High")</f>
        <v>Medium</v>
      </c>
    </row>
    <row r="711" spans="1:20" x14ac:dyDescent="0.25">
      <c r="A711" s="2">
        <v>2013</v>
      </c>
      <c r="B711" s="1" t="s">
        <v>47</v>
      </c>
      <c r="C711" s="1" t="s">
        <v>940</v>
      </c>
      <c r="D711" s="1" t="s">
        <v>1062</v>
      </c>
      <c r="E711" s="1" t="s">
        <v>32</v>
      </c>
      <c r="F711" s="1" t="s">
        <v>20</v>
      </c>
      <c r="G711" s="1" t="s">
        <v>1219</v>
      </c>
      <c r="H711" s="1" t="s">
        <v>22</v>
      </c>
      <c r="I711" s="1">
        <v>39</v>
      </c>
      <c r="J711" s="1">
        <v>39904</v>
      </c>
      <c r="K711" s="1" t="s">
        <v>23</v>
      </c>
      <c r="L711" s="1" t="s">
        <v>24</v>
      </c>
      <c r="M711" s="1" t="s">
        <v>644</v>
      </c>
      <c r="N711" s="1">
        <v>10350</v>
      </c>
      <c r="O711" s="12">
        <v>10600</v>
      </c>
      <c r="P711" s="3" t="s">
        <v>57</v>
      </c>
      <c r="Q711" s="1" cm="1">
        <f t="array" ref="Q711">VALUE(INDEX(_xlfn.TEXTSPLIT(P711, " "), 4))</f>
        <v>2014</v>
      </c>
      <c r="R711" s="1" t="str">
        <f t="shared" si="11"/>
        <v>Nissan Sentra SV</v>
      </c>
      <c r="S711" s="1" t="str" cm="1">
        <f t="array" ref="S711">_xlfn.IFS(I711 &gt;= 40, "High", I711&gt;=20, "Medium", I711&lt;20, "Low")</f>
        <v>Medium</v>
      </c>
      <c r="T711" s="1" t="str" cm="1">
        <f t="array" ref="T711">_xlfn.IFS(O711&lt;18200, "Low", O711&lt;=50000, "Medium", O711&gt;50000, "High")</f>
        <v>Low</v>
      </c>
    </row>
    <row r="712" spans="1:20" x14ac:dyDescent="0.25">
      <c r="A712" s="2">
        <v>2013</v>
      </c>
      <c r="B712" s="1" t="s">
        <v>47</v>
      </c>
      <c r="C712" s="1" t="s">
        <v>1139</v>
      </c>
      <c r="D712" s="1" t="s">
        <v>1062</v>
      </c>
      <c r="E712" s="1" t="s">
        <v>19</v>
      </c>
      <c r="F712" s="1" t="s">
        <v>20</v>
      </c>
      <c r="G712" s="1" t="s">
        <v>1220</v>
      </c>
      <c r="H712" s="1" t="s">
        <v>22</v>
      </c>
      <c r="I712" s="1">
        <v>3</v>
      </c>
      <c r="J712" s="1">
        <v>41841</v>
      </c>
      <c r="K712" s="1" t="s">
        <v>34</v>
      </c>
      <c r="L712" s="1" t="s">
        <v>24</v>
      </c>
      <c r="M712" s="1" t="s">
        <v>56</v>
      </c>
      <c r="N712" s="1">
        <v>16900</v>
      </c>
      <c r="O712" s="12">
        <v>16700</v>
      </c>
      <c r="P712" s="3" t="s">
        <v>57</v>
      </c>
      <c r="Q712" s="1" cm="1">
        <f t="array" ref="Q712">VALUE(INDEX(_xlfn.TEXTSPLIT(P712, " "), 4))</f>
        <v>2014</v>
      </c>
      <c r="R712" s="1" t="str">
        <f t="shared" si="11"/>
        <v>Nissan Murano SV</v>
      </c>
      <c r="S712" s="1" t="str" cm="1">
        <f t="array" ref="S712">_xlfn.IFS(I712 &gt;= 40, "High", I712&gt;=20, "Medium", I712&lt;20, "Low")</f>
        <v>Low</v>
      </c>
      <c r="T712" s="1" t="str" cm="1">
        <f t="array" ref="T712">_xlfn.IFS(O712&lt;18200, "Low", O712&lt;=50000, "Medium", O712&gt;50000, "High")</f>
        <v>Low</v>
      </c>
    </row>
    <row r="713" spans="1:20" x14ac:dyDescent="0.25">
      <c r="A713" s="2">
        <v>2013</v>
      </c>
      <c r="B713" s="1" t="s">
        <v>47</v>
      </c>
      <c r="C713" s="1" t="s">
        <v>940</v>
      </c>
      <c r="D713" s="1" t="s">
        <v>1062</v>
      </c>
      <c r="E713" s="1" t="s">
        <v>32</v>
      </c>
      <c r="F713" s="1" t="s">
        <v>20</v>
      </c>
      <c r="G713" s="1" t="s">
        <v>1221</v>
      </c>
      <c r="H713" s="1" t="s">
        <v>22</v>
      </c>
      <c r="I713" s="1">
        <v>39</v>
      </c>
      <c r="J713" s="1">
        <v>50045</v>
      </c>
      <c r="K713" s="1" t="s">
        <v>34</v>
      </c>
      <c r="L713" s="1" t="s">
        <v>24</v>
      </c>
      <c r="M713" s="1" t="s">
        <v>555</v>
      </c>
      <c r="N713" s="1">
        <v>10150</v>
      </c>
      <c r="O713" s="12">
        <v>10600</v>
      </c>
      <c r="P713" s="3" t="s">
        <v>68</v>
      </c>
      <c r="Q713" s="1" cm="1">
        <f t="array" ref="Q713">VALUE(INDEX(_xlfn.TEXTSPLIT(P713, " "), 4))</f>
        <v>2014</v>
      </c>
      <c r="R713" s="1" t="str">
        <f t="shared" si="11"/>
        <v>Nissan Sentra SV</v>
      </c>
      <c r="S713" s="1" t="str" cm="1">
        <f t="array" ref="S713">_xlfn.IFS(I713 &gt;= 40, "High", I713&gt;=20, "Medium", I713&lt;20, "Low")</f>
        <v>Medium</v>
      </c>
      <c r="T713" s="1" t="str" cm="1">
        <f t="array" ref="T713">_xlfn.IFS(O713&lt;18200, "Low", O713&lt;=50000, "Medium", O713&gt;50000, "High")</f>
        <v>Low</v>
      </c>
    </row>
    <row r="714" spans="1:20" x14ac:dyDescent="0.25">
      <c r="A714" s="2">
        <v>2013</v>
      </c>
      <c r="B714" s="1" t="s">
        <v>47</v>
      </c>
      <c r="C714" s="1" t="s">
        <v>1139</v>
      </c>
      <c r="D714" s="1" t="s">
        <v>1062</v>
      </c>
      <c r="E714" s="1" t="s">
        <v>19</v>
      </c>
      <c r="F714" s="1" t="s">
        <v>20</v>
      </c>
      <c r="G714" s="1" t="s">
        <v>1222</v>
      </c>
      <c r="H714" s="1" t="s">
        <v>22</v>
      </c>
      <c r="I714" s="1">
        <v>39</v>
      </c>
      <c r="J714" s="1">
        <v>35138</v>
      </c>
      <c r="K714" s="1" t="s">
        <v>23</v>
      </c>
      <c r="L714" s="1" t="s">
        <v>28</v>
      </c>
      <c r="M714" s="1" t="s">
        <v>95</v>
      </c>
      <c r="N714" s="1">
        <v>17600</v>
      </c>
      <c r="O714" s="12">
        <v>20500</v>
      </c>
      <c r="P714" s="3" t="s">
        <v>57</v>
      </c>
      <c r="Q714" s="1" cm="1">
        <f t="array" ref="Q714">VALUE(INDEX(_xlfn.TEXTSPLIT(P714, " "), 4))</f>
        <v>2014</v>
      </c>
      <c r="R714" s="1" t="str">
        <f t="shared" si="11"/>
        <v>Nissan Murano SV</v>
      </c>
      <c r="S714" s="1" t="str" cm="1">
        <f t="array" ref="S714">_xlfn.IFS(I714 &gt;= 40, "High", I714&gt;=20, "Medium", I714&lt;20, "Low")</f>
        <v>Medium</v>
      </c>
      <c r="T714" s="1" t="str" cm="1">
        <f t="array" ref="T714">_xlfn.IFS(O714&lt;18200, "Low", O714&lt;=50000, "Medium", O714&gt;50000, "High")</f>
        <v>Medium</v>
      </c>
    </row>
    <row r="715" spans="1:20" x14ac:dyDescent="0.25">
      <c r="A715" s="2">
        <v>2013</v>
      </c>
      <c r="B715" s="1" t="s">
        <v>1033</v>
      </c>
      <c r="C715" s="1" t="s">
        <v>1066</v>
      </c>
      <c r="D715" s="1" t="s">
        <v>54</v>
      </c>
      <c r="E715" s="1" t="s">
        <v>71</v>
      </c>
      <c r="F715" s="1" t="s">
        <v>20</v>
      </c>
      <c r="G715" s="1" t="s">
        <v>1223</v>
      </c>
      <c r="H715" s="1" t="s">
        <v>22</v>
      </c>
      <c r="I715" s="1">
        <v>37</v>
      </c>
      <c r="J715" s="1">
        <v>21938</v>
      </c>
      <c r="K715" s="1" t="s">
        <v>24</v>
      </c>
      <c r="L715" s="1" t="s">
        <v>24</v>
      </c>
      <c r="M715" s="1" t="s">
        <v>1224</v>
      </c>
      <c r="N715" s="1">
        <v>41200</v>
      </c>
      <c r="O715" s="12">
        <v>39500</v>
      </c>
      <c r="P715" s="3" t="s">
        <v>52</v>
      </c>
      <c r="Q715" s="1" cm="1">
        <f t="array" ref="Q715">VALUE(INDEX(_xlfn.TEXTSPLIT(P715, " "), 4))</f>
        <v>2014</v>
      </c>
      <c r="R715" s="1" t="str">
        <f t="shared" si="11"/>
        <v>Porsche Boxster Base</v>
      </c>
      <c r="S715" s="1" t="str" cm="1">
        <f t="array" ref="S715">_xlfn.IFS(I715 &gt;= 40, "High", I715&gt;=20, "Medium", I715&lt;20, "Low")</f>
        <v>Medium</v>
      </c>
      <c r="T715" s="1" t="str" cm="1">
        <f t="array" ref="T715">_xlfn.IFS(O715&lt;18200, "Low", O715&lt;=50000, "Medium", O715&gt;50000, "High")</f>
        <v>Medium</v>
      </c>
    </row>
    <row r="716" spans="1:20" x14ac:dyDescent="0.25">
      <c r="A716" s="2">
        <v>2013</v>
      </c>
      <c r="B716" s="1" t="s">
        <v>927</v>
      </c>
      <c r="C716" s="1" t="s">
        <v>928</v>
      </c>
      <c r="D716" s="1" t="s">
        <v>663</v>
      </c>
      <c r="E716" s="1" t="s">
        <v>32</v>
      </c>
      <c r="F716" s="1" t="s">
        <v>20</v>
      </c>
      <c r="G716" s="1" t="s">
        <v>1225</v>
      </c>
      <c r="H716" s="1" t="s">
        <v>22</v>
      </c>
      <c r="I716" s="1"/>
      <c r="J716" s="1">
        <v>42988</v>
      </c>
      <c r="K716" s="1" t="s">
        <v>34</v>
      </c>
      <c r="L716" s="1" t="s">
        <v>34</v>
      </c>
      <c r="M716" s="1" t="s">
        <v>406</v>
      </c>
      <c r="N716" s="1">
        <v>10900</v>
      </c>
      <c r="O716" s="12">
        <v>4000</v>
      </c>
      <c r="P716" s="3" t="s">
        <v>62</v>
      </c>
      <c r="Q716" s="1" cm="1">
        <f t="array" ref="Q716">VALUE(INDEX(_xlfn.TEXTSPLIT(P716, " "), 4))</f>
        <v>2014</v>
      </c>
      <c r="R716" s="1" t="str">
        <f t="shared" si="11"/>
        <v>Toyota Corolla LE</v>
      </c>
      <c r="S716" s="1" t="str" cm="1">
        <f t="array" ref="S716">_xlfn.IFS(I716 &gt;= 40, "High", I716&gt;=20, "Medium", I716&lt;20, "Low")</f>
        <v>Low</v>
      </c>
      <c r="T716" s="1" t="str" cm="1">
        <f t="array" ref="T716">_xlfn.IFS(O716&lt;18200, "Low", O716&lt;=50000, "Medium", O716&gt;50000, "High")</f>
        <v>Low</v>
      </c>
    </row>
    <row r="717" spans="1:20" x14ac:dyDescent="0.25">
      <c r="A717" s="2">
        <v>2013</v>
      </c>
      <c r="B717" s="1" t="s">
        <v>927</v>
      </c>
      <c r="C717" s="1" t="s">
        <v>1070</v>
      </c>
      <c r="D717" s="1" t="s">
        <v>663</v>
      </c>
      <c r="E717" s="1" t="s">
        <v>32</v>
      </c>
      <c r="F717" s="1" t="s">
        <v>20</v>
      </c>
      <c r="G717" s="1" t="s">
        <v>1226</v>
      </c>
      <c r="H717" s="1" t="s">
        <v>22</v>
      </c>
      <c r="I717" s="1">
        <v>44</v>
      </c>
      <c r="J717" s="1">
        <v>56455</v>
      </c>
      <c r="K717" s="1" t="s">
        <v>34</v>
      </c>
      <c r="L717" s="1" t="s">
        <v>34</v>
      </c>
      <c r="M717" s="1" t="s">
        <v>1089</v>
      </c>
      <c r="N717" s="1">
        <v>15700</v>
      </c>
      <c r="O717" s="12">
        <v>17750</v>
      </c>
      <c r="P717" s="3" t="s">
        <v>84</v>
      </c>
      <c r="Q717" s="1" cm="1">
        <f t="array" ref="Q717">VALUE(INDEX(_xlfn.TEXTSPLIT(P717, " "), 4))</f>
        <v>2014</v>
      </c>
      <c r="R717" s="1" t="str">
        <f t="shared" si="11"/>
        <v>Toyota Camry Hybrid LE</v>
      </c>
      <c r="S717" s="1" t="str" cm="1">
        <f t="array" ref="S717">_xlfn.IFS(I717 &gt;= 40, "High", I717&gt;=20, "Medium", I717&lt;20, "Low")</f>
        <v>High</v>
      </c>
      <c r="T717" s="1" t="str" cm="1">
        <f t="array" ref="T717">_xlfn.IFS(O717&lt;18200, "Low", O717&lt;=50000, "Medium", O717&gt;50000, "High")</f>
        <v>Low</v>
      </c>
    </row>
    <row r="718" spans="1:20" x14ac:dyDescent="0.25">
      <c r="A718" s="2">
        <v>2013</v>
      </c>
      <c r="B718" s="1" t="s">
        <v>927</v>
      </c>
      <c r="C718" s="1" t="s">
        <v>938</v>
      </c>
      <c r="D718" s="1" t="s">
        <v>663</v>
      </c>
      <c r="E718" s="1" t="s">
        <v>227</v>
      </c>
      <c r="F718" s="1" t="s">
        <v>20</v>
      </c>
      <c r="G718" s="1" t="s">
        <v>1227</v>
      </c>
      <c r="H718" s="1" t="s">
        <v>22</v>
      </c>
      <c r="I718" s="1">
        <v>1</v>
      </c>
      <c r="J718" s="1">
        <v>32808</v>
      </c>
      <c r="K718" s="1" t="s">
        <v>91</v>
      </c>
      <c r="L718" s="1" t="s">
        <v>24</v>
      </c>
      <c r="M718" s="1" t="s">
        <v>51</v>
      </c>
      <c r="N718" s="1">
        <v>10450</v>
      </c>
      <c r="O718" s="12">
        <v>7300</v>
      </c>
      <c r="P718" s="3" t="s">
        <v>97</v>
      </c>
      <c r="Q718" s="1" cm="1">
        <f t="array" ref="Q718">VALUE(INDEX(_xlfn.TEXTSPLIT(P718, " "), 4))</f>
        <v>2014</v>
      </c>
      <c r="R718" s="1" t="str">
        <f t="shared" si="11"/>
        <v>Toyota Yaris LE</v>
      </c>
      <c r="S718" s="1" t="str" cm="1">
        <f t="array" ref="S718">_xlfn.IFS(I718 &gt;= 40, "High", I718&gt;=20, "Medium", I718&lt;20, "Low")</f>
        <v>Low</v>
      </c>
      <c r="T718" s="1" t="str" cm="1">
        <f t="array" ref="T718">_xlfn.IFS(O718&lt;18200, "Low", O718&lt;=50000, "Medium", O718&gt;50000, "High")</f>
        <v>Low</v>
      </c>
    </row>
    <row r="719" spans="1:20" x14ac:dyDescent="0.25">
      <c r="A719" s="2">
        <v>2013</v>
      </c>
      <c r="B719" s="1" t="s">
        <v>47</v>
      </c>
      <c r="C719" s="1" t="s">
        <v>212</v>
      </c>
      <c r="D719" s="1" t="s">
        <v>988</v>
      </c>
      <c r="E719" s="1" t="s">
        <v>32</v>
      </c>
      <c r="F719" s="1"/>
      <c r="G719" s="1" t="s">
        <v>1228</v>
      </c>
      <c r="H719" s="1" t="s">
        <v>22</v>
      </c>
      <c r="I719" s="1">
        <v>39</v>
      </c>
      <c r="J719" s="1">
        <v>28311</v>
      </c>
      <c r="K719" s="1" t="s">
        <v>101</v>
      </c>
      <c r="L719" s="1" t="s">
        <v>24</v>
      </c>
      <c r="M719" s="1" t="s">
        <v>217</v>
      </c>
      <c r="N719" s="1">
        <v>9275</v>
      </c>
      <c r="O719" s="12">
        <v>9000</v>
      </c>
      <c r="P719" s="3" t="s">
        <v>26</v>
      </c>
      <c r="Q719" s="1" cm="1">
        <f t="array" ref="Q719">VALUE(INDEX(_xlfn.TEXTSPLIT(P719, " "), 4))</f>
        <v>2014</v>
      </c>
      <c r="R719" s="1" t="str">
        <f t="shared" si="11"/>
        <v>Nissan Versa 1.6 S Plus</v>
      </c>
      <c r="S719" s="1" t="str" cm="1">
        <f t="array" ref="S719">_xlfn.IFS(I719 &gt;= 40, "High", I719&gt;=20, "Medium", I719&lt;20, "Low")</f>
        <v>Medium</v>
      </c>
      <c r="T719" s="1" t="str" cm="1">
        <f t="array" ref="T719">_xlfn.IFS(O719&lt;18200, "Low", O719&lt;=50000, "Medium", O719&gt;50000, "High")</f>
        <v>Low</v>
      </c>
    </row>
    <row r="720" spans="1:20" x14ac:dyDescent="0.25">
      <c r="A720" s="2">
        <v>2013</v>
      </c>
      <c r="B720" s="1" t="s">
        <v>927</v>
      </c>
      <c r="C720" s="1" t="s">
        <v>928</v>
      </c>
      <c r="D720" s="1" t="s">
        <v>663</v>
      </c>
      <c r="E720" s="1" t="s">
        <v>32</v>
      </c>
      <c r="F720" s="1" t="s">
        <v>20</v>
      </c>
      <c r="G720" s="1" t="s">
        <v>1229</v>
      </c>
      <c r="H720" s="1" t="s">
        <v>22</v>
      </c>
      <c r="I720" s="1">
        <v>32</v>
      </c>
      <c r="J720" s="1">
        <v>48376</v>
      </c>
      <c r="K720" s="1" t="s">
        <v>34</v>
      </c>
      <c r="L720" s="1" t="s">
        <v>34</v>
      </c>
      <c r="M720" s="1" t="s">
        <v>998</v>
      </c>
      <c r="N720" s="1">
        <v>10750</v>
      </c>
      <c r="O720" s="12">
        <v>11500</v>
      </c>
      <c r="P720" s="3" t="s">
        <v>251</v>
      </c>
      <c r="Q720" s="1" cm="1">
        <f t="array" ref="Q720">VALUE(INDEX(_xlfn.TEXTSPLIT(P720, " "), 4))</f>
        <v>2014</v>
      </c>
      <c r="R720" s="1" t="str">
        <f t="shared" si="11"/>
        <v>Toyota Corolla LE</v>
      </c>
      <c r="S720" s="1" t="str" cm="1">
        <f t="array" ref="S720">_xlfn.IFS(I720 &gt;= 40, "High", I720&gt;=20, "Medium", I720&lt;20, "Low")</f>
        <v>Medium</v>
      </c>
      <c r="T720" s="1" t="str" cm="1">
        <f t="array" ref="T720">_xlfn.IFS(O720&lt;18200, "Low", O720&lt;=50000, "Medium", O720&gt;50000, "High")</f>
        <v>Low</v>
      </c>
    </row>
    <row r="721" spans="1:20" x14ac:dyDescent="0.25">
      <c r="A721" s="2">
        <v>2013</v>
      </c>
      <c r="B721" s="1" t="s">
        <v>927</v>
      </c>
      <c r="C721" s="1" t="s">
        <v>928</v>
      </c>
      <c r="D721" s="1" t="s">
        <v>663</v>
      </c>
      <c r="E721" s="1" t="s">
        <v>32</v>
      </c>
      <c r="F721" s="1" t="s">
        <v>20</v>
      </c>
      <c r="G721" s="1" t="s">
        <v>1230</v>
      </c>
      <c r="H721" s="1" t="s">
        <v>22</v>
      </c>
      <c r="I721" s="1">
        <v>33</v>
      </c>
      <c r="J721" s="1">
        <v>41961</v>
      </c>
      <c r="K721" s="1" t="s">
        <v>23</v>
      </c>
      <c r="L721" s="1" t="s">
        <v>34</v>
      </c>
      <c r="M721" s="1" t="s">
        <v>998</v>
      </c>
      <c r="N721" s="1">
        <v>11100</v>
      </c>
      <c r="O721" s="12">
        <v>11500</v>
      </c>
      <c r="P721" s="3" t="s">
        <v>251</v>
      </c>
      <c r="Q721" s="1" cm="1">
        <f t="array" ref="Q721">VALUE(INDEX(_xlfn.TEXTSPLIT(P721, " "), 4))</f>
        <v>2014</v>
      </c>
      <c r="R721" s="1" t="str">
        <f t="shared" si="11"/>
        <v>Toyota Corolla LE</v>
      </c>
      <c r="S721" s="1" t="str" cm="1">
        <f t="array" ref="S721">_xlfn.IFS(I721 &gt;= 40, "High", I721&gt;=20, "Medium", I721&lt;20, "Low")</f>
        <v>Medium</v>
      </c>
      <c r="T721" s="1" t="str" cm="1">
        <f t="array" ref="T721">_xlfn.IFS(O721&lt;18200, "Low", O721&lt;=50000, "Medium", O721&gt;50000, "High")</f>
        <v>Low</v>
      </c>
    </row>
    <row r="722" spans="1:20" x14ac:dyDescent="0.25">
      <c r="A722" s="2">
        <v>2013</v>
      </c>
      <c r="B722" s="1" t="s">
        <v>47</v>
      </c>
      <c r="C722" s="1" t="s">
        <v>940</v>
      </c>
      <c r="D722" s="1" t="s">
        <v>1062</v>
      </c>
      <c r="E722" s="1" t="s">
        <v>32</v>
      </c>
      <c r="F722" s="1" t="s">
        <v>20</v>
      </c>
      <c r="G722" s="1" t="s">
        <v>1231</v>
      </c>
      <c r="H722" s="1" t="s">
        <v>22</v>
      </c>
      <c r="I722" s="1">
        <v>39</v>
      </c>
      <c r="J722" s="1">
        <v>43769</v>
      </c>
      <c r="K722" s="1" t="s">
        <v>91</v>
      </c>
      <c r="L722" s="1" t="s">
        <v>24</v>
      </c>
      <c r="M722" s="1" t="s">
        <v>728</v>
      </c>
      <c r="N722" s="1">
        <v>10100</v>
      </c>
      <c r="O722" s="12">
        <v>10900</v>
      </c>
      <c r="P722" s="3" t="s">
        <v>57</v>
      </c>
      <c r="Q722" s="1" cm="1">
        <f t="array" ref="Q722">VALUE(INDEX(_xlfn.TEXTSPLIT(P722, " "), 4))</f>
        <v>2014</v>
      </c>
      <c r="R722" s="1" t="str">
        <f t="shared" si="11"/>
        <v>Nissan Sentra SV</v>
      </c>
      <c r="S722" s="1" t="str" cm="1">
        <f t="array" ref="S722">_xlfn.IFS(I722 &gt;= 40, "High", I722&gt;=20, "Medium", I722&lt;20, "Low")</f>
        <v>Medium</v>
      </c>
      <c r="T722" s="1" t="str" cm="1">
        <f t="array" ref="T722">_xlfn.IFS(O722&lt;18200, "Low", O722&lt;=50000, "Medium", O722&gt;50000, "High")</f>
        <v>Low</v>
      </c>
    </row>
    <row r="723" spans="1:20" x14ac:dyDescent="0.25">
      <c r="A723" s="2">
        <v>2013</v>
      </c>
      <c r="B723" s="1" t="s">
        <v>927</v>
      </c>
      <c r="C723" s="1" t="s">
        <v>968</v>
      </c>
      <c r="D723" s="1" t="s">
        <v>1196</v>
      </c>
      <c r="E723" s="1" t="s">
        <v>970</v>
      </c>
      <c r="F723" s="1" t="s">
        <v>20</v>
      </c>
      <c r="G723" s="1" t="s">
        <v>1232</v>
      </c>
      <c r="H723" s="1" t="s">
        <v>22</v>
      </c>
      <c r="I723" s="1">
        <v>43</v>
      </c>
      <c r="J723" s="1">
        <v>36744</v>
      </c>
      <c r="K723" s="1" t="s">
        <v>91</v>
      </c>
      <c r="L723" s="1" t="s">
        <v>34</v>
      </c>
      <c r="M723" s="1" t="s">
        <v>1091</v>
      </c>
      <c r="N723" s="1">
        <v>27200</v>
      </c>
      <c r="O723" s="12">
        <v>26750</v>
      </c>
      <c r="P723" s="3" t="s">
        <v>1233</v>
      </c>
      <c r="Q723" s="1" cm="1">
        <f t="array" ref="Q723">VALUE(INDEX(_xlfn.TEXTSPLIT(P723, " "), 4))</f>
        <v>2015</v>
      </c>
      <c r="R723" s="1" t="str">
        <f t="shared" si="11"/>
        <v>Toyota Tacoma V6</v>
      </c>
      <c r="S723" s="1" t="str" cm="1">
        <f t="array" ref="S723">_xlfn.IFS(I723 &gt;= 40, "High", I723&gt;=20, "Medium", I723&lt;20, "Low")</f>
        <v>High</v>
      </c>
      <c r="T723" s="1" t="str" cm="1">
        <f t="array" ref="T723">_xlfn.IFS(O723&lt;18200, "Low", O723&lt;=50000, "Medium", O723&gt;50000, "High")</f>
        <v>Medium</v>
      </c>
    </row>
    <row r="724" spans="1:20" x14ac:dyDescent="0.25">
      <c r="A724" s="2">
        <v>2013</v>
      </c>
      <c r="B724" s="1" t="s">
        <v>927</v>
      </c>
      <c r="C724" s="1" t="s">
        <v>985</v>
      </c>
      <c r="D724" s="1" t="s">
        <v>54</v>
      </c>
      <c r="E724" s="1" t="s">
        <v>19</v>
      </c>
      <c r="F724" s="1" t="s">
        <v>20</v>
      </c>
      <c r="G724" s="1" t="s">
        <v>1234</v>
      </c>
      <c r="H724" s="1" t="s">
        <v>22</v>
      </c>
      <c r="I724" s="1"/>
      <c r="J724" s="1">
        <v>43352</v>
      </c>
      <c r="K724" s="1" t="s">
        <v>549</v>
      </c>
      <c r="L724" s="1" t="s">
        <v>101</v>
      </c>
      <c r="M724" s="1" t="s">
        <v>1235</v>
      </c>
      <c r="N724" s="1">
        <v>26300</v>
      </c>
      <c r="O724" s="12">
        <v>26000</v>
      </c>
      <c r="P724" s="3" t="s">
        <v>68</v>
      </c>
      <c r="Q724" s="1" cm="1">
        <f t="array" ref="Q724">VALUE(INDEX(_xlfn.TEXTSPLIT(P724, " "), 4))</f>
        <v>2014</v>
      </c>
      <c r="R724" s="1" t="str">
        <f t="shared" si="11"/>
        <v>Toyota FJ Cruiser Base</v>
      </c>
      <c r="S724" s="1" t="str" cm="1">
        <f t="array" ref="S724">_xlfn.IFS(I724 &gt;= 40, "High", I724&gt;=20, "Medium", I724&lt;20, "Low")</f>
        <v>Low</v>
      </c>
      <c r="T724" s="1" t="str" cm="1">
        <f t="array" ref="T724">_xlfn.IFS(O724&lt;18200, "Low", O724&lt;=50000, "Medium", O724&gt;50000, "High")</f>
        <v>Medium</v>
      </c>
    </row>
    <row r="725" spans="1:20" x14ac:dyDescent="0.25">
      <c r="A725" s="2">
        <v>2013</v>
      </c>
      <c r="B725" s="1" t="s">
        <v>47</v>
      </c>
      <c r="C725" s="1" t="s">
        <v>212</v>
      </c>
      <c r="D725" s="1" t="s">
        <v>988</v>
      </c>
      <c r="E725" s="1" t="s">
        <v>32</v>
      </c>
      <c r="F725" s="1" t="s">
        <v>20</v>
      </c>
      <c r="G725" s="1" t="s">
        <v>1236</v>
      </c>
      <c r="H725" s="1" t="s">
        <v>22</v>
      </c>
      <c r="I725" s="1">
        <v>42</v>
      </c>
      <c r="J725" s="1">
        <v>29165</v>
      </c>
      <c r="K725" s="1" t="s">
        <v>34</v>
      </c>
      <c r="L725" s="1" t="s">
        <v>24</v>
      </c>
      <c r="M725" s="1" t="s">
        <v>1082</v>
      </c>
      <c r="N725" s="1">
        <v>9825</v>
      </c>
      <c r="O725" s="12">
        <v>10200</v>
      </c>
      <c r="P725" s="3" t="s">
        <v>270</v>
      </c>
      <c r="Q725" s="1" cm="1">
        <f t="array" ref="Q725">VALUE(INDEX(_xlfn.TEXTSPLIT(P725, " "), 4))</f>
        <v>2014</v>
      </c>
      <c r="R725" s="1" t="str">
        <f t="shared" si="11"/>
        <v>Nissan Versa 1.6 S Plus</v>
      </c>
      <c r="S725" s="1" t="str" cm="1">
        <f t="array" ref="S725">_xlfn.IFS(I725 &gt;= 40, "High", I725&gt;=20, "Medium", I725&lt;20, "Low")</f>
        <v>High</v>
      </c>
      <c r="T725" s="1" t="str" cm="1">
        <f t="array" ref="T725">_xlfn.IFS(O725&lt;18200, "Low", O725&lt;=50000, "Medium", O725&gt;50000, "High")</f>
        <v>Low</v>
      </c>
    </row>
    <row r="726" spans="1:20" x14ac:dyDescent="0.25">
      <c r="A726" s="2">
        <v>2013</v>
      </c>
      <c r="B726" s="1" t="s">
        <v>47</v>
      </c>
      <c r="C726" s="1" t="s">
        <v>940</v>
      </c>
      <c r="D726" s="1" t="s">
        <v>936</v>
      </c>
      <c r="E726" s="1" t="s">
        <v>32</v>
      </c>
      <c r="F726" s="1" t="s">
        <v>20</v>
      </c>
      <c r="G726" s="1" t="s">
        <v>1237</v>
      </c>
      <c r="H726" s="1" t="s">
        <v>22</v>
      </c>
      <c r="I726" s="1"/>
      <c r="J726" s="1">
        <v>23444</v>
      </c>
      <c r="K726" s="1" t="s">
        <v>91</v>
      </c>
      <c r="L726" s="1" t="s">
        <v>24</v>
      </c>
      <c r="M726" s="1" t="s">
        <v>1238</v>
      </c>
      <c r="N726" s="1">
        <v>12050</v>
      </c>
      <c r="O726" s="12">
        <v>10800</v>
      </c>
      <c r="P726" s="3" t="s">
        <v>68</v>
      </c>
      <c r="Q726" s="1" cm="1">
        <f t="array" ref="Q726">VALUE(INDEX(_xlfn.TEXTSPLIT(P726, " "), 4))</f>
        <v>2014</v>
      </c>
      <c r="R726" s="1" t="str">
        <f t="shared" si="11"/>
        <v>Nissan Sentra S</v>
      </c>
      <c r="S726" s="1" t="str" cm="1">
        <f t="array" ref="S726">_xlfn.IFS(I726 &gt;= 40, "High", I726&gt;=20, "Medium", I726&lt;20, "Low")</f>
        <v>Low</v>
      </c>
      <c r="T726" s="1" t="str" cm="1">
        <f t="array" ref="T726">_xlfn.IFS(O726&lt;18200, "Low", O726&lt;=50000, "Medium", O726&gt;50000, "High")</f>
        <v>Low</v>
      </c>
    </row>
    <row r="727" spans="1:20" x14ac:dyDescent="0.25">
      <c r="A727" s="2">
        <v>2013</v>
      </c>
      <c r="B727" s="1" t="s">
        <v>927</v>
      </c>
      <c r="C727" s="1" t="s">
        <v>1053</v>
      </c>
      <c r="D727" s="1" t="s">
        <v>1054</v>
      </c>
      <c r="E727" s="1" t="s">
        <v>227</v>
      </c>
      <c r="F727" s="1" t="s">
        <v>20</v>
      </c>
      <c r="G727" s="1" t="s">
        <v>1239</v>
      </c>
      <c r="H727" s="1" t="s">
        <v>22</v>
      </c>
      <c r="I727" s="1">
        <v>36</v>
      </c>
      <c r="J727" s="1">
        <v>39968</v>
      </c>
      <c r="K727" s="1" t="s">
        <v>24</v>
      </c>
      <c r="L727" s="1" t="s">
        <v>34</v>
      </c>
      <c r="M727" s="1" t="s">
        <v>998</v>
      </c>
      <c r="N727" s="1">
        <v>15150</v>
      </c>
      <c r="O727" s="12">
        <v>15800</v>
      </c>
      <c r="P727" s="3" t="s">
        <v>251</v>
      </c>
      <c r="Q727" s="1" cm="1">
        <f t="array" ref="Q727">VALUE(INDEX(_xlfn.TEXTSPLIT(P727, " "), 4))</f>
        <v>2014</v>
      </c>
      <c r="R727" s="1" t="str">
        <f t="shared" si="11"/>
        <v>Toyota Prius Two</v>
      </c>
      <c r="S727" s="1" t="str" cm="1">
        <f t="array" ref="S727">_xlfn.IFS(I727 &gt;= 40, "High", I727&gt;=20, "Medium", I727&lt;20, "Low")</f>
        <v>Medium</v>
      </c>
      <c r="T727" s="1" t="str" cm="1">
        <f t="array" ref="T727">_xlfn.IFS(O727&lt;18200, "Low", O727&lt;=50000, "Medium", O727&gt;50000, "High")</f>
        <v>Low</v>
      </c>
    </row>
    <row r="728" spans="1:20" x14ac:dyDescent="0.25">
      <c r="A728" s="2">
        <v>2013</v>
      </c>
      <c r="B728" s="1" t="s">
        <v>47</v>
      </c>
      <c r="C728" s="1" t="s">
        <v>212</v>
      </c>
      <c r="D728" s="1" t="s">
        <v>988</v>
      </c>
      <c r="E728" s="1" t="s">
        <v>32</v>
      </c>
      <c r="F728" s="1"/>
      <c r="G728" s="1" t="s">
        <v>1240</v>
      </c>
      <c r="H728" s="1" t="s">
        <v>22</v>
      </c>
      <c r="I728" s="1">
        <v>34</v>
      </c>
      <c r="J728" s="1">
        <v>41790</v>
      </c>
      <c r="K728" s="1" t="s">
        <v>91</v>
      </c>
      <c r="L728" s="1" t="s">
        <v>24</v>
      </c>
      <c r="M728" s="1" t="s">
        <v>644</v>
      </c>
      <c r="N728" s="1">
        <v>9400</v>
      </c>
      <c r="O728" s="12">
        <v>9300</v>
      </c>
      <c r="P728" s="3" t="s">
        <v>57</v>
      </c>
      <c r="Q728" s="1" cm="1">
        <f t="array" ref="Q728">VALUE(INDEX(_xlfn.TEXTSPLIT(P728, " "), 4))</f>
        <v>2014</v>
      </c>
      <c r="R728" s="1" t="str">
        <f t="shared" si="11"/>
        <v>Nissan Versa 1.6 S Plus</v>
      </c>
      <c r="S728" s="1" t="str" cm="1">
        <f t="array" ref="S728">_xlfn.IFS(I728 &gt;= 40, "High", I728&gt;=20, "Medium", I728&lt;20, "Low")</f>
        <v>Medium</v>
      </c>
      <c r="T728" s="1" t="str" cm="1">
        <f t="array" ref="T728">_xlfn.IFS(O728&lt;18200, "Low", O728&lt;=50000, "Medium", O728&gt;50000, "High")</f>
        <v>Low</v>
      </c>
    </row>
    <row r="729" spans="1:20" x14ac:dyDescent="0.25">
      <c r="A729" s="2">
        <v>2013</v>
      </c>
      <c r="B729" s="1" t="s">
        <v>927</v>
      </c>
      <c r="C729" s="1" t="s">
        <v>968</v>
      </c>
      <c r="D729" s="1" t="s">
        <v>1136</v>
      </c>
      <c r="E729" s="1" t="s">
        <v>970</v>
      </c>
      <c r="F729" s="1" t="s">
        <v>20</v>
      </c>
      <c r="G729" s="1" t="s">
        <v>1241</v>
      </c>
      <c r="H729" s="1" t="s">
        <v>22</v>
      </c>
      <c r="I729" s="1">
        <v>34</v>
      </c>
      <c r="J729" s="1">
        <v>11094</v>
      </c>
      <c r="K729" s="1" t="s">
        <v>132</v>
      </c>
      <c r="L729" s="1" t="s">
        <v>34</v>
      </c>
      <c r="M729" s="1" t="s">
        <v>555</v>
      </c>
      <c r="N729" s="1">
        <v>24900</v>
      </c>
      <c r="O729" s="12">
        <v>21000</v>
      </c>
      <c r="P729" s="3" t="s">
        <v>68</v>
      </c>
      <c r="Q729" s="1" cm="1">
        <f t="array" ref="Q729">VALUE(INDEX(_xlfn.TEXTSPLIT(P729, " "), 4))</f>
        <v>2014</v>
      </c>
      <c r="R729" s="1" t="str">
        <f t="shared" si="11"/>
        <v>Toyota Tacoma PreRunner V6</v>
      </c>
      <c r="S729" s="1" t="str" cm="1">
        <f t="array" ref="S729">_xlfn.IFS(I729 &gt;= 40, "High", I729&gt;=20, "Medium", I729&lt;20, "Low")</f>
        <v>Medium</v>
      </c>
      <c r="T729" s="1" t="str" cm="1">
        <f t="array" ref="T729">_xlfn.IFS(O729&lt;18200, "Low", O729&lt;=50000, "Medium", O729&gt;50000, "High")</f>
        <v>Medium</v>
      </c>
    </row>
    <row r="730" spans="1:20" x14ac:dyDescent="0.25">
      <c r="A730" s="2">
        <v>2013</v>
      </c>
      <c r="B730" s="1" t="s">
        <v>927</v>
      </c>
      <c r="C730" s="1" t="s">
        <v>932</v>
      </c>
      <c r="D730" s="1" t="s">
        <v>933</v>
      </c>
      <c r="E730" s="1" t="s">
        <v>738</v>
      </c>
      <c r="F730" s="1" t="s">
        <v>20</v>
      </c>
      <c r="G730" s="1" t="s">
        <v>1242</v>
      </c>
      <c r="H730" s="1" t="s">
        <v>22</v>
      </c>
      <c r="I730" s="1">
        <v>35</v>
      </c>
      <c r="J730" s="1">
        <v>40052</v>
      </c>
      <c r="K730" s="1" t="s">
        <v>23</v>
      </c>
      <c r="L730" s="1" t="s">
        <v>34</v>
      </c>
      <c r="M730" s="1" t="s">
        <v>182</v>
      </c>
      <c r="N730" s="1">
        <v>18250</v>
      </c>
      <c r="O730" s="12">
        <v>20400</v>
      </c>
      <c r="P730" s="3" t="s">
        <v>270</v>
      </c>
      <c r="Q730" s="1" cm="1">
        <f t="array" ref="Q730">VALUE(INDEX(_xlfn.TEXTSPLIT(P730, " "), 4))</f>
        <v>2014</v>
      </c>
      <c r="R730" s="1" t="str">
        <f t="shared" si="11"/>
        <v>Toyota Sienna LE 7-Passenger Mobility Auto Access</v>
      </c>
      <c r="S730" s="1" t="str" cm="1">
        <f t="array" ref="S730">_xlfn.IFS(I730 &gt;= 40, "High", I730&gt;=20, "Medium", I730&lt;20, "Low")</f>
        <v>Medium</v>
      </c>
      <c r="T730" s="1" t="str" cm="1">
        <f t="array" ref="T730">_xlfn.IFS(O730&lt;18200, "Low", O730&lt;=50000, "Medium", O730&gt;50000, "High")</f>
        <v>Medium</v>
      </c>
    </row>
    <row r="731" spans="1:20" x14ac:dyDescent="0.25">
      <c r="A731" s="2">
        <v>2013</v>
      </c>
      <c r="B731" s="1" t="s">
        <v>921</v>
      </c>
      <c r="C731" s="1" t="s">
        <v>992</v>
      </c>
      <c r="D731" s="1" t="s">
        <v>993</v>
      </c>
      <c r="E731" s="1" t="s">
        <v>227</v>
      </c>
      <c r="F731" s="1" t="s">
        <v>20</v>
      </c>
      <c r="G731" s="1" t="s">
        <v>1243</v>
      </c>
      <c r="H731" s="1" t="s">
        <v>22</v>
      </c>
      <c r="I731" s="1">
        <v>34</v>
      </c>
      <c r="J731" s="1">
        <v>37618</v>
      </c>
      <c r="K731" s="1" t="s">
        <v>23</v>
      </c>
      <c r="L731" s="1" t="s">
        <v>24</v>
      </c>
      <c r="M731" s="1" t="s">
        <v>182</v>
      </c>
      <c r="N731" s="1">
        <v>11500</v>
      </c>
      <c r="O731" s="12">
        <v>11900</v>
      </c>
      <c r="P731" s="3" t="s">
        <v>270</v>
      </c>
      <c r="Q731" s="1" cm="1">
        <f t="array" ref="Q731">VALUE(INDEX(_xlfn.TEXTSPLIT(P731, " "), 4))</f>
        <v>2014</v>
      </c>
      <c r="R731" s="1" t="str">
        <f t="shared" si="11"/>
        <v>Volkswagen Beetle 2.5L PZEV</v>
      </c>
      <c r="S731" s="1" t="str" cm="1">
        <f t="array" ref="S731">_xlfn.IFS(I731 &gt;= 40, "High", I731&gt;=20, "Medium", I731&lt;20, "Low")</f>
        <v>Medium</v>
      </c>
      <c r="T731" s="1" t="str" cm="1">
        <f t="array" ref="T731">_xlfn.IFS(O731&lt;18200, "Low", O731&lt;=50000, "Medium", O731&gt;50000, "High")</f>
        <v>Low</v>
      </c>
    </row>
    <row r="732" spans="1:20" x14ac:dyDescent="0.25">
      <c r="A732" s="2">
        <v>2013</v>
      </c>
      <c r="B732" s="1" t="s">
        <v>927</v>
      </c>
      <c r="C732" s="1" t="s">
        <v>928</v>
      </c>
      <c r="D732" s="1" t="s">
        <v>773</v>
      </c>
      <c r="E732" s="1" t="s">
        <v>32</v>
      </c>
      <c r="F732" s="1" t="s">
        <v>20</v>
      </c>
      <c r="G732" s="1" t="s">
        <v>1244</v>
      </c>
      <c r="H732" s="1" t="s">
        <v>22</v>
      </c>
      <c r="I732" s="1">
        <v>2</v>
      </c>
      <c r="J732" s="1">
        <v>35516</v>
      </c>
      <c r="K732" s="1" t="s">
        <v>91</v>
      </c>
      <c r="L732" s="1" t="s">
        <v>34</v>
      </c>
      <c r="M732" s="1" t="s">
        <v>436</v>
      </c>
      <c r="N732" s="1">
        <v>11250</v>
      </c>
      <c r="O732" s="12">
        <v>8200</v>
      </c>
      <c r="P732" s="3" t="s">
        <v>62</v>
      </c>
      <c r="Q732" s="1" cm="1">
        <f t="array" ref="Q732">VALUE(INDEX(_xlfn.TEXTSPLIT(P732, " "), 4))</f>
        <v>2014</v>
      </c>
      <c r="R732" s="1" t="str">
        <f t="shared" si="11"/>
        <v>Toyota Corolla L</v>
      </c>
      <c r="S732" s="1" t="str" cm="1">
        <f t="array" ref="S732">_xlfn.IFS(I732 &gt;= 40, "High", I732&gt;=20, "Medium", I732&lt;20, "Low")</f>
        <v>Low</v>
      </c>
      <c r="T732" s="1" t="str" cm="1">
        <f t="array" ref="T732">_xlfn.IFS(O732&lt;18200, "Low", O732&lt;=50000, "Medium", O732&gt;50000, "High")</f>
        <v>Low</v>
      </c>
    </row>
    <row r="733" spans="1:20" x14ac:dyDescent="0.25">
      <c r="A733" s="2">
        <v>2013</v>
      </c>
      <c r="B733" s="1" t="s">
        <v>47</v>
      </c>
      <c r="C733" s="1" t="s">
        <v>940</v>
      </c>
      <c r="D733" s="1" t="s">
        <v>1214</v>
      </c>
      <c r="E733" s="1" t="s">
        <v>32</v>
      </c>
      <c r="F733" s="1" t="s">
        <v>20</v>
      </c>
      <c r="G733" s="1" t="s">
        <v>1245</v>
      </c>
      <c r="H733" s="1" t="s">
        <v>22</v>
      </c>
      <c r="I733" s="1">
        <v>33</v>
      </c>
      <c r="J733" s="1">
        <v>42704</v>
      </c>
      <c r="K733" s="1" t="s">
        <v>24</v>
      </c>
      <c r="L733" s="1" t="s">
        <v>24</v>
      </c>
      <c r="M733" s="1" t="s">
        <v>728</v>
      </c>
      <c r="N733" s="1">
        <v>10750</v>
      </c>
      <c r="O733" s="12">
        <v>10700</v>
      </c>
      <c r="P733" s="3" t="s">
        <v>57</v>
      </c>
      <c r="Q733" s="1" cm="1">
        <f t="array" ref="Q733">VALUE(INDEX(_xlfn.TEXTSPLIT(P733, " "), 4))</f>
        <v>2014</v>
      </c>
      <c r="R733" s="1" t="str">
        <f t="shared" si="11"/>
        <v>Nissan Sentra FE+ SV</v>
      </c>
      <c r="S733" s="1" t="str" cm="1">
        <f t="array" ref="S733">_xlfn.IFS(I733 &gt;= 40, "High", I733&gt;=20, "Medium", I733&lt;20, "Low")</f>
        <v>Medium</v>
      </c>
      <c r="T733" s="1" t="str" cm="1">
        <f t="array" ref="T733">_xlfn.IFS(O733&lt;18200, "Low", O733&lt;=50000, "Medium", O733&gt;50000, "High")</f>
        <v>Low</v>
      </c>
    </row>
    <row r="734" spans="1:20" x14ac:dyDescent="0.25">
      <c r="A734" s="2">
        <v>2013</v>
      </c>
      <c r="B734" s="1" t="s">
        <v>47</v>
      </c>
      <c r="C734" s="1" t="s">
        <v>944</v>
      </c>
      <c r="D734" s="1" t="s">
        <v>936</v>
      </c>
      <c r="E734" s="1" t="s">
        <v>19</v>
      </c>
      <c r="F734" s="1" t="s">
        <v>20</v>
      </c>
      <c r="G734" s="1" t="s">
        <v>1246</v>
      </c>
      <c r="H734" s="1" t="s">
        <v>22</v>
      </c>
      <c r="I734" s="1">
        <v>37</v>
      </c>
      <c r="J734" s="1">
        <v>34651</v>
      </c>
      <c r="K734" s="1" t="s">
        <v>23</v>
      </c>
      <c r="L734" s="1" t="s">
        <v>34</v>
      </c>
      <c r="M734" s="1" t="s">
        <v>495</v>
      </c>
      <c r="N734" s="1">
        <v>14300</v>
      </c>
      <c r="O734" s="12">
        <v>14900</v>
      </c>
      <c r="P734" s="3" t="s">
        <v>270</v>
      </c>
      <c r="Q734" s="1" cm="1">
        <f t="array" ref="Q734">VALUE(INDEX(_xlfn.TEXTSPLIT(P734, " "), 4))</f>
        <v>2014</v>
      </c>
      <c r="R734" s="1" t="str">
        <f t="shared" si="11"/>
        <v>Nissan Rogue S</v>
      </c>
      <c r="S734" s="1" t="str" cm="1">
        <f t="array" ref="S734">_xlfn.IFS(I734 &gt;= 40, "High", I734&gt;=20, "Medium", I734&lt;20, "Low")</f>
        <v>Medium</v>
      </c>
      <c r="T734" s="1" t="str" cm="1">
        <f t="array" ref="T734">_xlfn.IFS(O734&lt;18200, "Low", O734&lt;=50000, "Medium", O734&gt;50000, "High")</f>
        <v>Low</v>
      </c>
    </row>
    <row r="735" spans="1:20" x14ac:dyDescent="0.25">
      <c r="A735" s="2">
        <v>2013</v>
      </c>
      <c r="B735" s="1" t="s">
        <v>37</v>
      </c>
      <c r="C735" s="1" t="s">
        <v>38</v>
      </c>
      <c r="D735" s="1" t="s">
        <v>39</v>
      </c>
      <c r="E735" s="1" t="s">
        <v>32</v>
      </c>
      <c r="F735" s="1" t="s">
        <v>20</v>
      </c>
      <c r="G735" s="1" t="s">
        <v>1247</v>
      </c>
      <c r="H735" s="1" t="s">
        <v>22</v>
      </c>
      <c r="I735" s="1">
        <v>37</v>
      </c>
      <c r="J735" s="1">
        <v>27368</v>
      </c>
      <c r="K735" s="1" t="s">
        <v>23</v>
      </c>
      <c r="L735" s="1" t="s">
        <v>24</v>
      </c>
      <c r="M735" s="1" t="s">
        <v>1113</v>
      </c>
      <c r="N735" s="1">
        <v>18550</v>
      </c>
      <c r="O735" s="12">
        <v>19000</v>
      </c>
      <c r="P735" s="3" t="s">
        <v>46</v>
      </c>
      <c r="Q735" s="1" cm="1">
        <f t="array" ref="Q735">VALUE(INDEX(_xlfn.TEXTSPLIT(P735, " "), 4))</f>
        <v>2014</v>
      </c>
      <c r="R735" s="1" t="str">
        <f t="shared" si="11"/>
        <v>Volvo S60 T5</v>
      </c>
      <c r="S735" s="1" t="str" cm="1">
        <f t="array" ref="S735">_xlfn.IFS(I735 &gt;= 40, "High", I735&gt;=20, "Medium", I735&lt;20, "Low")</f>
        <v>Medium</v>
      </c>
      <c r="T735" s="1" t="str" cm="1">
        <f t="array" ref="T735">_xlfn.IFS(O735&lt;18200, "Low", O735&lt;=50000, "Medium", O735&gt;50000, "High")</f>
        <v>Medium</v>
      </c>
    </row>
    <row r="736" spans="1:20" x14ac:dyDescent="0.25">
      <c r="A736" s="2">
        <v>2013</v>
      </c>
      <c r="B736" s="1" t="s">
        <v>47</v>
      </c>
      <c r="C736" s="1" t="s">
        <v>212</v>
      </c>
      <c r="D736" s="1" t="s">
        <v>988</v>
      </c>
      <c r="E736" s="1" t="s">
        <v>32</v>
      </c>
      <c r="F736" s="1" t="s">
        <v>20</v>
      </c>
      <c r="G736" s="1" t="s">
        <v>1248</v>
      </c>
      <c r="H736" s="1" t="s">
        <v>22</v>
      </c>
      <c r="I736" s="1">
        <v>37</v>
      </c>
      <c r="J736" s="1">
        <v>24984</v>
      </c>
      <c r="K736" s="1" t="s">
        <v>91</v>
      </c>
      <c r="L736" s="1" t="s">
        <v>24</v>
      </c>
      <c r="M736" s="1" t="s">
        <v>1249</v>
      </c>
      <c r="N736" s="1">
        <v>10200</v>
      </c>
      <c r="O736" s="12">
        <v>9200</v>
      </c>
      <c r="P736" s="3" t="s">
        <v>362</v>
      </c>
      <c r="Q736" s="1" cm="1">
        <f t="array" ref="Q736">VALUE(INDEX(_xlfn.TEXTSPLIT(P736, " "), 4))</f>
        <v>2014</v>
      </c>
      <c r="R736" s="1" t="str">
        <f t="shared" si="11"/>
        <v>Nissan Versa 1.6 S Plus</v>
      </c>
      <c r="S736" s="1" t="str" cm="1">
        <f t="array" ref="S736">_xlfn.IFS(I736 &gt;= 40, "High", I736&gt;=20, "Medium", I736&lt;20, "Low")</f>
        <v>Medium</v>
      </c>
      <c r="T736" s="1" t="str" cm="1">
        <f t="array" ref="T736">_xlfn.IFS(O736&lt;18200, "Low", O736&lt;=50000, "Medium", O736&gt;50000, "High")</f>
        <v>Low</v>
      </c>
    </row>
    <row r="737" spans="1:20" x14ac:dyDescent="0.25">
      <c r="A737" s="2">
        <v>2013</v>
      </c>
      <c r="B737" s="1" t="s">
        <v>47</v>
      </c>
      <c r="C737" s="1" t="s">
        <v>1139</v>
      </c>
      <c r="D737" s="1" t="s">
        <v>936</v>
      </c>
      <c r="E737" s="1" t="s">
        <v>19</v>
      </c>
      <c r="F737" s="1" t="s">
        <v>20</v>
      </c>
      <c r="G737" s="1" t="s">
        <v>1250</v>
      </c>
      <c r="H737" s="1" t="s">
        <v>22</v>
      </c>
      <c r="I737" s="1">
        <v>38</v>
      </c>
      <c r="J737" s="1">
        <v>23629</v>
      </c>
      <c r="K737" s="1" t="s">
        <v>23</v>
      </c>
      <c r="L737" s="1" t="s">
        <v>28</v>
      </c>
      <c r="M737" s="1" t="s">
        <v>1251</v>
      </c>
      <c r="N737" s="1">
        <v>22800</v>
      </c>
      <c r="O737" s="12">
        <v>18900</v>
      </c>
      <c r="P737" s="3" t="s">
        <v>57</v>
      </c>
      <c r="Q737" s="1" cm="1">
        <f t="array" ref="Q737">VALUE(INDEX(_xlfn.TEXTSPLIT(P737, " "), 4))</f>
        <v>2014</v>
      </c>
      <c r="R737" s="1" t="str">
        <f t="shared" si="11"/>
        <v>Nissan Murano S</v>
      </c>
      <c r="S737" s="1" t="str" cm="1">
        <f t="array" ref="S737">_xlfn.IFS(I737 &gt;= 40, "High", I737&gt;=20, "Medium", I737&lt;20, "Low")</f>
        <v>Medium</v>
      </c>
      <c r="T737" s="1" t="str" cm="1">
        <f t="array" ref="T737">_xlfn.IFS(O737&lt;18200, "Low", O737&lt;=50000, "Medium", O737&gt;50000, "High")</f>
        <v>Medium</v>
      </c>
    </row>
    <row r="738" spans="1:20" x14ac:dyDescent="0.25">
      <c r="A738" s="2">
        <v>2013</v>
      </c>
      <c r="B738" s="1" t="s">
        <v>47</v>
      </c>
      <c r="C738" s="1" t="s">
        <v>1146</v>
      </c>
      <c r="D738" s="1" t="s">
        <v>1062</v>
      </c>
      <c r="E738" s="1" t="s">
        <v>19</v>
      </c>
      <c r="F738" s="1" t="s">
        <v>20</v>
      </c>
      <c r="G738" s="1" t="s">
        <v>1252</v>
      </c>
      <c r="H738" s="1" t="s">
        <v>22</v>
      </c>
      <c r="I738" s="1">
        <v>45</v>
      </c>
      <c r="J738" s="1">
        <v>19742</v>
      </c>
      <c r="K738" s="1" t="s">
        <v>23</v>
      </c>
      <c r="L738" s="1" t="s">
        <v>24</v>
      </c>
      <c r="M738" s="1" t="s">
        <v>217</v>
      </c>
      <c r="N738" s="1">
        <v>21400</v>
      </c>
      <c r="O738" s="12">
        <v>22500</v>
      </c>
      <c r="P738" s="3" t="s">
        <v>26</v>
      </c>
      <c r="Q738" s="1" cm="1">
        <f t="array" ref="Q738">VALUE(INDEX(_xlfn.TEXTSPLIT(P738, " "), 4))</f>
        <v>2014</v>
      </c>
      <c r="R738" s="1" t="str">
        <f t="shared" si="11"/>
        <v>Nissan Pathfinder SV</v>
      </c>
      <c r="S738" s="1" t="str" cm="1">
        <f t="array" ref="S738">_xlfn.IFS(I738 &gt;= 40, "High", I738&gt;=20, "Medium", I738&lt;20, "Low")</f>
        <v>High</v>
      </c>
      <c r="T738" s="1" t="str" cm="1">
        <f t="array" ref="T738">_xlfn.IFS(O738&lt;18200, "Low", O738&lt;=50000, "Medium", O738&gt;50000, "High")</f>
        <v>Medium</v>
      </c>
    </row>
    <row r="739" spans="1:20" x14ac:dyDescent="0.25">
      <c r="A739" s="2">
        <v>2013</v>
      </c>
      <c r="B739" s="1" t="s">
        <v>921</v>
      </c>
      <c r="C739" s="1" t="s">
        <v>922</v>
      </c>
      <c r="D739" s="1" t="s">
        <v>923</v>
      </c>
      <c r="E739" s="1" t="s">
        <v>32</v>
      </c>
      <c r="F739" s="1" t="s">
        <v>20</v>
      </c>
      <c r="G739" s="1" t="s">
        <v>1253</v>
      </c>
      <c r="H739" s="1" t="s">
        <v>22</v>
      </c>
      <c r="I739" s="1">
        <v>36</v>
      </c>
      <c r="J739" s="1">
        <v>39556</v>
      </c>
      <c r="K739" s="1" t="s">
        <v>91</v>
      </c>
      <c r="L739" s="1" t="s">
        <v>24</v>
      </c>
      <c r="M739" s="1" t="s">
        <v>182</v>
      </c>
      <c r="N739" s="1">
        <v>13250</v>
      </c>
      <c r="O739" s="12">
        <v>12000</v>
      </c>
      <c r="P739" s="3" t="s">
        <v>183</v>
      </c>
      <c r="Q739" s="1" cm="1">
        <f t="array" ref="Q739">VALUE(INDEX(_xlfn.TEXTSPLIT(P739, " "), 4))</f>
        <v>2015</v>
      </c>
      <c r="R739" s="1" t="str">
        <f t="shared" si="11"/>
        <v>Volkswagen Passat SE PZEV</v>
      </c>
      <c r="S739" s="1" t="str" cm="1">
        <f t="array" ref="S739">_xlfn.IFS(I739 &gt;= 40, "High", I739&gt;=20, "Medium", I739&lt;20, "Low")</f>
        <v>Medium</v>
      </c>
      <c r="T739" s="1" t="str" cm="1">
        <f t="array" ref="T739">_xlfn.IFS(O739&lt;18200, "Low", O739&lt;=50000, "Medium", O739&gt;50000, "High")</f>
        <v>Low</v>
      </c>
    </row>
    <row r="740" spans="1:20" x14ac:dyDescent="0.25">
      <c r="A740" s="2">
        <v>2013</v>
      </c>
      <c r="B740" s="1" t="s">
        <v>47</v>
      </c>
      <c r="C740" s="1" t="s">
        <v>1139</v>
      </c>
      <c r="D740" s="1" t="s">
        <v>960</v>
      </c>
      <c r="E740" s="1" t="s">
        <v>19</v>
      </c>
      <c r="F740" s="1" t="s">
        <v>20</v>
      </c>
      <c r="G740" s="1" t="s">
        <v>1254</v>
      </c>
      <c r="H740" s="1" t="s">
        <v>22</v>
      </c>
      <c r="I740" s="1">
        <v>44</v>
      </c>
      <c r="J740" s="1">
        <v>14805</v>
      </c>
      <c r="K740" s="1" t="s">
        <v>34</v>
      </c>
      <c r="L740" s="1" t="s">
        <v>24</v>
      </c>
      <c r="M740" s="1" t="s">
        <v>984</v>
      </c>
      <c r="N740" s="1">
        <v>24100</v>
      </c>
      <c r="O740" s="12">
        <v>25250</v>
      </c>
      <c r="P740" s="3" t="s">
        <v>57</v>
      </c>
      <c r="Q740" s="1" cm="1">
        <f t="array" ref="Q740">VALUE(INDEX(_xlfn.TEXTSPLIT(P740, " "), 4))</f>
        <v>2014</v>
      </c>
      <c r="R740" s="1" t="str">
        <f t="shared" si="11"/>
        <v>Nissan Murano SL</v>
      </c>
      <c r="S740" s="1" t="str" cm="1">
        <f t="array" ref="S740">_xlfn.IFS(I740 &gt;= 40, "High", I740&gt;=20, "Medium", I740&lt;20, "Low")</f>
        <v>High</v>
      </c>
      <c r="T740" s="1" t="str" cm="1">
        <f t="array" ref="T740">_xlfn.IFS(O740&lt;18200, "Low", O740&lt;=50000, "Medium", O740&gt;50000, "High")</f>
        <v>Medium</v>
      </c>
    </row>
    <row r="741" spans="1:20" x14ac:dyDescent="0.25">
      <c r="A741" s="2">
        <v>2013</v>
      </c>
      <c r="B741" s="1" t="s">
        <v>47</v>
      </c>
      <c r="C741" s="1" t="s">
        <v>1014</v>
      </c>
      <c r="D741" s="1" t="s">
        <v>1062</v>
      </c>
      <c r="E741" s="1" t="s">
        <v>738</v>
      </c>
      <c r="F741" s="1"/>
      <c r="G741" s="1" t="s">
        <v>1255</v>
      </c>
      <c r="H741" s="1" t="s">
        <v>22</v>
      </c>
      <c r="I741" s="1">
        <v>41</v>
      </c>
      <c r="J741" s="1">
        <v>27948</v>
      </c>
      <c r="K741" s="1" t="s">
        <v>34</v>
      </c>
      <c r="L741" s="1" t="s">
        <v>34</v>
      </c>
      <c r="M741" s="1" t="s">
        <v>651</v>
      </c>
      <c r="N741" s="1">
        <v>22300</v>
      </c>
      <c r="O741" s="12">
        <v>20750</v>
      </c>
      <c r="P741" s="3" t="s">
        <v>26</v>
      </c>
      <c r="Q741" s="1" cm="1">
        <f t="array" ref="Q741">VALUE(INDEX(_xlfn.TEXTSPLIT(P741, " "), 4))</f>
        <v>2014</v>
      </c>
      <c r="R741" s="1" t="str">
        <f t="shared" si="11"/>
        <v>Nissan Quest SV</v>
      </c>
      <c r="S741" s="1" t="str" cm="1">
        <f t="array" ref="S741">_xlfn.IFS(I741 &gt;= 40, "High", I741&gt;=20, "Medium", I741&lt;20, "Low")</f>
        <v>High</v>
      </c>
      <c r="T741" s="1" t="str" cm="1">
        <f t="array" ref="T741">_xlfn.IFS(O741&lt;18200, "Low", O741&lt;=50000, "Medium", O741&gt;50000, "High")</f>
        <v>Medium</v>
      </c>
    </row>
    <row r="742" spans="1:20" x14ac:dyDescent="0.25">
      <c r="A742" s="2">
        <v>2013</v>
      </c>
      <c r="B742" s="1" t="s">
        <v>927</v>
      </c>
      <c r="C742" s="1" t="s">
        <v>963</v>
      </c>
      <c r="D742" s="1" t="s">
        <v>773</v>
      </c>
      <c r="E742" s="1" t="s">
        <v>32</v>
      </c>
      <c r="F742" s="1" t="s">
        <v>20</v>
      </c>
      <c r="G742" s="1" t="s">
        <v>1256</v>
      </c>
      <c r="H742" s="1" t="s">
        <v>22</v>
      </c>
      <c r="I742" s="1">
        <v>2</v>
      </c>
      <c r="J742" s="1">
        <v>31300</v>
      </c>
      <c r="K742" s="1" t="s">
        <v>91</v>
      </c>
      <c r="L742" s="1" t="s">
        <v>24</v>
      </c>
      <c r="M742" s="1" t="s">
        <v>51</v>
      </c>
      <c r="N742" s="1">
        <v>13350</v>
      </c>
      <c r="O742" s="12">
        <v>11200</v>
      </c>
      <c r="P742" s="3" t="s">
        <v>62</v>
      </c>
      <c r="Q742" s="1" cm="1">
        <f t="array" ref="Q742">VALUE(INDEX(_xlfn.TEXTSPLIT(P742, " "), 4))</f>
        <v>2014</v>
      </c>
      <c r="R742" s="1" t="str">
        <f t="shared" si="11"/>
        <v>Toyota Camry L</v>
      </c>
      <c r="S742" s="1" t="str" cm="1">
        <f t="array" ref="S742">_xlfn.IFS(I742 &gt;= 40, "High", I742&gt;=20, "Medium", I742&lt;20, "Low")</f>
        <v>Low</v>
      </c>
      <c r="T742" s="1" t="str" cm="1">
        <f t="array" ref="T742">_xlfn.IFS(O742&lt;18200, "Low", O742&lt;=50000, "Medium", O742&gt;50000, "High")</f>
        <v>Low</v>
      </c>
    </row>
    <row r="743" spans="1:20" x14ac:dyDescent="0.25">
      <c r="A743" s="2">
        <v>2013</v>
      </c>
      <c r="B743" s="1" t="s">
        <v>47</v>
      </c>
      <c r="C743" s="1" t="s">
        <v>1030</v>
      </c>
      <c r="D743" s="1" t="s">
        <v>1031</v>
      </c>
      <c r="E743" s="1" t="s">
        <v>32</v>
      </c>
      <c r="F743" s="1" t="s">
        <v>20</v>
      </c>
      <c r="G743" s="1" t="s">
        <v>1257</v>
      </c>
      <c r="H743" s="1" t="s">
        <v>22</v>
      </c>
      <c r="I743" s="1">
        <v>44</v>
      </c>
      <c r="J743" s="1">
        <v>14421</v>
      </c>
      <c r="K743" s="1" t="s">
        <v>23</v>
      </c>
      <c r="L743" s="1" t="s">
        <v>82</v>
      </c>
      <c r="M743" s="1" t="s">
        <v>984</v>
      </c>
      <c r="N743" s="1">
        <v>21300</v>
      </c>
      <c r="O743" s="12">
        <v>20000</v>
      </c>
      <c r="P743" s="3" t="s">
        <v>26</v>
      </c>
      <c r="Q743" s="1" cm="1">
        <f t="array" ref="Q743">VALUE(INDEX(_xlfn.TEXTSPLIT(P743, " "), 4))</f>
        <v>2014</v>
      </c>
      <c r="R743" s="1" t="str">
        <f t="shared" si="11"/>
        <v>Nissan Maxima 3.5 SV</v>
      </c>
      <c r="S743" s="1" t="str" cm="1">
        <f t="array" ref="S743">_xlfn.IFS(I743 &gt;= 40, "High", I743&gt;=20, "Medium", I743&lt;20, "Low")</f>
        <v>High</v>
      </c>
      <c r="T743" s="1" t="str" cm="1">
        <f t="array" ref="T743">_xlfn.IFS(O743&lt;18200, "Low", O743&lt;=50000, "Medium", O743&gt;50000, "High")</f>
        <v>Medium</v>
      </c>
    </row>
    <row r="744" spans="1:20" x14ac:dyDescent="0.25">
      <c r="A744" s="2">
        <v>2012</v>
      </c>
      <c r="B744" s="1"/>
      <c r="C744" s="1"/>
      <c r="D744" s="1"/>
      <c r="E744" s="1"/>
      <c r="F744" s="1" t="s">
        <v>20</v>
      </c>
      <c r="G744" s="1" t="s">
        <v>1258</v>
      </c>
      <c r="H744" s="1" t="s">
        <v>22</v>
      </c>
      <c r="I744" s="1">
        <v>38</v>
      </c>
      <c r="J744" s="1">
        <v>23208</v>
      </c>
      <c r="K744" s="1" t="s">
        <v>34</v>
      </c>
      <c r="L744" s="1" t="s">
        <v>24</v>
      </c>
      <c r="M744" s="1" t="s">
        <v>35</v>
      </c>
      <c r="N744" s="1">
        <v>47200</v>
      </c>
      <c r="O744" s="12">
        <v>46000</v>
      </c>
      <c r="P744" s="3" t="s">
        <v>133</v>
      </c>
      <c r="Q744" s="1" cm="1">
        <f t="array" ref="Q744">VALUE(INDEX(_xlfn.TEXTSPLIT(P744, " "), 4))</f>
        <v>2015</v>
      </c>
      <c r="R744" s="1" t="str">
        <f t="shared" si="11"/>
        <v/>
      </c>
      <c r="S744" s="1" t="str" cm="1">
        <f t="array" ref="S744">_xlfn.IFS(I744 &gt;= 40, "High", I744&gt;=20, "Medium", I744&lt;20, "Low")</f>
        <v>Medium</v>
      </c>
      <c r="T744" s="1" t="str" cm="1">
        <f t="array" ref="T744">_xlfn.IFS(O744&lt;18200, "Low", O744&lt;=50000, "Medium", O744&gt;50000, "High")</f>
        <v>Medium</v>
      </c>
    </row>
    <row r="745" spans="1:20" x14ac:dyDescent="0.25">
      <c r="A745" s="2">
        <v>2012</v>
      </c>
      <c r="B745" s="1" t="s">
        <v>1259</v>
      </c>
      <c r="C745" s="1" t="s">
        <v>1260</v>
      </c>
      <c r="D745" s="1" t="s">
        <v>1261</v>
      </c>
      <c r="E745" s="1"/>
      <c r="F745" s="1" t="s">
        <v>20</v>
      </c>
      <c r="G745" s="1" t="s">
        <v>1262</v>
      </c>
      <c r="H745" s="1" t="s">
        <v>22</v>
      </c>
      <c r="I745" s="1">
        <v>4</v>
      </c>
      <c r="J745" s="1">
        <v>50790</v>
      </c>
      <c r="K745" s="1" t="s">
        <v>34</v>
      </c>
      <c r="L745" s="1" t="s">
        <v>24</v>
      </c>
      <c r="M745" s="1" t="s">
        <v>35</v>
      </c>
      <c r="N745" s="1">
        <v>33900</v>
      </c>
      <c r="O745" s="12">
        <v>33500</v>
      </c>
      <c r="P745" s="3" t="s">
        <v>46</v>
      </c>
      <c r="Q745" s="1" cm="1">
        <f t="array" ref="Q745">VALUE(INDEX(_xlfn.TEXTSPLIT(P745, " "), 4))</f>
        <v>2014</v>
      </c>
      <c r="R745" s="1" t="str">
        <f t="shared" si="11"/>
        <v>bmw 750i xdr 750i xdriv</v>
      </c>
      <c r="S745" s="1" t="str" cm="1">
        <f t="array" ref="S745">_xlfn.IFS(I745 &gt;= 40, "High", I745&gt;=20, "Medium", I745&lt;20, "Low")</f>
        <v>Low</v>
      </c>
      <c r="T745" s="1" t="str" cm="1">
        <f t="array" ref="T745">_xlfn.IFS(O745&lt;18200, "Low", O745&lt;=50000, "Medium", O745&gt;50000, "High")</f>
        <v>Medium</v>
      </c>
    </row>
    <row r="746" spans="1:20" x14ac:dyDescent="0.25">
      <c r="A746" s="2">
        <v>2012</v>
      </c>
      <c r="B746" s="1" t="s">
        <v>29</v>
      </c>
      <c r="C746" s="1" t="s">
        <v>111</v>
      </c>
      <c r="D746" s="1" t="s">
        <v>44</v>
      </c>
      <c r="E746" s="1" t="s">
        <v>71</v>
      </c>
      <c r="F746" s="1" t="s">
        <v>20</v>
      </c>
      <c r="G746" s="1" t="s">
        <v>1263</v>
      </c>
      <c r="H746" s="1" t="s">
        <v>22</v>
      </c>
      <c r="I746" s="1">
        <v>38</v>
      </c>
      <c r="J746" s="1">
        <v>28925</v>
      </c>
      <c r="K746" s="1" t="s">
        <v>23</v>
      </c>
      <c r="L746" s="1" t="s">
        <v>24</v>
      </c>
      <c r="M746" s="1" t="s">
        <v>35</v>
      </c>
      <c r="N746" s="1">
        <v>48500</v>
      </c>
      <c r="O746" s="12">
        <v>50500</v>
      </c>
      <c r="P746" s="3" t="s">
        <v>46</v>
      </c>
      <c r="Q746" s="1" cm="1">
        <f t="array" ref="Q746">VALUE(INDEX(_xlfn.TEXTSPLIT(P746, " "), 4))</f>
        <v>2014</v>
      </c>
      <c r="R746" s="1" t="str">
        <f t="shared" si="11"/>
        <v>BMW 6 Series 650i</v>
      </c>
      <c r="S746" s="1" t="str" cm="1">
        <f t="array" ref="S746">_xlfn.IFS(I746 &gt;= 40, "High", I746&gt;=20, "Medium", I746&lt;20, "Low")</f>
        <v>Medium</v>
      </c>
      <c r="T746" s="1" t="str" cm="1">
        <f t="array" ref="T746">_xlfn.IFS(O746&lt;18200, "Low", O746&lt;=50000, "Medium", O746&gt;50000, "High")</f>
        <v>High</v>
      </c>
    </row>
    <row r="747" spans="1:20" x14ac:dyDescent="0.25">
      <c r="A747" s="2">
        <v>2012</v>
      </c>
      <c r="B747" s="1" t="s">
        <v>184</v>
      </c>
      <c r="C747" s="1" t="s">
        <v>1264</v>
      </c>
      <c r="D747" s="1" t="s">
        <v>54</v>
      </c>
      <c r="E747" s="1" t="s">
        <v>32</v>
      </c>
      <c r="F747" s="1" t="s">
        <v>20</v>
      </c>
      <c r="G747" s="1" t="s">
        <v>1265</v>
      </c>
      <c r="H747" s="1" t="s">
        <v>22</v>
      </c>
      <c r="I747" s="1">
        <v>39</v>
      </c>
      <c r="J747" s="1">
        <v>43127</v>
      </c>
      <c r="K747" s="1" t="s">
        <v>24</v>
      </c>
      <c r="L747" s="1" t="s">
        <v>24</v>
      </c>
      <c r="M747" s="1" t="s">
        <v>1266</v>
      </c>
      <c r="N747" s="1">
        <v>16450</v>
      </c>
      <c r="O747" s="12">
        <v>17800</v>
      </c>
      <c r="P747" s="3" t="s">
        <v>68</v>
      </c>
      <c r="Q747" s="1" cm="1">
        <f t="array" ref="Q747">VALUE(INDEX(_xlfn.TEXTSPLIT(P747, " "), 4))</f>
        <v>2014</v>
      </c>
      <c r="R747" s="1" t="str">
        <f t="shared" si="11"/>
        <v>Acura TSX Base</v>
      </c>
      <c r="S747" s="1" t="str" cm="1">
        <f t="array" ref="S747">_xlfn.IFS(I747 &gt;= 40, "High", I747&gt;=20, "Medium", I747&lt;20, "Low")</f>
        <v>Medium</v>
      </c>
      <c r="T747" s="1" t="str" cm="1">
        <f t="array" ref="T747">_xlfn.IFS(O747&lt;18200, "Low", O747&lt;=50000, "Medium", O747&gt;50000, "High")</f>
        <v>Low</v>
      </c>
    </row>
    <row r="748" spans="1:20" x14ac:dyDescent="0.25">
      <c r="A748" s="2">
        <v>2012</v>
      </c>
      <c r="B748" s="1" t="s">
        <v>29</v>
      </c>
      <c r="C748" s="1" t="s">
        <v>111</v>
      </c>
      <c r="D748" s="1" t="s">
        <v>44</v>
      </c>
      <c r="E748" s="1" t="s">
        <v>71</v>
      </c>
      <c r="F748" s="1"/>
      <c r="G748" s="1" t="s">
        <v>1267</v>
      </c>
      <c r="H748" s="1" t="s">
        <v>22</v>
      </c>
      <c r="I748" s="1">
        <v>46</v>
      </c>
      <c r="J748" s="1">
        <v>16381</v>
      </c>
      <c r="K748" s="1" t="s">
        <v>34</v>
      </c>
      <c r="L748" s="1" t="s">
        <v>24</v>
      </c>
      <c r="M748" s="1" t="s">
        <v>35</v>
      </c>
      <c r="N748" s="1">
        <v>48200</v>
      </c>
      <c r="O748" s="12">
        <v>46500</v>
      </c>
      <c r="P748" s="3" t="s">
        <v>135</v>
      </c>
      <c r="Q748" s="1" cm="1">
        <f t="array" ref="Q748">VALUE(INDEX(_xlfn.TEXTSPLIT(P748, " "), 4))</f>
        <v>2015</v>
      </c>
      <c r="R748" s="1" t="str">
        <f t="shared" si="11"/>
        <v>BMW 6 Series 650i</v>
      </c>
      <c r="S748" s="1" t="str" cm="1">
        <f t="array" ref="S748">_xlfn.IFS(I748 &gt;= 40, "High", I748&gt;=20, "Medium", I748&lt;20, "Low")</f>
        <v>High</v>
      </c>
      <c r="T748" s="1" t="str" cm="1">
        <f t="array" ref="T748">_xlfn.IFS(O748&lt;18200, "Low", O748&lt;=50000, "Medium", O748&gt;50000, "High")</f>
        <v>Medium</v>
      </c>
    </row>
    <row r="749" spans="1:20" x14ac:dyDescent="0.25">
      <c r="A749" s="2">
        <v>2012</v>
      </c>
      <c r="B749" s="1"/>
      <c r="C749" s="1"/>
      <c r="D749" s="1"/>
      <c r="E749" s="1"/>
      <c r="F749" s="1" t="s">
        <v>20</v>
      </c>
      <c r="G749" s="1" t="s">
        <v>1268</v>
      </c>
      <c r="H749" s="1" t="s">
        <v>22</v>
      </c>
      <c r="I749" s="1">
        <v>33</v>
      </c>
      <c r="J749" s="1">
        <v>19785</v>
      </c>
      <c r="K749" s="1" t="s">
        <v>28</v>
      </c>
      <c r="L749" s="1" t="s">
        <v>34</v>
      </c>
      <c r="M749" s="1" t="s">
        <v>35</v>
      </c>
      <c r="N749" s="1">
        <v>49500</v>
      </c>
      <c r="O749" s="12">
        <v>46000</v>
      </c>
      <c r="P749" s="3" t="s">
        <v>135</v>
      </c>
      <c r="Q749" s="1" cm="1">
        <f t="array" ref="Q749">VALUE(INDEX(_xlfn.TEXTSPLIT(P749, " "), 4))</f>
        <v>2015</v>
      </c>
      <c r="R749" s="1" t="str">
        <f t="shared" si="11"/>
        <v/>
      </c>
      <c r="S749" s="1" t="str" cm="1">
        <f t="array" ref="S749">_xlfn.IFS(I749 &gt;= 40, "High", I749&gt;=20, "Medium", I749&lt;20, "Low")</f>
        <v>Medium</v>
      </c>
      <c r="T749" s="1" t="str" cm="1">
        <f t="array" ref="T749">_xlfn.IFS(O749&lt;18200, "Low", O749&lt;=50000, "Medium", O749&gt;50000, "High")</f>
        <v>Medium</v>
      </c>
    </row>
    <row r="750" spans="1:20" x14ac:dyDescent="0.25">
      <c r="A750" s="2">
        <v>2012</v>
      </c>
      <c r="B750" s="1" t="s">
        <v>63</v>
      </c>
      <c r="C750" s="1" t="s">
        <v>76</v>
      </c>
      <c r="D750" s="1" t="s">
        <v>1269</v>
      </c>
      <c r="E750" s="1" t="s">
        <v>32</v>
      </c>
      <c r="F750" s="1" t="s">
        <v>20</v>
      </c>
      <c r="G750" s="1" t="s">
        <v>1270</v>
      </c>
      <c r="H750" s="1" t="s">
        <v>22</v>
      </c>
      <c r="I750" s="1">
        <v>35</v>
      </c>
      <c r="J750" s="1">
        <v>36541</v>
      </c>
      <c r="K750" s="1" t="s">
        <v>101</v>
      </c>
      <c r="L750" s="1" t="s">
        <v>28</v>
      </c>
      <c r="M750" s="1" t="s">
        <v>625</v>
      </c>
      <c r="N750" s="1">
        <v>29800</v>
      </c>
      <c r="O750" s="12">
        <v>29000</v>
      </c>
      <c r="P750" s="3" t="s">
        <v>68</v>
      </c>
      <c r="Q750" s="1" cm="1">
        <f t="array" ref="Q750">VALUE(INDEX(_xlfn.TEXTSPLIT(P750, " "), 4))</f>
        <v>2014</v>
      </c>
      <c r="R750" s="1" t="str">
        <f t="shared" si="11"/>
        <v>Audi A6 3.0T Premium quattro</v>
      </c>
      <c r="S750" s="1" t="str" cm="1">
        <f t="array" ref="S750">_xlfn.IFS(I750 &gt;= 40, "High", I750&gt;=20, "Medium", I750&lt;20, "Low")</f>
        <v>Medium</v>
      </c>
      <c r="T750" s="1" t="str" cm="1">
        <f t="array" ref="T750">_xlfn.IFS(O750&lt;18200, "Low", O750&lt;=50000, "Medium", O750&gt;50000, "High")</f>
        <v>Medium</v>
      </c>
    </row>
    <row r="751" spans="1:20" x14ac:dyDescent="0.25">
      <c r="A751" s="2">
        <v>2012</v>
      </c>
      <c r="B751" s="1" t="s">
        <v>29</v>
      </c>
      <c r="C751" s="1" t="s">
        <v>111</v>
      </c>
      <c r="D751" s="1" t="s">
        <v>44</v>
      </c>
      <c r="E751" s="1" t="s">
        <v>107</v>
      </c>
      <c r="F751" s="1" t="s">
        <v>20</v>
      </c>
      <c r="G751" s="1" t="s">
        <v>1271</v>
      </c>
      <c r="H751" s="1" t="s">
        <v>22</v>
      </c>
      <c r="I751" s="1">
        <v>47</v>
      </c>
      <c r="J751" s="1">
        <v>34941</v>
      </c>
      <c r="K751" s="1" t="s">
        <v>24</v>
      </c>
      <c r="L751" s="1" t="s">
        <v>24</v>
      </c>
      <c r="M751" s="1" t="s">
        <v>35</v>
      </c>
      <c r="N751" s="1">
        <v>42600</v>
      </c>
      <c r="O751" s="12">
        <v>42500</v>
      </c>
      <c r="P751" s="3" t="s">
        <v>46</v>
      </c>
      <c r="Q751" s="1" cm="1">
        <f t="array" ref="Q751">VALUE(INDEX(_xlfn.TEXTSPLIT(P751, " "), 4))</f>
        <v>2014</v>
      </c>
      <c r="R751" s="1" t="str">
        <f t="shared" si="11"/>
        <v>BMW 6 Series 650i</v>
      </c>
      <c r="S751" s="1" t="str" cm="1">
        <f t="array" ref="S751">_xlfn.IFS(I751 &gt;= 40, "High", I751&gt;=20, "Medium", I751&lt;20, "Low")</f>
        <v>High</v>
      </c>
      <c r="T751" s="1" t="str" cm="1">
        <f t="array" ref="T751">_xlfn.IFS(O751&lt;18200, "Low", O751&lt;=50000, "Medium", O751&gt;50000, "High")</f>
        <v>Medium</v>
      </c>
    </row>
    <row r="752" spans="1:20" x14ac:dyDescent="0.25">
      <c r="A752" s="2">
        <v>2012</v>
      </c>
      <c r="B752" s="1" t="s">
        <v>29</v>
      </c>
      <c r="C752" s="1" t="s">
        <v>117</v>
      </c>
      <c r="D752" s="1" t="s">
        <v>118</v>
      </c>
      <c r="E752" s="1" t="s">
        <v>32</v>
      </c>
      <c r="F752" s="1" t="s">
        <v>20</v>
      </c>
      <c r="G752" s="1" t="s">
        <v>1272</v>
      </c>
      <c r="H752" s="1" t="s">
        <v>22</v>
      </c>
      <c r="I752" s="1">
        <v>47</v>
      </c>
      <c r="J752" s="1">
        <v>45443</v>
      </c>
      <c r="K752" s="1" t="s">
        <v>24</v>
      </c>
      <c r="L752" s="1" t="s">
        <v>34</v>
      </c>
      <c r="M752" s="1" t="s">
        <v>35</v>
      </c>
      <c r="N752" s="1">
        <v>29500</v>
      </c>
      <c r="O752" s="12">
        <v>30500</v>
      </c>
      <c r="P752" s="3" t="s">
        <v>46</v>
      </c>
      <c r="Q752" s="1" cm="1">
        <f t="array" ref="Q752">VALUE(INDEX(_xlfn.TEXTSPLIT(P752, " "), 4))</f>
        <v>2014</v>
      </c>
      <c r="R752" s="1" t="str">
        <f t="shared" si="11"/>
        <v>BMW 5 Series 528i</v>
      </c>
      <c r="S752" s="1" t="str" cm="1">
        <f t="array" ref="S752">_xlfn.IFS(I752 &gt;= 40, "High", I752&gt;=20, "Medium", I752&lt;20, "Low")</f>
        <v>High</v>
      </c>
      <c r="T752" s="1" t="str" cm="1">
        <f t="array" ref="T752">_xlfn.IFS(O752&lt;18200, "Low", O752&lt;=50000, "Medium", O752&gt;50000, "High")</f>
        <v>Medium</v>
      </c>
    </row>
    <row r="753" spans="1:20" x14ac:dyDescent="0.25">
      <c r="A753" s="2">
        <v>2012</v>
      </c>
      <c r="B753" s="1" t="s">
        <v>29</v>
      </c>
      <c r="C753" s="1" t="s">
        <v>111</v>
      </c>
      <c r="D753" s="1" t="s">
        <v>44</v>
      </c>
      <c r="E753" s="1" t="s">
        <v>71</v>
      </c>
      <c r="F753" s="1" t="s">
        <v>20</v>
      </c>
      <c r="G753" s="1" t="s">
        <v>1273</v>
      </c>
      <c r="H753" s="1" t="s">
        <v>22</v>
      </c>
      <c r="I753" s="1">
        <v>48</v>
      </c>
      <c r="J753" s="1">
        <v>20904</v>
      </c>
      <c r="K753" s="1" t="s">
        <v>34</v>
      </c>
      <c r="L753" s="1" t="s">
        <v>24</v>
      </c>
      <c r="M753" s="1" t="s">
        <v>35</v>
      </c>
      <c r="N753" s="1">
        <v>50100</v>
      </c>
      <c r="O753" s="12">
        <v>49000</v>
      </c>
      <c r="P753" s="3" t="s">
        <v>36</v>
      </c>
      <c r="Q753" s="1" cm="1">
        <f t="array" ref="Q753">VALUE(INDEX(_xlfn.TEXTSPLIT(P753, " "), 4))</f>
        <v>2015</v>
      </c>
      <c r="R753" s="1" t="str">
        <f t="shared" si="11"/>
        <v>BMW 6 Series 650i</v>
      </c>
      <c r="S753" s="1" t="str" cm="1">
        <f t="array" ref="S753">_xlfn.IFS(I753 &gt;= 40, "High", I753&gt;=20, "Medium", I753&lt;20, "Low")</f>
        <v>High</v>
      </c>
      <c r="T753" s="1" t="str" cm="1">
        <f t="array" ref="T753">_xlfn.IFS(O753&lt;18200, "Low", O753&lt;=50000, "Medium", O753&gt;50000, "High")</f>
        <v>Medium</v>
      </c>
    </row>
    <row r="754" spans="1:20" x14ac:dyDescent="0.25">
      <c r="A754" s="2">
        <v>2012</v>
      </c>
      <c r="B754" s="1" t="s">
        <v>29</v>
      </c>
      <c r="C754" s="1" t="s">
        <v>117</v>
      </c>
      <c r="D754" s="1" t="s">
        <v>118</v>
      </c>
      <c r="E754" s="1" t="s">
        <v>32</v>
      </c>
      <c r="F754" s="1" t="s">
        <v>20</v>
      </c>
      <c r="G754" s="1" t="s">
        <v>1274</v>
      </c>
      <c r="H754" s="1" t="s">
        <v>22</v>
      </c>
      <c r="I754" s="1">
        <v>5</v>
      </c>
      <c r="J754" s="1">
        <v>54744</v>
      </c>
      <c r="K754" s="1" t="s">
        <v>24</v>
      </c>
      <c r="L754" s="1" t="s">
        <v>24</v>
      </c>
      <c r="M754" s="1" t="s">
        <v>35</v>
      </c>
      <c r="N754" s="1">
        <v>27600</v>
      </c>
      <c r="O754" s="12">
        <v>29250</v>
      </c>
      <c r="P754" s="3" t="s">
        <v>46</v>
      </c>
      <c r="Q754" s="1" cm="1">
        <f t="array" ref="Q754">VALUE(INDEX(_xlfn.TEXTSPLIT(P754, " "), 4))</f>
        <v>2014</v>
      </c>
      <c r="R754" s="1" t="str">
        <f t="shared" si="11"/>
        <v>BMW 5 Series 528i</v>
      </c>
      <c r="S754" s="1" t="str" cm="1">
        <f t="array" ref="S754">_xlfn.IFS(I754 &gt;= 40, "High", I754&gt;=20, "Medium", I754&lt;20, "Low")</f>
        <v>Low</v>
      </c>
      <c r="T754" s="1" t="str" cm="1">
        <f t="array" ref="T754">_xlfn.IFS(O754&lt;18200, "Low", O754&lt;=50000, "Medium", O754&gt;50000, "High")</f>
        <v>Medium</v>
      </c>
    </row>
    <row r="755" spans="1:20" x14ac:dyDescent="0.25">
      <c r="A755" s="2">
        <v>2012</v>
      </c>
      <c r="B755" s="1" t="s">
        <v>29</v>
      </c>
      <c r="C755" s="1" t="s">
        <v>111</v>
      </c>
      <c r="D755" s="1" t="s">
        <v>44</v>
      </c>
      <c r="E755" s="1" t="s">
        <v>107</v>
      </c>
      <c r="F755" s="1" t="s">
        <v>20</v>
      </c>
      <c r="G755" s="1" t="s">
        <v>1275</v>
      </c>
      <c r="H755" s="1" t="s">
        <v>22</v>
      </c>
      <c r="I755" s="1">
        <v>36</v>
      </c>
      <c r="J755" s="1">
        <v>24452</v>
      </c>
      <c r="K755" s="1" t="s">
        <v>23</v>
      </c>
      <c r="L755" s="1" t="s">
        <v>132</v>
      </c>
      <c r="M755" s="1" t="s">
        <v>1143</v>
      </c>
      <c r="N755" s="1">
        <v>44800</v>
      </c>
      <c r="O755" s="12">
        <v>44000</v>
      </c>
      <c r="P755" s="3" t="s">
        <v>46</v>
      </c>
      <c r="Q755" s="1" cm="1">
        <f t="array" ref="Q755">VALUE(INDEX(_xlfn.TEXTSPLIT(P755, " "), 4))</f>
        <v>2014</v>
      </c>
      <c r="R755" s="1" t="str">
        <f t="shared" si="11"/>
        <v>BMW 6 Series 650i</v>
      </c>
      <c r="S755" s="1" t="str" cm="1">
        <f t="array" ref="S755">_xlfn.IFS(I755 &gt;= 40, "High", I755&gt;=20, "Medium", I755&lt;20, "Low")</f>
        <v>Medium</v>
      </c>
      <c r="T755" s="1" t="str" cm="1">
        <f t="array" ref="T755">_xlfn.IFS(O755&lt;18200, "Low", O755&lt;=50000, "Medium", O755&gt;50000, "High")</f>
        <v>Medium</v>
      </c>
    </row>
    <row r="756" spans="1:20" x14ac:dyDescent="0.25">
      <c r="A756" s="2">
        <v>2012</v>
      </c>
      <c r="B756" s="1" t="s">
        <v>29</v>
      </c>
      <c r="C756" s="1" t="s">
        <v>1276</v>
      </c>
      <c r="D756" s="1" t="s">
        <v>1277</v>
      </c>
      <c r="E756" s="1" t="s">
        <v>32</v>
      </c>
      <c r="F756" s="1" t="s">
        <v>20</v>
      </c>
      <c r="G756" s="1" t="s">
        <v>1278</v>
      </c>
      <c r="H756" s="1" t="s">
        <v>22</v>
      </c>
      <c r="I756" s="1">
        <v>47</v>
      </c>
      <c r="J756" s="1">
        <v>17189</v>
      </c>
      <c r="K756" s="1" t="s">
        <v>24</v>
      </c>
      <c r="L756" s="1" t="s">
        <v>101</v>
      </c>
      <c r="M756" s="1" t="s">
        <v>35</v>
      </c>
      <c r="N756" s="1">
        <v>40100</v>
      </c>
      <c r="O756" s="12">
        <v>25000</v>
      </c>
      <c r="P756" s="3" t="s">
        <v>46</v>
      </c>
      <c r="Q756" s="1" cm="1">
        <f t="array" ref="Q756">VALUE(INDEX(_xlfn.TEXTSPLIT(P756, " "), 4))</f>
        <v>2014</v>
      </c>
      <c r="R756" s="1" t="str">
        <f t="shared" si="11"/>
        <v>BMW 7 Series 740i</v>
      </c>
      <c r="S756" s="1" t="str" cm="1">
        <f t="array" ref="S756">_xlfn.IFS(I756 &gt;= 40, "High", I756&gt;=20, "Medium", I756&lt;20, "Low")</f>
        <v>High</v>
      </c>
      <c r="T756" s="1" t="str" cm="1">
        <f t="array" ref="T756">_xlfn.IFS(O756&lt;18200, "Low", O756&lt;=50000, "Medium", O756&gt;50000, "High")</f>
        <v>Medium</v>
      </c>
    </row>
    <row r="757" spans="1:20" x14ac:dyDescent="0.25">
      <c r="A757" s="2">
        <v>2012</v>
      </c>
      <c r="B757" s="1" t="s">
        <v>29</v>
      </c>
      <c r="C757" s="1" t="s">
        <v>1276</v>
      </c>
      <c r="D757" s="1" t="s">
        <v>1277</v>
      </c>
      <c r="E757" s="1" t="s">
        <v>32</v>
      </c>
      <c r="F757" s="1" t="s">
        <v>20</v>
      </c>
      <c r="G757" s="1" t="s">
        <v>1279</v>
      </c>
      <c r="H757" s="1" t="s">
        <v>22</v>
      </c>
      <c r="I757" s="1">
        <v>43</v>
      </c>
      <c r="J757" s="1">
        <v>35818</v>
      </c>
      <c r="K757" s="1" t="s">
        <v>24</v>
      </c>
      <c r="L757" s="1" t="s">
        <v>24</v>
      </c>
      <c r="M757" s="1" t="s">
        <v>35</v>
      </c>
      <c r="N757" s="1">
        <v>35600</v>
      </c>
      <c r="O757" s="12">
        <v>35250</v>
      </c>
      <c r="P757" s="3" t="s">
        <v>36</v>
      </c>
      <c r="Q757" s="1" cm="1">
        <f t="array" ref="Q757">VALUE(INDEX(_xlfn.TEXTSPLIT(P757, " "), 4))</f>
        <v>2015</v>
      </c>
      <c r="R757" s="1" t="str">
        <f t="shared" si="11"/>
        <v>BMW 7 Series 740i</v>
      </c>
      <c r="S757" s="1" t="str" cm="1">
        <f t="array" ref="S757">_xlfn.IFS(I757 &gt;= 40, "High", I757&gt;=20, "Medium", I757&lt;20, "Low")</f>
        <v>High</v>
      </c>
      <c r="T757" s="1" t="str" cm="1">
        <f t="array" ref="T757">_xlfn.IFS(O757&lt;18200, "Low", O757&lt;=50000, "Medium", O757&gt;50000, "High")</f>
        <v>Medium</v>
      </c>
    </row>
    <row r="758" spans="1:20" x14ac:dyDescent="0.25">
      <c r="A758" s="2">
        <v>2012</v>
      </c>
      <c r="B758" s="1" t="s">
        <v>29</v>
      </c>
      <c r="C758" s="1" t="s">
        <v>30</v>
      </c>
      <c r="D758" s="1" t="s">
        <v>1280</v>
      </c>
      <c r="E758" s="1" t="s">
        <v>71</v>
      </c>
      <c r="F758" s="1" t="s">
        <v>20</v>
      </c>
      <c r="G758" s="1" t="s">
        <v>1281</v>
      </c>
      <c r="H758" s="1" t="s">
        <v>22</v>
      </c>
      <c r="I758" s="1">
        <v>38</v>
      </c>
      <c r="J758" s="1">
        <v>14149</v>
      </c>
      <c r="K758" s="1" t="s">
        <v>24</v>
      </c>
      <c r="L758" s="1" t="s">
        <v>24</v>
      </c>
      <c r="M758" s="1" t="s">
        <v>35</v>
      </c>
      <c r="N758" s="1">
        <v>39900</v>
      </c>
      <c r="O758" s="12">
        <v>40500</v>
      </c>
      <c r="P758" s="3" t="s">
        <v>46</v>
      </c>
      <c r="Q758" s="1" cm="1">
        <f t="array" ref="Q758">VALUE(INDEX(_xlfn.TEXTSPLIT(P758, " "), 4))</f>
        <v>2014</v>
      </c>
      <c r="R758" s="1" t="str">
        <f t="shared" si="11"/>
        <v>BMW 3 Series 335is</v>
      </c>
      <c r="S758" s="1" t="str" cm="1">
        <f t="array" ref="S758">_xlfn.IFS(I758 &gt;= 40, "High", I758&gt;=20, "Medium", I758&lt;20, "Low")</f>
        <v>Medium</v>
      </c>
      <c r="T758" s="1" t="str" cm="1">
        <f t="array" ref="T758">_xlfn.IFS(O758&lt;18200, "Low", O758&lt;=50000, "Medium", O758&gt;50000, "High")</f>
        <v>Medium</v>
      </c>
    </row>
    <row r="759" spans="1:20" x14ac:dyDescent="0.25">
      <c r="A759" s="2">
        <v>2012</v>
      </c>
      <c r="B759" s="1" t="s">
        <v>29</v>
      </c>
      <c r="C759" s="1" t="s">
        <v>30</v>
      </c>
      <c r="D759" s="1" t="s">
        <v>1282</v>
      </c>
      <c r="E759" s="1" t="s">
        <v>71</v>
      </c>
      <c r="F759" s="1" t="s">
        <v>20</v>
      </c>
      <c r="G759" s="1" t="s">
        <v>1283</v>
      </c>
      <c r="H759" s="1" t="s">
        <v>22</v>
      </c>
      <c r="I759" s="1">
        <v>31</v>
      </c>
      <c r="J759" s="1">
        <v>27675</v>
      </c>
      <c r="K759" s="1" t="s">
        <v>94</v>
      </c>
      <c r="L759" s="1" t="s">
        <v>34</v>
      </c>
      <c r="M759" s="1" t="s">
        <v>35</v>
      </c>
      <c r="N759" s="1">
        <v>28200</v>
      </c>
      <c r="O759" s="12">
        <v>25750</v>
      </c>
      <c r="P759" s="3" t="s">
        <v>42</v>
      </c>
      <c r="Q759" s="1" cm="1">
        <f t="array" ref="Q759">VALUE(INDEX(_xlfn.TEXTSPLIT(P759, " "), 4))</f>
        <v>2015</v>
      </c>
      <c r="R759" s="1" t="str">
        <f t="shared" si="11"/>
        <v>BMW 3 Series 328i</v>
      </c>
      <c r="S759" s="1" t="str" cm="1">
        <f t="array" ref="S759">_xlfn.IFS(I759 &gt;= 40, "High", I759&gt;=20, "Medium", I759&lt;20, "Low")</f>
        <v>Medium</v>
      </c>
      <c r="T759" s="1" t="str" cm="1">
        <f t="array" ref="T759">_xlfn.IFS(O759&lt;18200, "Low", O759&lt;=50000, "Medium", O759&gt;50000, "High")</f>
        <v>Medium</v>
      </c>
    </row>
    <row r="760" spans="1:20" x14ac:dyDescent="0.25">
      <c r="A760" s="2">
        <v>2012</v>
      </c>
      <c r="B760" s="1" t="s">
        <v>29</v>
      </c>
      <c r="C760" s="1" t="s">
        <v>111</v>
      </c>
      <c r="D760" s="1" t="s">
        <v>44</v>
      </c>
      <c r="E760" s="1" t="s">
        <v>71</v>
      </c>
      <c r="F760" s="1" t="s">
        <v>20</v>
      </c>
      <c r="G760" s="1" t="s">
        <v>1284</v>
      </c>
      <c r="H760" s="1" t="s">
        <v>22</v>
      </c>
      <c r="I760" s="1">
        <v>36</v>
      </c>
      <c r="J760" s="1">
        <v>24132</v>
      </c>
      <c r="K760" s="1" t="s">
        <v>24</v>
      </c>
      <c r="L760" s="1" t="s">
        <v>101</v>
      </c>
      <c r="M760" s="1" t="s">
        <v>35</v>
      </c>
      <c r="N760" s="1">
        <v>49700</v>
      </c>
      <c r="O760" s="12">
        <v>49500</v>
      </c>
      <c r="P760" s="3" t="s">
        <v>46</v>
      </c>
      <c r="Q760" s="1" cm="1">
        <f t="array" ref="Q760">VALUE(INDEX(_xlfn.TEXTSPLIT(P760, " "), 4))</f>
        <v>2014</v>
      </c>
      <c r="R760" s="1" t="str">
        <f t="shared" si="11"/>
        <v>BMW 6 Series 650i</v>
      </c>
      <c r="S760" s="1" t="str" cm="1">
        <f t="array" ref="S760">_xlfn.IFS(I760 &gt;= 40, "High", I760&gt;=20, "Medium", I760&lt;20, "Low")</f>
        <v>Medium</v>
      </c>
      <c r="T760" s="1" t="str" cm="1">
        <f t="array" ref="T760">_xlfn.IFS(O760&lt;18200, "Low", O760&lt;=50000, "Medium", O760&gt;50000, "High")</f>
        <v>Medium</v>
      </c>
    </row>
    <row r="761" spans="1:20" x14ac:dyDescent="0.25">
      <c r="A761" s="2">
        <v>2012</v>
      </c>
      <c r="B761" s="1" t="s">
        <v>29</v>
      </c>
      <c r="C761" s="1" t="s">
        <v>1285</v>
      </c>
      <c r="D761" s="1" t="s">
        <v>1286</v>
      </c>
      <c r="E761" s="1" t="s">
        <v>107</v>
      </c>
      <c r="F761" s="1" t="s">
        <v>20</v>
      </c>
      <c r="G761" s="1" t="s">
        <v>1287</v>
      </c>
      <c r="H761" s="1" t="s">
        <v>22</v>
      </c>
      <c r="I761" s="1">
        <v>41</v>
      </c>
      <c r="J761" s="1">
        <v>16288</v>
      </c>
      <c r="K761" s="1" t="s">
        <v>94</v>
      </c>
      <c r="L761" s="1" t="s">
        <v>101</v>
      </c>
      <c r="M761" s="1" t="s">
        <v>35</v>
      </c>
      <c r="N761" s="1">
        <v>26900</v>
      </c>
      <c r="O761" s="12">
        <v>27500</v>
      </c>
      <c r="P761" s="3" t="s">
        <v>46</v>
      </c>
      <c r="Q761" s="1" cm="1">
        <f t="array" ref="Q761">VALUE(INDEX(_xlfn.TEXTSPLIT(P761, " "), 4))</f>
        <v>2014</v>
      </c>
      <c r="R761" s="1" t="str">
        <f t="shared" si="11"/>
        <v>BMW 1 Series 135i</v>
      </c>
      <c r="S761" s="1" t="str" cm="1">
        <f t="array" ref="S761">_xlfn.IFS(I761 &gt;= 40, "High", I761&gt;=20, "Medium", I761&lt;20, "Low")</f>
        <v>High</v>
      </c>
      <c r="T761" s="1" t="str" cm="1">
        <f t="array" ref="T761">_xlfn.IFS(O761&lt;18200, "Low", O761&lt;=50000, "Medium", O761&gt;50000, "High")</f>
        <v>Medium</v>
      </c>
    </row>
    <row r="762" spans="1:20" x14ac:dyDescent="0.25">
      <c r="A762" s="2">
        <v>2012</v>
      </c>
      <c r="B762" s="1" t="s">
        <v>29</v>
      </c>
      <c r="C762" s="1" t="s">
        <v>111</v>
      </c>
      <c r="D762" s="1" t="s">
        <v>1288</v>
      </c>
      <c r="E762" s="1" t="s">
        <v>107</v>
      </c>
      <c r="F762" s="1" t="s">
        <v>20</v>
      </c>
      <c r="G762" s="1" t="s">
        <v>1289</v>
      </c>
      <c r="H762" s="1" t="s">
        <v>22</v>
      </c>
      <c r="I762" s="1">
        <v>44</v>
      </c>
      <c r="J762" s="1">
        <v>39628</v>
      </c>
      <c r="K762" s="1" t="s">
        <v>24</v>
      </c>
      <c r="L762" s="1" t="s">
        <v>24</v>
      </c>
      <c r="M762" s="1" t="s">
        <v>35</v>
      </c>
      <c r="N762" s="1">
        <v>42200</v>
      </c>
      <c r="O762" s="12">
        <v>42000</v>
      </c>
      <c r="P762" s="3" t="s">
        <v>46</v>
      </c>
      <c r="Q762" s="1" cm="1">
        <f t="array" ref="Q762">VALUE(INDEX(_xlfn.TEXTSPLIT(P762, " "), 4))</f>
        <v>2014</v>
      </c>
      <c r="R762" s="1" t="str">
        <f t="shared" si="11"/>
        <v>BMW 6 Series 640i</v>
      </c>
      <c r="S762" s="1" t="str" cm="1">
        <f t="array" ref="S762">_xlfn.IFS(I762 &gt;= 40, "High", I762&gt;=20, "Medium", I762&lt;20, "Low")</f>
        <v>High</v>
      </c>
      <c r="T762" s="1" t="str" cm="1">
        <f t="array" ref="T762">_xlfn.IFS(O762&lt;18200, "Low", O762&lt;=50000, "Medium", O762&gt;50000, "High")</f>
        <v>Medium</v>
      </c>
    </row>
    <row r="763" spans="1:20" x14ac:dyDescent="0.25">
      <c r="A763" s="2">
        <v>2012</v>
      </c>
      <c r="B763" s="1" t="s">
        <v>184</v>
      </c>
      <c r="C763" s="1" t="s">
        <v>1290</v>
      </c>
      <c r="D763" s="1" t="s">
        <v>54</v>
      </c>
      <c r="E763" s="1" t="s">
        <v>32</v>
      </c>
      <c r="F763" s="1" t="s">
        <v>20</v>
      </c>
      <c r="G763" s="1" t="s">
        <v>1291</v>
      </c>
      <c r="H763" s="1" t="s">
        <v>22</v>
      </c>
      <c r="I763" s="1">
        <v>41</v>
      </c>
      <c r="J763" s="1">
        <v>28395</v>
      </c>
      <c r="K763" s="1" t="s">
        <v>34</v>
      </c>
      <c r="L763" s="1" t="s">
        <v>24</v>
      </c>
      <c r="M763" s="1" t="s">
        <v>1266</v>
      </c>
      <c r="N763" s="1">
        <v>19200</v>
      </c>
      <c r="O763" s="12">
        <v>20200</v>
      </c>
      <c r="P763" s="3" t="s">
        <v>68</v>
      </c>
      <c r="Q763" s="1" cm="1">
        <f t="array" ref="Q763">VALUE(INDEX(_xlfn.TEXTSPLIT(P763, " "), 4))</f>
        <v>2014</v>
      </c>
      <c r="R763" s="1" t="str">
        <f t="shared" si="11"/>
        <v>Acura TL Base</v>
      </c>
      <c r="S763" s="1" t="str" cm="1">
        <f t="array" ref="S763">_xlfn.IFS(I763 &gt;= 40, "High", I763&gt;=20, "Medium", I763&lt;20, "Low")</f>
        <v>High</v>
      </c>
      <c r="T763" s="1" t="str" cm="1">
        <f t="array" ref="T763">_xlfn.IFS(O763&lt;18200, "Low", O763&lt;=50000, "Medium", O763&gt;50000, "High")</f>
        <v>Medium</v>
      </c>
    </row>
    <row r="764" spans="1:20" x14ac:dyDescent="0.25">
      <c r="A764" s="2">
        <v>2012</v>
      </c>
      <c r="B764" s="1" t="s">
        <v>29</v>
      </c>
      <c r="C764" s="1" t="s">
        <v>117</v>
      </c>
      <c r="D764" s="1" t="s">
        <v>1292</v>
      </c>
      <c r="E764" s="1" t="s">
        <v>32</v>
      </c>
      <c r="F764" s="1" t="s">
        <v>20</v>
      </c>
      <c r="G764" s="1" t="s">
        <v>1293</v>
      </c>
      <c r="H764" s="1" t="s">
        <v>22</v>
      </c>
      <c r="I764" s="1">
        <v>22</v>
      </c>
      <c r="J764" s="1">
        <v>28170</v>
      </c>
      <c r="K764" s="1" t="s">
        <v>34</v>
      </c>
      <c r="L764" s="1" t="s">
        <v>24</v>
      </c>
      <c r="M764" s="1" t="s">
        <v>35</v>
      </c>
      <c r="N764" s="1">
        <v>35100</v>
      </c>
      <c r="O764" s="12">
        <v>47000</v>
      </c>
      <c r="P764" s="3" t="s">
        <v>46</v>
      </c>
      <c r="Q764" s="1" cm="1">
        <f t="array" ref="Q764">VALUE(INDEX(_xlfn.TEXTSPLIT(P764, " "), 4))</f>
        <v>2014</v>
      </c>
      <c r="R764" s="1" t="str">
        <f t="shared" si="11"/>
        <v>BMW 5 Series 535i</v>
      </c>
      <c r="S764" s="1" t="str" cm="1">
        <f t="array" ref="S764">_xlfn.IFS(I764 &gt;= 40, "High", I764&gt;=20, "Medium", I764&lt;20, "Low")</f>
        <v>Medium</v>
      </c>
      <c r="T764" s="1" t="str" cm="1">
        <f t="array" ref="T764">_xlfn.IFS(O764&lt;18200, "Low", O764&lt;=50000, "Medium", O764&gt;50000, "High")</f>
        <v>Medium</v>
      </c>
    </row>
    <row r="765" spans="1:20" x14ac:dyDescent="0.25">
      <c r="A765" s="2">
        <v>2012</v>
      </c>
      <c r="B765" s="1" t="s">
        <v>29</v>
      </c>
      <c r="C765" s="1" t="s">
        <v>1276</v>
      </c>
      <c r="D765" s="1" t="s">
        <v>1277</v>
      </c>
      <c r="E765" s="1" t="s">
        <v>32</v>
      </c>
      <c r="F765" s="1" t="s">
        <v>20</v>
      </c>
      <c r="G765" s="1" t="s">
        <v>1294</v>
      </c>
      <c r="H765" s="1" t="s">
        <v>22</v>
      </c>
      <c r="I765" s="1">
        <v>33</v>
      </c>
      <c r="J765" s="1">
        <v>14769</v>
      </c>
      <c r="K765" s="1" t="s">
        <v>34</v>
      </c>
      <c r="L765" s="1" t="s">
        <v>24</v>
      </c>
      <c r="M765" s="1" t="s">
        <v>35</v>
      </c>
      <c r="N765" s="1">
        <v>39800</v>
      </c>
      <c r="O765" s="12">
        <v>34750</v>
      </c>
      <c r="P765" s="3" t="s">
        <v>365</v>
      </c>
      <c r="Q765" s="1" cm="1">
        <f t="array" ref="Q765">VALUE(INDEX(_xlfn.TEXTSPLIT(P765, " "), 4))</f>
        <v>2015</v>
      </c>
      <c r="R765" s="1" t="str">
        <f t="shared" si="11"/>
        <v>BMW 7 Series 740i</v>
      </c>
      <c r="S765" s="1" t="str" cm="1">
        <f t="array" ref="S765">_xlfn.IFS(I765 &gt;= 40, "High", I765&gt;=20, "Medium", I765&lt;20, "Low")</f>
        <v>Medium</v>
      </c>
      <c r="T765" s="1" t="str" cm="1">
        <f t="array" ref="T765">_xlfn.IFS(O765&lt;18200, "Low", O765&lt;=50000, "Medium", O765&gt;50000, "High")</f>
        <v>Medium</v>
      </c>
    </row>
    <row r="766" spans="1:20" x14ac:dyDescent="0.25">
      <c r="A766" s="2">
        <v>2012</v>
      </c>
      <c r="B766" s="1" t="s">
        <v>29</v>
      </c>
      <c r="C766" s="1" t="s">
        <v>111</v>
      </c>
      <c r="D766" s="1" t="s">
        <v>44</v>
      </c>
      <c r="E766" s="1" t="s">
        <v>71</v>
      </c>
      <c r="F766" s="1" t="s">
        <v>20</v>
      </c>
      <c r="G766" s="1" t="s">
        <v>1295</v>
      </c>
      <c r="H766" s="1" t="s">
        <v>22</v>
      </c>
      <c r="I766" s="1">
        <v>42</v>
      </c>
      <c r="J766" s="1">
        <v>34780</v>
      </c>
      <c r="K766" s="1" t="s">
        <v>24</v>
      </c>
      <c r="L766" s="1" t="s">
        <v>82</v>
      </c>
      <c r="M766" s="1" t="s">
        <v>35</v>
      </c>
      <c r="N766" s="1">
        <v>47000</v>
      </c>
      <c r="O766" s="12">
        <v>47000</v>
      </c>
      <c r="P766" s="3" t="s">
        <v>46</v>
      </c>
      <c r="Q766" s="1" cm="1">
        <f t="array" ref="Q766">VALUE(INDEX(_xlfn.TEXTSPLIT(P766, " "), 4))</f>
        <v>2014</v>
      </c>
      <c r="R766" s="1" t="str">
        <f t="shared" si="11"/>
        <v>BMW 6 Series 650i</v>
      </c>
      <c r="S766" s="1" t="str" cm="1">
        <f t="array" ref="S766">_xlfn.IFS(I766 &gt;= 40, "High", I766&gt;=20, "Medium", I766&lt;20, "Low")</f>
        <v>High</v>
      </c>
      <c r="T766" s="1" t="str" cm="1">
        <f t="array" ref="T766">_xlfn.IFS(O766&lt;18200, "Low", O766&lt;=50000, "Medium", O766&gt;50000, "High")</f>
        <v>Medium</v>
      </c>
    </row>
    <row r="767" spans="1:20" x14ac:dyDescent="0.25">
      <c r="A767" s="2">
        <v>2012</v>
      </c>
      <c r="B767" s="1" t="s">
        <v>29</v>
      </c>
      <c r="C767" s="1" t="s">
        <v>30</v>
      </c>
      <c r="D767" s="1" t="s">
        <v>1282</v>
      </c>
      <c r="E767" s="1" t="s">
        <v>71</v>
      </c>
      <c r="F767" s="1" t="s">
        <v>20</v>
      </c>
      <c r="G767" s="1" t="s">
        <v>1296</v>
      </c>
      <c r="H767" s="1" t="s">
        <v>22</v>
      </c>
      <c r="I767" s="1">
        <v>37</v>
      </c>
      <c r="J767" s="1">
        <v>35711</v>
      </c>
      <c r="K767" s="1" t="s">
        <v>94</v>
      </c>
      <c r="L767" s="1" t="s">
        <v>28</v>
      </c>
      <c r="M767" s="1" t="s">
        <v>1297</v>
      </c>
      <c r="N767" s="1">
        <v>27700</v>
      </c>
      <c r="O767" s="12">
        <v>25500</v>
      </c>
      <c r="P767" s="3" t="s">
        <v>46</v>
      </c>
      <c r="Q767" s="1" cm="1">
        <f t="array" ref="Q767">VALUE(INDEX(_xlfn.TEXTSPLIT(P767, " "), 4))</f>
        <v>2014</v>
      </c>
      <c r="R767" s="1" t="str">
        <f t="shared" si="11"/>
        <v>BMW 3 Series 328i</v>
      </c>
      <c r="S767" s="1" t="str" cm="1">
        <f t="array" ref="S767">_xlfn.IFS(I767 &gt;= 40, "High", I767&gt;=20, "Medium", I767&lt;20, "Low")</f>
        <v>Medium</v>
      </c>
      <c r="T767" s="1" t="str" cm="1">
        <f t="array" ref="T767">_xlfn.IFS(O767&lt;18200, "Low", O767&lt;=50000, "Medium", O767&gt;50000, "High")</f>
        <v>Medium</v>
      </c>
    </row>
    <row r="768" spans="1:20" x14ac:dyDescent="0.25">
      <c r="A768" s="2">
        <v>2012</v>
      </c>
      <c r="B768" s="1"/>
      <c r="C768" s="1"/>
      <c r="D768" s="1"/>
      <c r="E768" s="1"/>
      <c r="F768" s="1" t="s">
        <v>20</v>
      </c>
      <c r="G768" s="1" t="s">
        <v>1298</v>
      </c>
      <c r="H768" s="1" t="s">
        <v>22</v>
      </c>
      <c r="I768" s="1">
        <v>37</v>
      </c>
      <c r="J768" s="1">
        <v>48424</v>
      </c>
      <c r="K768" s="1" t="s">
        <v>24</v>
      </c>
      <c r="L768" s="1" t="s">
        <v>24</v>
      </c>
      <c r="M768" s="1" t="s">
        <v>35</v>
      </c>
      <c r="N768" s="1">
        <v>42300</v>
      </c>
      <c r="O768" s="12">
        <v>43000</v>
      </c>
      <c r="P768" s="3" t="s">
        <v>36</v>
      </c>
      <c r="Q768" s="1" cm="1">
        <f t="array" ref="Q768">VALUE(INDEX(_xlfn.TEXTSPLIT(P768, " "), 4))</f>
        <v>2015</v>
      </c>
      <c r="R768" s="1" t="str">
        <f t="shared" si="11"/>
        <v/>
      </c>
      <c r="S768" s="1" t="str" cm="1">
        <f t="array" ref="S768">_xlfn.IFS(I768 &gt;= 40, "High", I768&gt;=20, "Medium", I768&lt;20, "Low")</f>
        <v>Medium</v>
      </c>
      <c r="T768" s="1" t="str" cm="1">
        <f t="array" ref="T768">_xlfn.IFS(O768&lt;18200, "Low", O768&lt;=50000, "Medium", O768&gt;50000, "High")</f>
        <v>Medium</v>
      </c>
    </row>
    <row r="769" spans="1:20" x14ac:dyDescent="0.25">
      <c r="A769" s="2">
        <v>2012</v>
      </c>
      <c r="B769" s="1" t="s">
        <v>184</v>
      </c>
      <c r="C769" s="1" t="s">
        <v>1290</v>
      </c>
      <c r="D769" s="1" t="s">
        <v>54</v>
      </c>
      <c r="E769" s="1" t="s">
        <v>32</v>
      </c>
      <c r="F769" s="1" t="s">
        <v>20</v>
      </c>
      <c r="G769" s="1" t="s">
        <v>1299</v>
      </c>
      <c r="H769" s="1" t="s">
        <v>22</v>
      </c>
      <c r="I769" s="1">
        <v>44</v>
      </c>
      <c r="J769" s="1">
        <v>19669</v>
      </c>
      <c r="K769" s="1" t="s">
        <v>24</v>
      </c>
      <c r="L769" s="1" t="s">
        <v>34</v>
      </c>
      <c r="M769" s="1" t="s">
        <v>1266</v>
      </c>
      <c r="N769" s="1">
        <v>19850</v>
      </c>
      <c r="O769" s="12">
        <v>21600</v>
      </c>
      <c r="P769" s="3" t="s">
        <v>68</v>
      </c>
      <c r="Q769" s="1" cm="1">
        <f t="array" ref="Q769">VALUE(INDEX(_xlfn.TEXTSPLIT(P769, " "), 4))</f>
        <v>2014</v>
      </c>
      <c r="R769" s="1" t="str">
        <f t="shared" si="11"/>
        <v>Acura TL Base</v>
      </c>
      <c r="S769" s="1" t="str" cm="1">
        <f t="array" ref="S769">_xlfn.IFS(I769 &gt;= 40, "High", I769&gt;=20, "Medium", I769&lt;20, "Low")</f>
        <v>High</v>
      </c>
      <c r="T769" s="1" t="str" cm="1">
        <f t="array" ref="T769">_xlfn.IFS(O769&lt;18200, "Low", O769&lt;=50000, "Medium", O769&gt;50000, "High")</f>
        <v>Medium</v>
      </c>
    </row>
    <row r="770" spans="1:20" x14ac:dyDescent="0.25">
      <c r="A770" s="2">
        <v>2012</v>
      </c>
      <c r="B770" s="1" t="s">
        <v>29</v>
      </c>
      <c r="C770" s="1" t="s">
        <v>117</v>
      </c>
      <c r="D770" s="1" t="s">
        <v>118</v>
      </c>
      <c r="E770" s="1" t="s">
        <v>32</v>
      </c>
      <c r="F770" s="1" t="s">
        <v>20</v>
      </c>
      <c r="G770" s="1" t="s">
        <v>1300</v>
      </c>
      <c r="H770" s="1" t="s">
        <v>22</v>
      </c>
      <c r="I770" s="1">
        <v>48</v>
      </c>
      <c r="J770" s="1">
        <v>19782</v>
      </c>
      <c r="K770" s="1" t="s">
        <v>34</v>
      </c>
      <c r="L770" s="1" t="s">
        <v>101</v>
      </c>
      <c r="M770" s="1" t="s">
        <v>35</v>
      </c>
      <c r="N770" s="1">
        <v>32000</v>
      </c>
      <c r="O770" s="12">
        <v>31000</v>
      </c>
      <c r="P770" s="3" t="s">
        <v>42</v>
      </c>
      <c r="Q770" s="1" cm="1">
        <f t="array" ref="Q770">VALUE(INDEX(_xlfn.TEXTSPLIT(P770, " "), 4))</f>
        <v>2015</v>
      </c>
      <c r="R770" s="1" t="str">
        <f t="shared" si="11"/>
        <v>BMW 5 Series 528i</v>
      </c>
      <c r="S770" s="1" t="str" cm="1">
        <f t="array" ref="S770">_xlfn.IFS(I770 &gt;= 40, "High", I770&gt;=20, "Medium", I770&lt;20, "Low")</f>
        <v>High</v>
      </c>
      <c r="T770" s="1" t="str" cm="1">
        <f t="array" ref="T770">_xlfn.IFS(O770&lt;18200, "Low", O770&lt;=50000, "Medium", O770&gt;50000, "High")</f>
        <v>Medium</v>
      </c>
    </row>
    <row r="771" spans="1:20" x14ac:dyDescent="0.25">
      <c r="A771" s="2">
        <v>2012</v>
      </c>
      <c r="B771" s="1" t="s">
        <v>29</v>
      </c>
      <c r="C771" s="1" t="s">
        <v>1276</v>
      </c>
      <c r="D771" s="1" t="s">
        <v>1301</v>
      </c>
      <c r="E771" s="1" t="s">
        <v>32</v>
      </c>
      <c r="F771" s="1" t="s">
        <v>20</v>
      </c>
      <c r="G771" s="1" t="s">
        <v>1302</v>
      </c>
      <c r="H771" s="1" t="s">
        <v>22</v>
      </c>
      <c r="I771" s="1">
        <v>36</v>
      </c>
      <c r="J771" s="1">
        <v>32509</v>
      </c>
      <c r="K771" s="1" t="s">
        <v>23</v>
      </c>
      <c r="L771" s="1" t="s">
        <v>24</v>
      </c>
      <c r="M771" s="1" t="s">
        <v>35</v>
      </c>
      <c r="N771" s="1">
        <v>40000</v>
      </c>
      <c r="O771" s="12">
        <v>40000</v>
      </c>
      <c r="P771" s="3" t="s">
        <v>46</v>
      </c>
      <c r="Q771" s="1" cm="1">
        <f t="array" ref="Q771">VALUE(INDEX(_xlfn.TEXTSPLIT(P771, " "), 4))</f>
        <v>2014</v>
      </c>
      <c r="R771" s="1" t="str">
        <f t="shared" ref="R771:R834" si="12">_xlfn.TEXTJOIN(" ", TRUE, B771, C771, D771)</f>
        <v>BMW 7 Series 740Li</v>
      </c>
      <c r="S771" s="1" t="str" cm="1">
        <f t="array" ref="S771">_xlfn.IFS(I771 &gt;= 40, "High", I771&gt;=20, "Medium", I771&lt;20, "Low")</f>
        <v>Medium</v>
      </c>
      <c r="T771" s="1" t="str" cm="1">
        <f t="array" ref="T771">_xlfn.IFS(O771&lt;18200, "Low", O771&lt;=50000, "Medium", O771&gt;50000, "High")</f>
        <v>Medium</v>
      </c>
    </row>
    <row r="772" spans="1:20" x14ac:dyDescent="0.25">
      <c r="A772" s="2">
        <v>2012</v>
      </c>
      <c r="B772" s="1" t="s">
        <v>1259</v>
      </c>
      <c r="C772" s="1" t="s">
        <v>1303</v>
      </c>
      <c r="D772" s="1" t="s">
        <v>1303</v>
      </c>
      <c r="E772" s="1"/>
      <c r="F772" s="1" t="s">
        <v>20</v>
      </c>
      <c r="G772" s="1" t="s">
        <v>1304</v>
      </c>
      <c r="H772" s="1" t="s">
        <v>22</v>
      </c>
      <c r="I772" s="1">
        <v>37</v>
      </c>
      <c r="J772" s="1">
        <v>31762</v>
      </c>
      <c r="K772" s="1" t="s">
        <v>24</v>
      </c>
      <c r="L772" s="1" t="s">
        <v>24</v>
      </c>
      <c r="M772" s="1" t="s">
        <v>35</v>
      </c>
      <c r="N772" s="1">
        <v>45000</v>
      </c>
      <c r="O772" s="12">
        <v>45000</v>
      </c>
      <c r="P772" s="3" t="s">
        <v>46</v>
      </c>
      <c r="Q772" s="1" cm="1">
        <f t="array" ref="Q772">VALUE(INDEX(_xlfn.TEXTSPLIT(P772, " "), 4))</f>
        <v>2014</v>
      </c>
      <c r="R772" s="1" t="str">
        <f t="shared" si="12"/>
        <v>bmw 750li 750li</v>
      </c>
      <c r="S772" s="1" t="str" cm="1">
        <f t="array" ref="S772">_xlfn.IFS(I772 &gt;= 40, "High", I772&gt;=20, "Medium", I772&lt;20, "Low")</f>
        <v>Medium</v>
      </c>
      <c r="T772" s="1" t="str" cm="1">
        <f t="array" ref="T772">_xlfn.IFS(O772&lt;18200, "Low", O772&lt;=50000, "Medium", O772&gt;50000, "High")</f>
        <v>Medium</v>
      </c>
    </row>
    <row r="773" spans="1:20" x14ac:dyDescent="0.25">
      <c r="A773" s="2">
        <v>2012</v>
      </c>
      <c r="B773" s="1" t="s">
        <v>29</v>
      </c>
      <c r="C773" s="1" t="s">
        <v>117</v>
      </c>
      <c r="D773" s="1" t="s">
        <v>1305</v>
      </c>
      <c r="E773" s="1" t="s">
        <v>32</v>
      </c>
      <c r="F773" s="1" t="s">
        <v>20</v>
      </c>
      <c r="G773" s="1" t="s">
        <v>1306</v>
      </c>
      <c r="H773" s="1" t="s">
        <v>22</v>
      </c>
      <c r="I773" s="1">
        <v>21</v>
      </c>
      <c r="J773" s="1">
        <v>29808</v>
      </c>
      <c r="K773" s="1" t="s">
        <v>24</v>
      </c>
      <c r="L773" s="1" t="s">
        <v>24</v>
      </c>
      <c r="M773" s="1" t="s">
        <v>35</v>
      </c>
      <c r="N773" s="1">
        <v>30500</v>
      </c>
      <c r="O773" s="12">
        <v>26500</v>
      </c>
      <c r="P773" s="3" t="s">
        <v>365</v>
      </c>
      <c r="Q773" s="1" cm="1">
        <f t="array" ref="Q773">VALUE(INDEX(_xlfn.TEXTSPLIT(P773, " "), 4))</f>
        <v>2015</v>
      </c>
      <c r="R773" s="1" t="str">
        <f t="shared" si="12"/>
        <v>BMW 5 Series 528i xDrive</v>
      </c>
      <c r="S773" s="1" t="str" cm="1">
        <f t="array" ref="S773">_xlfn.IFS(I773 &gt;= 40, "High", I773&gt;=20, "Medium", I773&lt;20, "Low")</f>
        <v>Medium</v>
      </c>
      <c r="T773" s="1" t="str" cm="1">
        <f t="array" ref="T773">_xlfn.IFS(O773&lt;18200, "Low", O773&lt;=50000, "Medium", O773&gt;50000, "High")</f>
        <v>Medium</v>
      </c>
    </row>
    <row r="774" spans="1:20" x14ac:dyDescent="0.25">
      <c r="A774" s="2">
        <v>2012</v>
      </c>
      <c r="B774" s="1" t="s">
        <v>63</v>
      </c>
      <c r="C774" s="1" t="s">
        <v>1307</v>
      </c>
      <c r="D774" s="1" t="s">
        <v>151</v>
      </c>
      <c r="E774" s="1" t="s">
        <v>32</v>
      </c>
      <c r="F774" s="1" t="s">
        <v>20</v>
      </c>
      <c r="G774" s="1" t="s">
        <v>1308</v>
      </c>
      <c r="H774" s="1" t="s">
        <v>22</v>
      </c>
      <c r="I774" s="1">
        <v>28</v>
      </c>
      <c r="J774" s="1">
        <v>13044</v>
      </c>
      <c r="K774" s="1" t="s">
        <v>24</v>
      </c>
      <c r="L774" s="1" t="s">
        <v>24</v>
      </c>
      <c r="M774" s="1" t="s">
        <v>153</v>
      </c>
      <c r="N774" s="1">
        <v>37800</v>
      </c>
      <c r="O774" s="12">
        <v>35250</v>
      </c>
      <c r="P774" s="3" t="s">
        <v>68</v>
      </c>
      <c r="Q774" s="1" cm="1">
        <f t="array" ref="Q774">VALUE(INDEX(_xlfn.TEXTSPLIT(P774, " "), 4))</f>
        <v>2014</v>
      </c>
      <c r="R774" s="1" t="str">
        <f t="shared" si="12"/>
        <v>Audi S4 Premium Plus quattro</v>
      </c>
      <c r="S774" s="1" t="str" cm="1">
        <f t="array" ref="S774">_xlfn.IFS(I774 &gt;= 40, "High", I774&gt;=20, "Medium", I774&lt;20, "Low")</f>
        <v>Medium</v>
      </c>
      <c r="T774" s="1" t="str" cm="1">
        <f t="array" ref="T774">_xlfn.IFS(O774&lt;18200, "Low", O774&lt;=50000, "Medium", O774&gt;50000, "High")</f>
        <v>Medium</v>
      </c>
    </row>
    <row r="775" spans="1:20" x14ac:dyDescent="0.25">
      <c r="A775" s="2">
        <v>2012</v>
      </c>
      <c r="B775" s="1" t="s">
        <v>63</v>
      </c>
      <c r="C775" s="1" t="s">
        <v>1309</v>
      </c>
      <c r="D775" s="1" t="s">
        <v>1310</v>
      </c>
      <c r="E775" s="1" t="s">
        <v>32</v>
      </c>
      <c r="F775" s="1" t="s">
        <v>20</v>
      </c>
      <c r="G775" s="1" t="s">
        <v>1311</v>
      </c>
      <c r="H775" s="1" t="s">
        <v>22</v>
      </c>
      <c r="I775" s="1">
        <v>33</v>
      </c>
      <c r="J775" s="1">
        <v>36671</v>
      </c>
      <c r="K775" s="1" t="s">
        <v>24</v>
      </c>
      <c r="L775" s="1" t="s">
        <v>24</v>
      </c>
      <c r="M775" s="1" t="s">
        <v>711</v>
      </c>
      <c r="N775" s="1">
        <v>39300</v>
      </c>
      <c r="O775" s="12">
        <v>40500</v>
      </c>
      <c r="P775" s="3" t="s">
        <v>26</v>
      </c>
      <c r="Q775" s="1" cm="1">
        <f t="array" ref="Q775">VALUE(INDEX(_xlfn.TEXTSPLIT(P775, " "), 4))</f>
        <v>2014</v>
      </c>
      <c r="R775" s="1" t="str">
        <f t="shared" si="12"/>
        <v>Audi A7 Premium quattro</v>
      </c>
      <c r="S775" s="1" t="str" cm="1">
        <f t="array" ref="S775">_xlfn.IFS(I775 &gt;= 40, "High", I775&gt;=20, "Medium", I775&lt;20, "Low")</f>
        <v>Medium</v>
      </c>
      <c r="T775" s="1" t="str" cm="1">
        <f t="array" ref="T775">_xlfn.IFS(O775&lt;18200, "Low", O775&lt;=50000, "Medium", O775&gt;50000, "High")</f>
        <v>Medium</v>
      </c>
    </row>
    <row r="776" spans="1:20" x14ac:dyDescent="0.25">
      <c r="A776" s="2">
        <v>2012</v>
      </c>
      <c r="B776" s="1" t="s">
        <v>29</v>
      </c>
      <c r="C776" s="1" t="s">
        <v>30</v>
      </c>
      <c r="D776" s="1" t="s">
        <v>1312</v>
      </c>
      <c r="E776" s="1" t="s">
        <v>107</v>
      </c>
      <c r="F776" s="1" t="s">
        <v>20</v>
      </c>
      <c r="G776" s="1" t="s">
        <v>1313</v>
      </c>
      <c r="H776" s="1" t="s">
        <v>22</v>
      </c>
      <c r="I776" s="1">
        <v>45</v>
      </c>
      <c r="J776" s="1">
        <v>37632</v>
      </c>
      <c r="K776" s="1" t="s">
        <v>34</v>
      </c>
      <c r="L776" s="1" t="s">
        <v>82</v>
      </c>
      <c r="M776" s="1" t="s">
        <v>35</v>
      </c>
      <c r="N776" s="1">
        <v>30200</v>
      </c>
      <c r="O776" s="12">
        <v>32000</v>
      </c>
      <c r="P776" s="3" t="s">
        <v>46</v>
      </c>
      <c r="Q776" s="1" cm="1">
        <f t="array" ref="Q776">VALUE(INDEX(_xlfn.TEXTSPLIT(P776, " "), 4))</f>
        <v>2014</v>
      </c>
      <c r="R776" s="1" t="str">
        <f t="shared" si="12"/>
        <v>BMW 3 Series 335i</v>
      </c>
      <c r="S776" s="1" t="str" cm="1">
        <f t="array" ref="S776">_xlfn.IFS(I776 &gt;= 40, "High", I776&gt;=20, "Medium", I776&lt;20, "Low")</f>
        <v>High</v>
      </c>
      <c r="T776" s="1" t="str" cm="1">
        <f t="array" ref="T776">_xlfn.IFS(O776&lt;18200, "Low", O776&lt;=50000, "Medium", O776&gt;50000, "High")</f>
        <v>Medium</v>
      </c>
    </row>
    <row r="777" spans="1:20" x14ac:dyDescent="0.25">
      <c r="A777" s="2">
        <v>2012</v>
      </c>
      <c r="B777" s="1" t="s">
        <v>29</v>
      </c>
      <c r="C777" s="1" t="s">
        <v>117</v>
      </c>
      <c r="D777" s="1" t="s">
        <v>118</v>
      </c>
      <c r="E777" s="1" t="s">
        <v>32</v>
      </c>
      <c r="F777" s="1" t="s">
        <v>20</v>
      </c>
      <c r="G777" s="1" t="s">
        <v>1314</v>
      </c>
      <c r="H777" s="1" t="s">
        <v>22</v>
      </c>
      <c r="I777" s="1">
        <v>48</v>
      </c>
      <c r="J777" s="1">
        <v>27979</v>
      </c>
      <c r="K777" s="1" t="s">
        <v>34</v>
      </c>
      <c r="L777" s="1" t="s">
        <v>24</v>
      </c>
      <c r="M777" s="1" t="s">
        <v>35</v>
      </c>
      <c r="N777" s="1">
        <v>33100</v>
      </c>
      <c r="O777" s="12">
        <v>34750</v>
      </c>
      <c r="P777" s="3" t="s">
        <v>46</v>
      </c>
      <c r="Q777" s="1" cm="1">
        <f t="array" ref="Q777">VALUE(INDEX(_xlfn.TEXTSPLIT(P777, " "), 4))</f>
        <v>2014</v>
      </c>
      <c r="R777" s="1" t="str">
        <f t="shared" si="12"/>
        <v>BMW 5 Series 528i</v>
      </c>
      <c r="S777" s="1" t="str" cm="1">
        <f t="array" ref="S777">_xlfn.IFS(I777 &gt;= 40, "High", I777&gt;=20, "Medium", I777&lt;20, "Low")</f>
        <v>High</v>
      </c>
      <c r="T777" s="1" t="str" cm="1">
        <f t="array" ref="T777">_xlfn.IFS(O777&lt;18200, "Low", O777&lt;=50000, "Medium", O777&gt;50000, "High")</f>
        <v>Medium</v>
      </c>
    </row>
    <row r="778" spans="1:20" x14ac:dyDescent="0.25">
      <c r="A778" s="2">
        <v>2012</v>
      </c>
      <c r="B778" s="1" t="s">
        <v>29</v>
      </c>
      <c r="C778" s="1" t="s">
        <v>117</v>
      </c>
      <c r="D778" s="1" t="s">
        <v>118</v>
      </c>
      <c r="E778" s="1" t="s">
        <v>32</v>
      </c>
      <c r="F778" s="1" t="s">
        <v>20</v>
      </c>
      <c r="G778" s="1" t="s">
        <v>1315</v>
      </c>
      <c r="H778" s="1" t="s">
        <v>22</v>
      </c>
      <c r="I778" s="1">
        <v>43</v>
      </c>
      <c r="J778" s="1">
        <v>22371</v>
      </c>
      <c r="K778" s="1" t="s">
        <v>24</v>
      </c>
      <c r="L778" s="1" t="s">
        <v>24</v>
      </c>
      <c r="M778" s="1" t="s">
        <v>35</v>
      </c>
      <c r="N778" s="1">
        <v>34300</v>
      </c>
      <c r="O778" s="12">
        <v>34750</v>
      </c>
      <c r="P778" s="3" t="s">
        <v>46</v>
      </c>
      <c r="Q778" s="1" cm="1">
        <f t="array" ref="Q778">VALUE(INDEX(_xlfn.TEXTSPLIT(P778, " "), 4))</f>
        <v>2014</v>
      </c>
      <c r="R778" s="1" t="str">
        <f t="shared" si="12"/>
        <v>BMW 5 Series 528i</v>
      </c>
      <c r="S778" s="1" t="str" cm="1">
        <f t="array" ref="S778">_xlfn.IFS(I778 &gt;= 40, "High", I778&gt;=20, "Medium", I778&lt;20, "Low")</f>
        <v>High</v>
      </c>
      <c r="T778" s="1" t="str" cm="1">
        <f t="array" ref="T778">_xlfn.IFS(O778&lt;18200, "Low", O778&lt;=50000, "Medium", O778&gt;50000, "High")</f>
        <v>Medium</v>
      </c>
    </row>
    <row r="779" spans="1:20" x14ac:dyDescent="0.25">
      <c r="A779" s="2">
        <v>2012</v>
      </c>
      <c r="B779" s="1" t="s">
        <v>29</v>
      </c>
      <c r="C779" s="1" t="s">
        <v>117</v>
      </c>
      <c r="D779" s="1" t="s">
        <v>118</v>
      </c>
      <c r="E779" s="1" t="s">
        <v>32</v>
      </c>
      <c r="F779" s="1" t="s">
        <v>20</v>
      </c>
      <c r="G779" s="1" t="s">
        <v>1316</v>
      </c>
      <c r="H779" s="1" t="s">
        <v>22</v>
      </c>
      <c r="I779" s="1">
        <v>41</v>
      </c>
      <c r="J779" s="1">
        <v>32960</v>
      </c>
      <c r="K779" s="1" t="s">
        <v>23</v>
      </c>
      <c r="L779" s="1" t="s">
        <v>82</v>
      </c>
      <c r="M779" s="1" t="s">
        <v>35</v>
      </c>
      <c r="N779" s="1">
        <v>31000</v>
      </c>
      <c r="O779" s="12">
        <v>29250</v>
      </c>
      <c r="P779" s="3" t="s">
        <v>36</v>
      </c>
      <c r="Q779" s="1" cm="1">
        <f t="array" ref="Q779">VALUE(INDEX(_xlfn.TEXTSPLIT(P779, " "), 4))</f>
        <v>2015</v>
      </c>
      <c r="R779" s="1" t="str">
        <f t="shared" si="12"/>
        <v>BMW 5 Series 528i</v>
      </c>
      <c r="S779" s="1" t="str" cm="1">
        <f t="array" ref="S779">_xlfn.IFS(I779 &gt;= 40, "High", I779&gt;=20, "Medium", I779&lt;20, "Low")</f>
        <v>High</v>
      </c>
      <c r="T779" s="1" t="str" cm="1">
        <f t="array" ref="T779">_xlfn.IFS(O779&lt;18200, "Low", O779&lt;=50000, "Medium", O779&gt;50000, "High")</f>
        <v>Medium</v>
      </c>
    </row>
    <row r="780" spans="1:20" x14ac:dyDescent="0.25">
      <c r="A780" s="2">
        <v>2012</v>
      </c>
      <c r="B780" s="1" t="s">
        <v>29</v>
      </c>
      <c r="C780" s="1" t="s">
        <v>111</v>
      </c>
      <c r="D780" s="1" t="s">
        <v>1288</v>
      </c>
      <c r="E780" s="1" t="s">
        <v>71</v>
      </c>
      <c r="F780" s="1" t="s">
        <v>20</v>
      </c>
      <c r="G780" s="1" t="s">
        <v>1317</v>
      </c>
      <c r="H780" s="1" t="s">
        <v>22</v>
      </c>
      <c r="I780" s="1">
        <v>41</v>
      </c>
      <c r="J780" s="1">
        <v>46534</v>
      </c>
      <c r="K780" s="1" t="s">
        <v>23</v>
      </c>
      <c r="L780" s="1" t="s">
        <v>24</v>
      </c>
      <c r="M780" s="1" t="s">
        <v>35</v>
      </c>
      <c r="N780" s="1">
        <v>42300</v>
      </c>
      <c r="O780" s="12">
        <v>41500</v>
      </c>
      <c r="P780" s="3" t="s">
        <v>36</v>
      </c>
      <c r="Q780" s="1" cm="1">
        <f t="array" ref="Q780">VALUE(INDEX(_xlfn.TEXTSPLIT(P780, " "), 4))</f>
        <v>2015</v>
      </c>
      <c r="R780" s="1" t="str">
        <f t="shared" si="12"/>
        <v>BMW 6 Series 640i</v>
      </c>
      <c r="S780" s="1" t="str" cm="1">
        <f t="array" ref="S780">_xlfn.IFS(I780 &gt;= 40, "High", I780&gt;=20, "Medium", I780&lt;20, "Low")</f>
        <v>High</v>
      </c>
      <c r="T780" s="1" t="str" cm="1">
        <f t="array" ref="T780">_xlfn.IFS(O780&lt;18200, "Low", O780&lt;=50000, "Medium", O780&gt;50000, "High")</f>
        <v>Medium</v>
      </c>
    </row>
    <row r="781" spans="1:20" x14ac:dyDescent="0.25">
      <c r="A781" s="2">
        <v>2012</v>
      </c>
      <c r="B781" s="1" t="s">
        <v>29</v>
      </c>
      <c r="C781" s="1" t="s">
        <v>30</v>
      </c>
      <c r="D781" s="1" t="s">
        <v>1282</v>
      </c>
      <c r="E781" s="1" t="s">
        <v>32</v>
      </c>
      <c r="F781" s="1" t="s">
        <v>20</v>
      </c>
      <c r="G781" s="1" t="s">
        <v>1318</v>
      </c>
      <c r="H781" s="1" t="s">
        <v>22</v>
      </c>
      <c r="I781" s="1">
        <v>45</v>
      </c>
      <c r="J781" s="1">
        <v>29157</v>
      </c>
      <c r="K781" s="1" t="s">
        <v>132</v>
      </c>
      <c r="L781" s="1" t="s">
        <v>24</v>
      </c>
      <c r="M781" s="1" t="s">
        <v>35</v>
      </c>
      <c r="N781" s="1">
        <v>24600</v>
      </c>
      <c r="O781" s="12">
        <v>24750</v>
      </c>
      <c r="P781" s="3" t="s">
        <v>46</v>
      </c>
      <c r="Q781" s="1" cm="1">
        <f t="array" ref="Q781">VALUE(INDEX(_xlfn.TEXTSPLIT(P781, " "), 4))</f>
        <v>2014</v>
      </c>
      <c r="R781" s="1" t="str">
        <f t="shared" si="12"/>
        <v>BMW 3 Series 328i</v>
      </c>
      <c r="S781" s="1" t="str" cm="1">
        <f t="array" ref="S781">_xlfn.IFS(I781 &gt;= 40, "High", I781&gt;=20, "Medium", I781&lt;20, "Low")</f>
        <v>High</v>
      </c>
      <c r="T781" s="1" t="str" cm="1">
        <f t="array" ref="T781">_xlfn.IFS(O781&lt;18200, "Low", O781&lt;=50000, "Medium", O781&gt;50000, "High")</f>
        <v>Medium</v>
      </c>
    </row>
    <row r="782" spans="1:20" x14ac:dyDescent="0.25">
      <c r="A782" s="2">
        <v>2012</v>
      </c>
      <c r="B782" s="1" t="s">
        <v>29</v>
      </c>
      <c r="C782" s="1" t="s">
        <v>117</v>
      </c>
      <c r="D782" s="1" t="s">
        <v>118</v>
      </c>
      <c r="E782" s="1" t="s">
        <v>32</v>
      </c>
      <c r="F782" s="1" t="s">
        <v>20</v>
      </c>
      <c r="G782" s="1" t="s">
        <v>1319</v>
      </c>
      <c r="H782" s="1" t="s">
        <v>22</v>
      </c>
      <c r="I782" s="1">
        <v>44</v>
      </c>
      <c r="J782" s="1">
        <v>24506</v>
      </c>
      <c r="K782" s="1" t="s">
        <v>94</v>
      </c>
      <c r="L782" s="1" t="s">
        <v>101</v>
      </c>
      <c r="M782" s="1" t="s">
        <v>35</v>
      </c>
      <c r="N782" s="1">
        <v>33800</v>
      </c>
      <c r="O782" s="12">
        <v>33000</v>
      </c>
      <c r="P782" s="3" t="s">
        <v>46</v>
      </c>
      <c r="Q782" s="1" cm="1">
        <f t="array" ref="Q782">VALUE(INDEX(_xlfn.TEXTSPLIT(P782, " "), 4))</f>
        <v>2014</v>
      </c>
      <c r="R782" s="1" t="str">
        <f t="shared" si="12"/>
        <v>BMW 5 Series 528i</v>
      </c>
      <c r="S782" s="1" t="str" cm="1">
        <f t="array" ref="S782">_xlfn.IFS(I782 &gt;= 40, "High", I782&gt;=20, "Medium", I782&lt;20, "Low")</f>
        <v>High</v>
      </c>
      <c r="T782" s="1" t="str" cm="1">
        <f t="array" ref="T782">_xlfn.IFS(O782&lt;18200, "Low", O782&lt;=50000, "Medium", O782&gt;50000, "High")</f>
        <v>Medium</v>
      </c>
    </row>
    <row r="783" spans="1:20" x14ac:dyDescent="0.25">
      <c r="A783" s="2">
        <v>2012</v>
      </c>
      <c r="B783" s="1" t="s">
        <v>63</v>
      </c>
      <c r="C783" s="1" t="s">
        <v>1320</v>
      </c>
      <c r="D783" s="1" t="s">
        <v>1321</v>
      </c>
      <c r="E783" s="1" t="s">
        <v>107</v>
      </c>
      <c r="F783" s="1" t="s">
        <v>20</v>
      </c>
      <c r="G783" s="1" t="s">
        <v>1322</v>
      </c>
      <c r="H783" s="1" t="s">
        <v>22</v>
      </c>
      <c r="I783" s="1">
        <v>38</v>
      </c>
      <c r="J783" s="1">
        <v>32737</v>
      </c>
      <c r="K783" s="1" t="s">
        <v>23</v>
      </c>
      <c r="L783" s="1" t="s">
        <v>24</v>
      </c>
      <c r="M783" s="1" t="s">
        <v>1323</v>
      </c>
      <c r="N783" s="1">
        <v>25000</v>
      </c>
      <c r="O783" s="12">
        <v>26500</v>
      </c>
      <c r="P783" s="3" t="s">
        <v>46</v>
      </c>
      <c r="Q783" s="1" cm="1">
        <f t="array" ref="Q783">VALUE(INDEX(_xlfn.TEXTSPLIT(P783, " "), 4))</f>
        <v>2014</v>
      </c>
      <c r="R783" s="1" t="str">
        <f t="shared" si="12"/>
        <v>Audi A5 2.0T Premium quattro</v>
      </c>
      <c r="S783" s="1" t="str" cm="1">
        <f t="array" ref="S783">_xlfn.IFS(I783 &gt;= 40, "High", I783&gt;=20, "Medium", I783&lt;20, "Low")</f>
        <v>Medium</v>
      </c>
      <c r="T783" s="1" t="str" cm="1">
        <f t="array" ref="T783">_xlfn.IFS(O783&lt;18200, "Low", O783&lt;=50000, "Medium", O783&gt;50000, "High")</f>
        <v>Medium</v>
      </c>
    </row>
    <row r="784" spans="1:20" x14ac:dyDescent="0.25">
      <c r="A784" s="2">
        <v>2012</v>
      </c>
      <c r="B784" s="1" t="s">
        <v>29</v>
      </c>
      <c r="C784" s="1" t="s">
        <v>117</v>
      </c>
      <c r="D784" s="1" t="s">
        <v>118</v>
      </c>
      <c r="E784" s="1" t="s">
        <v>32</v>
      </c>
      <c r="F784" s="1" t="s">
        <v>20</v>
      </c>
      <c r="G784" s="1" t="s">
        <v>1324</v>
      </c>
      <c r="H784" s="1" t="s">
        <v>22</v>
      </c>
      <c r="I784" s="1">
        <v>42</v>
      </c>
      <c r="J784" s="1">
        <v>43112</v>
      </c>
      <c r="K784" s="1" t="s">
        <v>34</v>
      </c>
      <c r="L784" s="1" t="s">
        <v>24</v>
      </c>
      <c r="M784" s="1" t="s">
        <v>35</v>
      </c>
      <c r="N784" s="1">
        <v>28900</v>
      </c>
      <c r="O784" s="12">
        <v>29000</v>
      </c>
      <c r="P784" s="3" t="s">
        <v>36</v>
      </c>
      <c r="Q784" s="1" cm="1">
        <f t="array" ref="Q784">VALUE(INDEX(_xlfn.TEXTSPLIT(P784, " "), 4))</f>
        <v>2015</v>
      </c>
      <c r="R784" s="1" t="str">
        <f t="shared" si="12"/>
        <v>BMW 5 Series 528i</v>
      </c>
      <c r="S784" s="1" t="str" cm="1">
        <f t="array" ref="S784">_xlfn.IFS(I784 &gt;= 40, "High", I784&gt;=20, "Medium", I784&lt;20, "Low")</f>
        <v>High</v>
      </c>
      <c r="T784" s="1" t="str" cm="1">
        <f t="array" ref="T784">_xlfn.IFS(O784&lt;18200, "Low", O784&lt;=50000, "Medium", O784&gt;50000, "High")</f>
        <v>Medium</v>
      </c>
    </row>
    <row r="785" spans="1:20" x14ac:dyDescent="0.25">
      <c r="A785" s="2">
        <v>2012</v>
      </c>
      <c r="B785" s="1" t="s">
        <v>29</v>
      </c>
      <c r="C785" s="1" t="s">
        <v>117</v>
      </c>
      <c r="D785" s="1" t="s">
        <v>118</v>
      </c>
      <c r="E785" s="1" t="s">
        <v>32</v>
      </c>
      <c r="F785" s="1" t="s">
        <v>20</v>
      </c>
      <c r="G785" s="1" t="s">
        <v>1325</v>
      </c>
      <c r="H785" s="1" t="s">
        <v>22</v>
      </c>
      <c r="I785" s="1">
        <v>44</v>
      </c>
      <c r="J785" s="1">
        <v>53230</v>
      </c>
      <c r="K785" s="1" t="s">
        <v>23</v>
      </c>
      <c r="L785" s="1" t="s">
        <v>101</v>
      </c>
      <c r="M785" s="1" t="s">
        <v>35</v>
      </c>
      <c r="N785" s="1">
        <v>25500</v>
      </c>
      <c r="O785" s="12">
        <v>25750</v>
      </c>
      <c r="P785" s="3" t="s">
        <v>42</v>
      </c>
      <c r="Q785" s="1" cm="1">
        <f t="array" ref="Q785">VALUE(INDEX(_xlfn.TEXTSPLIT(P785, " "), 4))</f>
        <v>2015</v>
      </c>
      <c r="R785" s="1" t="str">
        <f t="shared" si="12"/>
        <v>BMW 5 Series 528i</v>
      </c>
      <c r="S785" s="1" t="str" cm="1">
        <f t="array" ref="S785">_xlfn.IFS(I785 &gt;= 40, "High", I785&gt;=20, "Medium", I785&lt;20, "Low")</f>
        <v>High</v>
      </c>
      <c r="T785" s="1" t="str" cm="1">
        <f t="array" ref="T785">_xlfn.IFS(O785&lt;18200, "Low", O785&lt;=50000, "Medium", O785&gt;50000, "High")</f>
        <v>Medium</v>
      </c>
    </row>
    <row r="786" spans="1:20" x14ac:dyDescent="0.25">
      <c r="A786" s="2">
        <v>2012</v>
      </c>
      <c r="B786" s="1" t="s">
        <v>184</v>
      </c>
      <c r="C786" s="1" t="s">
        <v>1290</v>
      </c>
      <c r="D786" s="1" t="s">
        <v>54</v>
      </c>
      <c r="E786" s="1" t="s">
        <v>32</v>
      </c>
      <c r="F786" s="1" t="s">
        <v>20</v>
      </c>
      <c r="G786" s="1" t="s">
        <v>1326</v>
      </c>
      <c r="H786" s="1" t="s">
        <v>22</v>
      </c>
      <c r="I786" s="1">
        <v>37</v>
      </c>
      <c r="J786" s="1">
        <v>21443</v>
      </c>
      <c r="K786" s="1" t="s">
        <v>91</v>
      </c>
      <c r="L786" s="1" t="s">
        <v>24</v>
      </c>
      <c r="M786" s="1" t="s">
        <v>1327</v>
      </c>
      <c r="N786" s="1">
        <v>19700</v>
      </c>
      <c r="O786" s="12">
        <v>20900</v>
      </c>
      <c r="P786" s="3" t="s">
        <v>68</v>
      </c>
      <c r="Q786" s="1" cm="1">
        <f t="array" ref="Q786">VALUE(INDEX(_xlfn.TEXTSPLIT(P786, " "), 4))</f>
        <v>2014</v>
      </c>
      <c r="R786" s="1" t="str">
        <f t="shared" si="12"/>
        <v>Acura TL Base</v>
      </c>
      <c r="S786" s="1" t="str" cm="1">
        <f t="array" ref="S786">_xlfn.IFS(I786 &gt;= 40, "High", I786&gt;=20, "Medium", I786&lt;20, "Low")</f>
        <v>Medium</v>
      </c>
      <c r="T786" s="1" t="str" cm="1">
        <f t="array" ref="T786">_xlfn.IFS(O786&lt;18200, "Low", O786&lt;=50000, "Medium", O786&gt;50000, "High")</f>
        <v>Medium</v>
      </c>
    </row>
    <row r="787" spans="1:20" x14ac:dyDescent="0.25">
      <c r="A787" s="2">
        <v>2012</v>
      </c>
      <c r="B787" s="1" t="s">
        <v>29</v>
      </c>
      <c r="C787" s="1" t="s">
        <v>117</v>
      </c>
      <c r="D787" s="1" t="s">
        <v>118</v>
      </c>
      <c r="E787" s="1" t="s">
        <v>32</v>
      </c>
      <c r="F787" s="1" t="s">
        <v>20</v>
      </c>
      <c r="G787" s="1" t="s">
        <v>1328</v>
      </c>
      <c r="H787" s="1" t="s">
        <v>22</v>
      </c>
      <c r="I787" s="1">
        <v>43</v>
      </c>
      <c r="J787" s="1">
        <v>27181</v>
      </c>
      <c r="K787" s="1" t="s">
        <v>24</v>
      </c>
      <c r="L787" s="1" t="s">
        <v>24</v>
      </c>
      <c r="M787" s="1" t="s">
        <v>35</v>
      </c>
      <c r="N787" s="1">
        <v>33300</v>
      </c>
      <c r="O787" s="12">
        <v>34750</v>
      </c>
      <c r="P787" s="3" t="s">
        <v>46</v>
      </c>
      <c r="Q787" s="1" cm="1">
        <f t="array" ref="Q787">VALUE(INDEX(_xlfn.TEXTSPLIT(P787, " "), 4))</f>
        <v>2014</v>
      </c>
      <c r="R787" s="1" t="str">
        <f t="shared" si="12"/>
        <v>BMW 5 Series 528i</v>
      </c>
      <c r="S787" s="1" t="str" cm="1">
        <f t="array" ref="S787">_xlfn.IFS(I787 &gt;= 40, "High", I787&gt;=20, "Medium", I787&lt;20, "Low")</f>
        <v>High</v>
      </c>
      <c r="T787" s="1" t="str" cm="1">
        <f t="array" ref="T787">_xlfn.IFS(O787&lt;18200, "Low", O787&lt;=50000, "Medium", O787&gt;50000, "High")</f>
        <v>Medium</v>
      </c>
    </row>
    <row r="788" spans="1:20" x14ac:dyDescent="0.25">
      <c r="A788" s="2">
        <v>2012</v>
      </c>
      <c r="B788" s="1" t="s">
        <v>29</v>
      </c>
      <c r="C788" s="1" t="s">
        <v>30</v>
      </c>
      <c r="D788" s="1" t="s">
        <v>1312</v>
      </c>
      <c r="E788" s="1" t="s">
        <v>107</v>
      </c>
      <c r="F788" s="1" t="s">
        <v>20</v>
      </c>
      <c r="G788" s="1" t="s">
        <v>1329</v>
      </c>
      <c r="H788" s="1" t="s">
        <v>22</v>
      </c>
      <c r="I788" s="1">
        <v>45</v>
      </c>
      <c r="J788" s="1">
        <v>23777</v>
      </c>
      <c r="K788" s="1" t="s">
        <v>34</v>
      </c>
      <c r="L788" s="1" t="s">
        <v>101</v>
      </c>
      <c r="M788" s="1" t="s">
        <v>35</v>
      </c>
      <c r="N788" s="1">
        <v>31800</v>
      </c>
      <c r="O788" s="12">
        <v>33250</v>
      </c>
      <c r="P788" s="3" t="s">
        <v>46</v>
      </c>
      <c r="Q788" s="1" cm="1">
        <f t="array" ref="Q788">VALUE(INDEX(_xlfn.TEXTSPLIT(P788, " "), 4))</f>
        <v>2014</v>
      </c>
      <c r="R788" s="1" t="str">
        <f t="shared" si="12"/>
        <v>BMW 3 Series 335i</v>
      </c>
      <c r="S788" s="1" t="str" cm="1">
        <f t="array" ref="S788">_xlfn.IFS(I788 &gt;= 40, "High", I788&gt;=20, "Medium", I788&lt;20, "Low")</f>
        <v>High</v>
      </c>
      <c r="T788" s="1" t="str" cm="1">
        <f t="array" ref="T788">_xlfn.IFS(O788&lt;18200, "Low", O788&lt;=50000, "Medium", O788&gt;50000, "High")</f>
        <v>Medium</v>
      </c>
    </row>
    <row r="789" spans="1:20" x14ac:dyDescent="0.25">
      <c r="A789" s="2">
        <v>2012</v>
      </c>
      <c r="B789" s="1" t="s">
        <v>29</v>
      </c>
      <c r="C789" s="1" t="s">
        <v>117</v>
      </c>
      <c r="D789" s="1" t="s">
        <v>1292</v>
      </c>
      <c r="E789" s="1" t="s">
        <v>32</v>
      </c>
      <c r="F789" s="1" t="s">
        <v>20</v>
      </c>
      <c r="G789" s="1" t="s">
        <v>1330</v>
      </c>
      <c r="H789" s="1" t="s">
        <v>22</v>
      </c>
      <c r="I789" s="1">
        <v>27</v>
      </c>
      <c r="J789" s="1">
        <v>33760</v>
      </c>
      <c r="K789" s="1" t="s">
        <v>34</v>
      </c>
      <c r="L789" s="1" t="s">
        <v>24</v>
      </c>
      <c r="M789" s="1" t="s">
        <v>35</v>
      </c>
      <c r="N789" s="1">
        <v>34200</v>
      </c>
      <c r="O789" s="12">
        <v>32750</v>
      </c>
      <c r="P789" s="3" t="s">
        <v>46</v>
      </c>
      <c r="Q789" s="1" cm="1">
        <f t="array" ref="Q789">VALUE(INDEX(_xlfn.TEXTSPLIT(P789, " "), 4))</f>
        <v>2014</v>
      </c>
      <c r="R789" s="1" t="str">
        <f t="shared" si="12"/>
        <v>BMW 5 Series 535i</v>
      </c>
      <c r="S789" s="1" t="str" cm="1">
        <f t="array" ref="S789">_xlfn.IFS(I789 &gt;= 40, "High", I789&gt;=20, "Medium", I789&lt;20, "Low")</f>
        <v>Medium</v>
      </c>
      <c r="T789" s="1" t="str" cm="1">
        <f t="array" ref="T789">_xlfn.IFS(O789&lt;18200, "Low", O789&lt;=50000, "Medium", O789&gt;50000, "High")</f>
        <v>Medium</v>
      </c>
    </row>
    <row r="790" spans="1:20" x14ac:dyDescent="0.25">
      <c r="A790" s="2">
        <v>2012</v>
      </c>
      <c r="B790" s="1" t="s">
        <v>29</v>
      </c>
      <c r="C790" s="1" t="s">
        <v>1285</v>
      </c>
      <c r="D790" s="1" t="s">
        <v>1331</v>
      </c>
      <c r="E790" s="1" t="s">
        <v>71</v>
      </c>
      <c r="F790" s="1" t="s">
        <v>20</v>
      </c>
      <c r="G790" s="1" t="s">
        <v>1332</v>
      </c>
      <c r="H790" s="1" t="s">
        <v>22</v>
      </c>
      <c r="I790" s="1">
        <v>44</v>
      </c>
      <c r="J790" s="1">
        <v>28509</v>
      </c>
      <c r="K790" s="1" t="s">
        <v>94</v>
      </c>
      <c r="L790" s="1" t="s">
        <v>132</v>
      </c>
      <c r="M790" s="1" t="s">
        <v>35</v>
      </c>
      <c r="N790" s="1">
        <v>23300</v>
      </c>
      <c r="O790" s="12">
        <v>22750</v>
      </c>
      <c r="P790" s="3" t="s">
        <v>42</v>
      </c>
      <c r="Q790" s="1" cm="1">
        <f t="array" ref="Q790">VALUE(INDEX(_xlfn.TEXTSPLIT(P790, " "), 4))</f>
        <v>2015</v>
      </c>
      <c r="R790" s="1" t="str">
        <f t="shared" si="12"/>
        <v>BMW 1 Series 128i</v>
      </c>
      <c r="S790" s="1" t="str" cm="1">
        <f t="array" ref="S790">_xlfn.IFS(I790 &gt;= 40, "High", I790&gt;=20, "Medium", I790&lt;20, "Low")</f>
        <v>High</v>
      </c>
      <c r="T790" s="1" t="str" cm="1">
        <f t="array" ref="T790">_xlfn.IFS(O790&lt;18200, "Low", O790&lt;=50000, "Medium", O790&gt;50000, "High")</f>
        <v>Medium</v>
      </c>
    </row>
    <row r="791" spans="1:20" x14ac:dyDescent="0.25">
      <c r="A791" s="2">
        <v>2012</v>
      </c>
      <c r="B791" s="1" t="s">
        <v>184</v>
      </c>
      <c r="C791" s="1" t="s">
        <v>1264</v>
      </c>
      <c r="D791" s="1" t="s">
        <v>1333</v>
      </c>
      <c r="E791" s="1" t="s">
        <v>32</v>
      </c>
      <c r="F791" s="1" t="s">
        <v>20</v>
      </c>
      <c r="G791" s="1" t="s">
        <v>1334</v>
      </c>
      <c r="H791" s="1" t="s">
        <v>22</v>
      </c>
      <c r="I791" s="1">
        <v>37</v>
      </c>
      <c r="J791" s="1">
        <v>31595</v>
      </c>
      <c r="K791" s="1" t="s">
        <v>23</v>
      </c>
      <c r="L791" s="1" t="s">
        <v>24</v>
      </c>
      <c r="M791" s="1" t="s">
        <v>1266</v>
      </c>
      <c r="N791" s="1">
        <v>18100</v>
      </c>
      <c r="O791" s="12">
        <v>18900</v>
      </c>
      <c r="P791" s="3" t="s">
        <v>68</v>
      </c>
      <c r="Q791" s="1" cm="1">
        <f t="array" ref="Q791">VALUE(INDEX(_xlfn.TEXTSPLIT(P791, " "), 4))</f>
        <v>2014</v>
      </c>
      <c r="R791" s="1" t="str">
        <f t="shared" si="12"/>
        <v>Acura TSX Special Edition</v>
      </c>
      <c r="S791" s="1" t="str" cm="1">
        <f t="array" ref="S791">_xlfn.IFS(I791 &gt;= 40, "High", I791&gt;=20, "Medium", I791&lt;20, "Low")</f>
        <v>Medium</v>
      </c>
      <c r="T791" s="1" t="str" cm="1">
        <f t="array" ref="T791">_xlfn.IFS(O791&lt;18200, "Low", O791&lt;=50000, "Medium", O791&gt;50000, "High")</f>
        <v>Medium</v>
      </c>
    </row>
    <row r="792" spans="1:20" x14ac:dyDescent="0.25">
      <c r="A792" s="2">
        <v>2012</v>
      </c>
      <c r="B792" s="1" t="s">
        <v>29</v>
      </c>
      <c r="C792" s="1" t="s">
        <v>30</v>
      </c>
      <c r="D792" s="1" t="s">
        <v>1282</v>
      </c>
      <c r="E792" s="1" t="s">
        <v>71</v>
      </c>
      <c r="F792" s="1" t="s">
        <v>20</v>
      </c>
      <c r="G792" s="1" t="s">
        <v>1335</v>
      </c>
      <c r="H792" s="1" t="s">
        <v>22</v>
      </c>
      <c r="I792" s="1">
        <v>48</v>
      </c>
      <c r="J792" s="1">
        <v>14910</v>
      </c>
      <c r="K792" s="1" t="s">
        <v>34</v>
      </c>
      <c r="L792" s="1" t="s">
        <v>34</v>
      </c>
      <c r="M792" s="1" t="s">
        <v>35</v>
      </c>
      <c r="N792" s="1">
        <v>30700</v>
      </c>
      <c r="O792" s="12">
        <v>31500</v>
      </c>
      <c r="P792" s="3" t="s">
        <v>46</v>
      </c>
      <c r="Q792" s="1" cm="1">
        <f t="array" ref="Q792">VALUE(INDEX(_xlfn.TEXTSPLIT(P792, " "), 4))</f>
        <v>2014</v>
      </c>
      <c r="R792" s="1" t="str">
        <f t="shared" si="12"/>
        <v>BMW 3 Series 328i</v>
      </c>
      <c r="S792" s="1" t="str" cm="1">
        <f t="array" ref="S792">_xlfn.IFS(I792 &gt;= 40, "High", I792&gt;=20, "Medium", I792&lt;20, "Low")</f>
        <v>High</v>
      </c>
      <c r="T792" s="1" t="str" cm="1">
        <f t="array" ref="T792">_xlfn.IFS(O792&lt;18200, "Low", O792&lt;=50000, "Medium", O792&gt;50000, "High")</f>
        <v>Medium</v>
      </c>
    </row>
    <row r="793" spans="1:20" x14ac:dyDescent="0.25">
      <c r="A793" s="2">
        <v>2012</v>
      </c>
      <c r="B793" s="1" t="s">
        <v>29</v>
      </c>
      <c r="C793" s="1" t="s">
        <v>30</v>
      </c>
      <c r="D793" s="1" t="s">
        <v>1282</v>
      </c>
      <c r="E793" s="1" t="s">
        <v>71</v>
      </c>
      <c r="F793" s="1" t="s">
        <v>20</v>
      </c>
      <c r="G793" s="1" t="s">
        <v>1336</v>
      </c>
      <c r="H793" s="1" t="s">
        <v>22</v>
      </c>
      <c r="I793" s="1">
        <v>42</v>
      </c>
      <c r="J793" s="1">
        <v>31388</v>
      </c>
      <c r="K793" s="1" t="s">
        <v>34</v>
      </c>
      <c r="L793" s="1" t="s">
        <v>24</v>
      </c>
      <c r="M793" s="1" t="s">
        <v>35</v>
      </c>
      <c r="N793" s="1">
        <v>28300</v>
      </c>
      <c r="O793" s="12">
        <v>27500</v>
      </c>
      <c r="P793" s="3" t="s">
        <v>46</v>
      </c>
      <c r="Q793" s="1" cm="1">
        <f t="array" ref="Q793">VALUE(INDEX(_xlfn.TEXTSPLIT(P793, " "), 4))</f>
        <v>2014</v>
      </c>
      <c r="R793" s="1" t="str">
        <f t="shared" si="12"/>
        <v>BMW 3 Series 328i</v>
      </c>
      <c r="S793" s="1" t="str" cm="1">
        <f t="array" ref="S793">_xlfn.IFS(I793 &gt;= 40, "High", I793&gt;=20, "Medium", I793&lt;20, "Low")</f>
        <v>High</v>
      </c>
      <c r="T793" s="1" t="str" cm="1">
        <f t="array" ref="T793">_xlfn.IFS(O793&lt;18200, "Low", O793&lt;=50000, "Medium", O793&gt;50000, "High")</f>
        <v>Medium</v>
      </c>
    </row>
    <row r="794" spans="1:20" x14ac:dyDescent="0.25">
      <c r="A794" s="2">
        <v>2012</v>
      </c>
      <c r="B794" s="1" t="s">
        <v>184</v>
      </c>
      <c r="C794" s="1" t="s">
        <v>1264</v>
      </c>
      <c r="D794" s="1" t="s">
        <v>1333</v>
      </c>
      <c r="E794" s="1" t="s">
        <v>32</v>
      </c>
      <c r="F794" s="1" t="s">
        <v>20</v>
      </c>
      <c r="G794" s="1" t="s">
        <v>1337</v>
      </c>
      <c r="H794" s="1" t="s">
        <v>22</v>
      </c>
      <c r="I794" s="1">
        <v>45</v>
      </c>
      <c r="J794" s="1">
        <v>37284</v>
      </c>
      <c r="K794" s="1" t="s">
        <v>73</v>
      </c>
      <c r="L794" s="1" t="s">
        <v>24</v>
      </c>
      <c r="M794" s="1" t="s">
        <v>1266</v>
      </c>
      <c r="N794" s="1">
        <v>17700</v>
      </c>
      <c r="O794" s="12">
        <v>18400</v>
      </c>
      <c r="P794" s="3" t="s">
        <v>68</v>
      </c>
      <c r="Q794" s="1" cm="1">
        <f t="array" ref="Q794">VALUE(INDEX(_xlfn.TEXTSPLIT(P794, " "), 4))</f>
        <v>2014</v>
      </c>
      <c r="R794" s="1" t="str">
        <f t="shared" si="12"/>
        <v>Acura TSX Special Edition</v>
      </c>
      <c r="S794" s="1" t="str" cm="1">
        <f t="array" ref="S794">_xlfn.IFS(I794 &gt;= 40, "High", I794&gt;=20, "Medium", I794&lt;20, "Low")</f>
        <v>High</v>
      </c>
      <c r="T794" s="1" t="str" cm="1">
        <f t="array" ref="T794">_xlfn.IFS(O794&lt;18200, "Low", O794&lt;=50000, "Medium", O794&gt;50000, "High")</f>
        <v>Medium</v>
      </c>
    </row>
    <row r="795" spans="1:20" x14ac:dyDescent="0.25">
      <c r="A795" s="2">
        <v>2012</v>
      </c>
      <c r="B795" s="1" t="s">
        <v>1259</v>
      </c>
      <c r="C795" s="1" t="s">
        <v>1260</v>
      </c>
      <c r="D795" s="1" t="s">
        <v>1260</v>
      </c>
      <c r="E795" s="1"/>
      <c r="F795" s="1" t="s">
        <v>20</v>
      </c>
      <c r="G795" s="1" t="s">
        <v>1338</v>
      </c>
      <c r="H795" s="1" t="s">
        <v>22</v>
      </c>
      <c r="I795" s="1">
        <v>49</v>
      </c>
      <c r="J795" s="1">
        <v>53016</v>
      </c>
      <c r="K795" s="1" t="s">
        <v>23</v>
      </c>
      <c r="L795" s="1" t="s">
        <v>34</v>
      </c>
      <c r="M795" s="1" t="s">
        <v>35</v>
      </c>
      <c r="N795" s="1">
        <v>31300</v>
      </c>
      <c r="O795" s="12">
        <v>34250</v>
      </c>
      <c r="P795" s="3" t="s">
        <v>46</v>
      </c>
      <c r="Q795" s="1" cm="1">
        <f t="array" ref="Q795">VALUE(INDEX(_xlfn.TEXTSPLIT(P795, " "), 4))</f>
        <v>2014</v>
      </c>
      <c r="R795" s="1" t="str">
        <f t="shared" si="12"/>
        <v>bmw 750i 750i</v>
      </c>
      <c r="S795" s="1" t="str" cm="1">
        <f t="array" ref="S795">_xlfn.IFS(I795 &gt;= 40, "High", I795&gt;=20, "Medium", I795&lt;20, "Low")</f>
        <v>High</v>
      </c>
      <c r="T795" s="1" t="str" cm="1">
        <f t="array" ref="T795">_xlfn.IFS(O795&lt;18200, "Low", O795&lt;=50000, "Medium", O795&gt;50000, "High")</f>
        <v>Medium</v>
      </c>
    </row>
    <row r="796" spans="1:20" x14ac:dyDescent="0.25">
      <c r="A796" s="2">
        <v>2012</v>
      </c>
      <c r="B796" s="1" t="s">
        <v>1259</v>
      </c>
      <c r="C796" s="1" t="s">
        <v>1303</v>
      </c>
      <c r="D796" s="1" t="s">
        <v>1303</v>
      </c>
      <c r="E796" s="1"/>
      <c r="F796" s="1" t="s">
        <v>20</v>
      </c>
      <c r="G796" s="1" t="s">
        <v>1339</v>
      </c>
      <c r="H796" s="1" t="s">
        <v>22</v>
      </c>
      <c r="I796" s="1">
        <v>34</v>
      </c>
      <c r="J796" s="1">
        <v>24739</v>
      </c>
      <c r="K796" s="1" t="s">
        <v>23</v>
      </c>
      <c r="L796" s="1" t="s">
        <v>34</v>
      </c>
      <c r="M796" s="1" t="s">
        <v>35</v>
      </c>
      <c r="N796" s="1">
        <v>47000</v>
      </c>
      <c r="O796" s="12">
        <v>46750</v>
      </c>
      <c r="P796" s="3" t="s">
        <v>46</v>
      </c>
      <c r="Q796" s="1" cm="1">
        <f t="array" ref="Q796">VALUE(INDEX(_xlfn.TEXTSPLIT(P796, " "), 4))</f>
        <v>2014</v>
      </c>
      <c r="R796" s="1" t="str">
        <f t="shared" si="12"/>
        <v>bmw 750li 750li</v>
      </c>
      <c r="S796" s="1" t="str" cm="1">
        <f t="array" ref="S796">_xlfn.IFS(I796 &gt;= 40, "High", I796&gt;=20, "Medium", I796&lt;20, "Low")</f>
        <v>Medium</v>
      </c>
      <c r="T796" s="1" t="str" cm="1">
        <f t="array" ref="T796">_xlfn.IFS(O796&lt;18200, "Low", O796&lt;=50000, "Medium", O796&gt;50000, "High")</f>
        <v>Medium</v>
      </c>
    </row>
    <row r="797" spans="1:20" x14ac:dyDescent="0.25">
      <c r="A797" s="2">
        <v>2012</v>
      </c>
      <c r="B797" s="1" t="s">
        <v>29</v>
      </c>
      <c r="C797" s="1" t="s">
        <v>30</v>
      </c>
      <c r="D797" s="1" t="s">
        <v>1282</v>
      </c>
      <c r="E797" s="1" t="s">
        <v>71</v>
      </c>
      <c r="F797" s="1" t="s">
        <v>20</v>
      </c>
      <c r="G797" s="1" t="s">
        <v>1340</v>
      </c>
      <c r="H797" s="1" t="s">
        <v>22</v>
      </c>
      <c r="I797" s="1">
        <v>36</v>
      </c>
      <c r="J797" s="1">
        <v>32456</v>
      </c>
      <c r="K797" s="1" t="s">
        <v>94</v>
      </c>
      <c r="L797" s="1" t="s">
        <v>1341</v>
      </c>
      <c r="M797" s="1" t="s">
        <v>35</v>
      </c>
      <c r="N797" s="1">
        <v>27500</v>
      </c>
      <c r="O797" s="12">
        <v>26750</v>
      </c>
      <c r="P797" s="3" t="s">
        <v>42</v>
      </c>
      <c r="Q797" s="1" cm="1">
        <f t="array" ref="Q797">VALUE(INDEX(_xlfn.TEXTSPLIT(P797, " "), 4))</f>
        <v>2015</v>
      </c>
      <c r="R797" s="1" t="str">
        <f t="shared" si="12"/>
        <v>BMW 3 Series 328i</v>
      </c>
      <c r="S797" s="1" t="str" cm="1">
        <f t="array" ref="S797">_xlfn.IFS(I797 &gt;= 40, "High", I797&gt;=20, "Medium", I797&lt;20, "Low")</f>
        <v>Medium</v>
      </c>
      <c r="T797" s="1" t="str" cm="1">
        <f t="array" ref="T797">_xlfn.IFS(O797&lt;18200, "Low", O797&lt;=50000, "Medium", O797&gt;50000, "High")</f>
        <v>Medium</v>
      </c>
    </row>
    <row r="798" spans="1:20" x14ac:dyDescent="0.25">
      <c r="A798" s="2">
        <v>2012</v>
      </c>
      <c r="B798" s="1" t="s">
        <v>29</v>
      </c>
      <c r="C798" s="1" t="s">
        <v>30</v>
      </c>
      <c r="D798" s="1" t="s">
        <v>1282</v>
      </c>
      <c r="E798" s="1" t="s">
        <v>71</v>
      </c>
      <c r="F798" s="1" t="s">
        <v>20</v>
      </c>
      <c r="G798" s="1" t="s">
        <v>1342</v>
      </c>
      <c r="H798" s="1" t="s">
        <v>22</v>
      </c>
      <c r="I798" s="1">
        <v>35</v>
      </c>
      <c r="J798" s="1">
        <v>35000</v>
      </c>
      <c r="K798" s="1" t="s">
        <v>91</v>
      </c>
      <c r="L798" s="1" t="s">
        <v>1341</v>
      </c>
      <c r="M798" s="1" t="s">
        <v>35</v>
      </c>
      <c r="N798" s="1">
        <v>27800</v>
      </c>
      <c r="O798" s="12">
        <v>27500</v>
      </c>
      <c r="P798" s="3" t="s">
        <v>46</v>
      </c>
      <c r="Q798" s="1" cm="1">
        <f t="array" ref="Q798">VALUE(INDEX(_xlfn.TEXTSPLIT(P798, " "), 4))</f>
        <v>2014</v>
      </c>
      <c r="R798" s="1" t="str">
        <f t="shared" si="12"/>
        <v>BMW 3 Series 328i</v>
      </c>
      <c r="S798" s="1" t="str" cm="1">
        <f t="array" ref="S798">_xlfn.IFS(I798 &gt;= 40, "High", I798&gt;=20, "Medium", I798&lt;20, "Low")</f>
        <v>Medium</v>
      </c>
      <c r="T798" s="1" t="str" cm="1">
        <f t="array" ref="T798">_xlfn.IFS(O798&lt;18200, "Low", O798&lt;=50000, "Medium", O798&gt;50000, "High")</f>
        <v>Medium</v>
      </c>
    </row>
    <row r="799" spans="1:20" x14ac:dyDescent="0.25">
      <c r="A799" s="2">
        <v>2012</v>
      </c>
      <c r="B799" s="1" t="s">
        <v>29</v>
      </c>
      <c r="C799" s="1" t="s">
        <v>30</v>
      </c>
      <c r="D799" s="1" t="s">
        <v>1312</v>
      </c>
      <c r="E799" s="1" t="s">
        <v>71</v>
      </c>
      <c r="F799" s="1" t="s">
        <v>20</v>
      </c>
      <c r="G799" s="1" t="s">
        <v>1343</v>
      </c>
      <c r="H799" s="1" t="s">
        <v>22</v>
      </c>
      <c r="I799" s="1">
        <v>43</v>
      </c>
      <c r="J799" s="1">
        <v>37509</v>
      </c>
      <c r="K799" s="1" t="s">
        <v>24</v>
      </c>
      <c r="L799" s="1" t="s">
        <v>101</v>
      </c>
      <c r="M799" s="1" t="s">
        <v>35</v>
      </c>
      <c r="N799" s="1">
        <v>29800</v>
      </c>
      <c r="O799" s="12">
        <v>31500</v>
      </c>
      <c r="P799" s="3" t="s">
        <v>46</v>
      </c>
      <c r="Q799" s="1" cm="1">
        <f t="array" ref="Q799">VALUE(INDEX(_xlfn.TEXTSPLIT(P799, " "), 4))</f>
        <v>2014</v>
      </c>
      <c r="R799" s="1" t="str">
        <f t="shared" si="12"/>
        <v>BMW 3 Series 335i</v>
      </c>
      <c r="S799" s="1" t="str" cm="1">
        <f t="array" ref="S799">_xlfn.IFS(I799 &gt;= 40, "High", I799&gt;=20, "Medium", I799&lt;20, "Low")</f>
        <v>High</v>
      </c>
      <c r="T799" s="1" t="str" cm="1">
        <f t="array" ref="T799">_xlfn.IFS(O799&lt;18200, "Low", O799&lt;=50000, "Medium", O799&gt;50000, "High")</f>
        <v>Medium</v>
      </c>
    </row>
    <row r="800" spans="1:20" x14ac:dyDescent="0.25">
      <c r="A800" s="2">
        <v>2012</v>
      </c>
      <c r="B800" s="1"/>
      <c r="C800" s="1"/>
      <c r="D800" s="1"/>
      <c r="E800" s="1"/>
      <c r="F800" s="1" t="s">
        <v>20</v>
      </c>
      <c r="G800" s="1" t="s">
        <v>1344</v>
      </c>
      <c r="H800" s="1" t="s">
        <v>22</v>
      </c>
      <c r="I800" s="1">
        <v>48</v>
      </c>
      <c r="J800" s="1">
        <v>39825</v>
      </c>
      <c r="K800" s="1" t="s">
        <v>101</v>
      </c>
      <c r="L800" s="1" t="s">
        <v>34</v>
      </c>
      <c r="M800" s="1" t="s">
        <v>35</v>
      </c>
      <c r="N800" s="1">
        <v>58100</v>
      </c>
      <c r="O800" s="12">
        <v>58500</v>
      </c>
      <c r="P800" s="3" t="s">
        <v>36</v>
      </c>
      <c r="Q800" s="1" cm="1">
        <f t="array" ref="Q800">VALUE(INDEX(_xlfn.TEXTSPLIT(P800, " "), 4))</f>
        <v>2015</v>
      </c>
      <c r="R800" s="1" t="str">
        <f t="shared" si="12"/>
        <v/>
      </c>
      <c r="S800" s="1" t="str" cm="1">
        <f t="array" ref="S800">_xlfn.IFS(I800 &gt;= 40, "High", I800&gt;=20, "Medium", I800&lt;20, "Low")</f>
        <v>High</v>
      </c>
      <c r="T800" s="1" t="str" cm="1">
        <f t="array" ref="T800">_xlfn.IFS(O800&lt;18200, "Low", O800&lt;=50000, "Medium", O800&gt;50000, "High")</f>
        <v>High</v>
      </c>
    </row>
    <row r="801" spans="1:20" x14ac:dyDescent="0.25">
      <c r="A801" s="2">
        <v>2012</v>
      </c>
      <c r="B801" s="1" t="s">
        <v>1259</v>
      </c>
      <c r="C801" s="1" t="s">
        <v>1260</v>
      </c>
      <c r="D801" s="1" t="s">
        <v>1260</v>
      </c>
      <c r="E801" s="1"/>
      <c r="F801" s="1" t="s">
        <v>20</v>
      </c>
      <c r="G801" s="1" t="s">
        <v>1345</v>
      </c>
      <c r="H801" s="1" t="s">
        <v>22</v>
      </c>
      <c r="I801" s="1">
        <v>39</v>
      </c>
      <c r="J801" s="1">
        <v>36156</v>
      </c>
      <c r="K801" s="1" t="s">
        <v>94</v>
      </c>
      <c r="L801" s="1" t="s">
        <v>34</v>
      </c>
      <c r="M801" s="1" t="s">
        <v>35</v>
      </c>
      <c r="N801" s="1">
        <v>34800</v>
      </c>
      <c r="O801" s="12">
        <v>35500</v>
      </c>
      <c r="P801" s="3" t="s">
        <v>46</v>
      </c>
      <c r="Q801" s="1" cm="1">
        <f t="array" ref="Q801">VALUE(INDEX(_xlfn.TEXTSPLIT(P801, " "), 4))</f>
        <v>2014</v>
      </c>
      <c r="R801" s="1" t="str">
        <f t="shared" si="12"/>
        <v>bmw 750i 750i</v>
      </c>
      <c r="S801" s="1" t="str" cm="1">
        <f t="array" ref="S801">_xlfn.IFS(I801 &gt;= 40, "High", I801&gt;=20, "Medium", I801&lt;20, "Low")</f>
        <v>Medium</v>
      </c>
      <c r="T801" s="1" t="str" cm="1">
        <f t="array" ref="T801">_xlfn.IFS(O801&lt;18200, "Low", O801&lt;=50000, "Medium", O801&gt;50000, "High")</f>
        <v>Medium</v>
      </c>
    </row>
    <row r="802" spans="1:20" x14ac:dyDescent="0.25">
      <c r="A802" s="2">
        <v>2012</v>
      </c>
      <c r="B802" s="1" t="s">
        <v>29</v>
      </c>
      <c r="C802" s="1" t="s">
        <v>111</v>
      </c>
      <c r="D802" s="1" t="s">
        <v>44</v>
      </c>
      <c r="E802" s="1" t="s">
        <v>71</v>
      </c>
      <c r="F802" s="1" t="s">
        <v>20</v>
      </c>
      <c r="G802" s="1" t="s">
        <v>1346</v>
      </c>
      <c r="H802" s="1" t="s">
        <v>22</v>
      </c>
      <c r="I802" s="1">
        <v>38</v>
      </c>
      <c r="J802" s="1">
        <v>22845</v>
      </c>
      <c r="K802" s="1" t="s">
        <v>23</v>
      </c>
      <c r="L802" s="1" t="s">
        <v>101</v>
      </c>
      <c r="M802" s="1" t="s">
        <v>35</v>
      </c>
      <c r="N802" s="1">
        <v>50000</v>
      </c>
      <c r="O802" s="12">
        <v>52500</v>
      </c>
      <c r="P802" s="3" t="s">
        <v>46</v>
      </c>
      <c r="Q802" s="1" cm="1">
        <f t="array" ref="Q802">VALUE(INDEX(_xlfn.TEXTSPLIT(P802, " "), 4))</f>
        <v>2014</v>
      </c>
      <c r="R802" s="1" t="str">
        <f t="shared" si="12"/>
        <v>BMW 6 Series 650i</v>
      </c>
      <c r="S802" s="1" t="str" cm="1">
        <f t="array" ref="S802">_xlfn.IFS(I802 &gt;= 40, "High", I802&gt;=20, "Medium", I802&lt;20, "Low")</f>
        <v>Medium</v>
      </c>
      <c r="T802" s="1" t="str" cm="1">
        <f t="array" ref="T802">_xlfn.IFS(O802&lt;18200, "Low", O802&lt;=50000, "Medium", O802&gt;50000, "High")</f>
        <v>High</v>
      </c>
    </row>
    <row r="803" spans="1:20" x14ac:dyDescent="0.25">
      <c r="A803" s="2">
        <v>2012</v>
      </c>
      <c r="B803" s="1" t="s">
        <v>29</v>
      </c>
      <c r="C803" s="1" t="s">
        <v>1276</v>
      </c>
      <c r="D803" s="1" t="s">
        <v>1301</v>
      </c>
      <c r="E803" s="1" t="s">
        <v>32</v>
      </c>
      <c r="F803" s="1" t="s">
        <v>20</v>
      </c>
      <c r="G803" s="1" t="s">
        <v>1347</v>
      </c>
      <c r="H803" s="1" t="s">
        <v>22</v>
      </c>
      <c r="I803" s="1">
        <v>39</v>
      </c>
      <c r="J803" s="1">
        <v>24576</v>
      </c>
      <c r="K803" s="1" t="s">
        <v>24</v>
      </c>
      <c r="L803" s="1" t="s">
        <v>24</v>
      </c>
      <c r="M803" s="1" t="s">
        <v>35</v>
      </c>
      <c r="N803" s="1">
        <v>41800</v>
      </c>
      <c r="O803" s="12">
        <v>40500</v>
      </c>
      <c r="P803" s="3" t="s">
        <v>46</v>
      </c>
      <c r="Q803" s="1" cm="1">
        <f t="array" ref="Q803">VALUE(INDEX(_xlfn.TEXTSPLIT(P803, " "), 4))</f>
        <v>2014</v>
      </c>
      <c r="R803" s="1" t="str">
        <f t="shared" si="12"/>
        <v>BMW 7 Series 740Li</v>
      </c>
      <c r="S803" s="1" t="str" cm="1">
        <f t="array" ref="S803">_xlfn.IFS(I803 &gt;= 40, "High", I803&gt;=20, "Medium", I803&lt;20, "Low")</f>
        <v>Medium</v>
      </c>
      <c r="T803" s="1" t="str" cm="1">
        <f t="array" ref="T803">_xlfn.IFS(O803&lt;18200, "Low", O803&lt;=50000, "Medium", O803&gt;50000, "High")</f>
        <v>Medium</v>
      </c>
    </row>
    <row r="804" spans="1:20" x14ac:dyDescent="0.25">
      <c r="A804" s="2">
        <v>2012</v>
      </c>
      <c r="B804" s="1" t="s">
        <v>184</v>
      </c>
      <c r="C804" s="1" t="s">
        <v>1290</v>
      </c>
      <c r="D804" s="1" t="s">
        <v>54</v>
      </c>
      <c r="E804" s="1" t="s">
        <v>32</v>
      </c>
      <c r="F804" s="1" t="s">
        <v>20</v>
      </c>
      <c r="G804" s="1" t="s">
        <v>1348</v>
      </c>
      <c r="H804" s="1" t="s">
        <v>22</v>
      </c>
      <c r="I804" s="1">
        <v>42</v>
      </c>
      <c r="J804" s="1">
        <v>32354</v>
      </c>
      <c r="K804" s="1" t="s">
        <v>24</v>
      </c>
      <c r="L804" s="1" t="s">
        <v>28</v>
      </c>
      <c r="M804" s="1" t="s">
        <v>1266</v>
      </c>
      <c r="N804" s="1">
        <v>18900</v>
      </c>
      <c r="O804" s="12">
        <v>20300</v>
      </c>
      <c r="P804" s="3" t="s">
        <v>68</v>
      </c>
      <c r="Q804" s="1" cm="1">
        <f t="array" ref="Q804">VALUE(INDEX(_xlfn.TEXTSPLIT(P804, " "), 4))</f>
        <v>2014</v>
      </c>
      <c r="R804" s="1" t="str">
        <f t="shared" si="12"/>
        <v>Acura TL Base</v>
      </c>
      <c r="S804" s="1" t="str" cm="1">
        <f t="array" ref="S804">_xlfn.IFS(I804 &gt;= 40, "High", I804&gt;=20, "Medium", I804&lt;20, "Low")</f>
        <v>High</v>
      </c>
      <c r="T804" s="1" t="str" cm="1">
        <f t="array" ref="T804">_xlfn.IFS(O804&lt;18200, "Low", O804&lt;=50000, "Medium", O804&gt;50000, "High")</f>
        <v>Medium</v>
      </c>
    </row>
    <row r="805" spans="1:20" x14ac:dyDescent="0.25">
      <c r="A805" s="2">
        <v>2012</v>
      </c>
      <c r="B805" s="1"/>
      <c r="C805" s="1"/>
      <c r="D805" s="1"/>
      <c r="E805" s="1"/>
      <c r="F805" s="1" t="s">
        <v>20</v>
      </c>
      <c r="G805" s="1" t="s">
        <v>1349</v>
      </c>
      <c r="H805" s="1" t="s">
        <v>22</v>
      </c>
      <c r="I805" s="1">
        <v>49</v>
      </c>
      <c r="J805" s="1">
        <v>35093</v>
      </c>
      <c r="K805" s="1" t="s">
        <v>94</v>
      </c>
      <c r="L805" s="1" t="s">
        <v>82</v>
      </c>
      <c r="M805" s="1" t="s">
        <v>35</v>
      </c>
      <c r="N805" s="1">
        <v>45200</v>
      </c>
      <c r="O805" s="12">
        <v>44500</v>
      </c>
      <c r="P805" s="3" t="s">
        <v>42</v>
      </c>
      <c r="Q805" s="1" cm="1">
        <f t="array" ref="Q805">VALUE(INDEX(_xlfn.TEXTSPLIT(P805, " "), 4))</f>
        <v>2015</v>
      </c>
      <c r="R805" s="1" t="str">
        <f t="shared" si="12"/>
        <v/>
      </c>
      <c r="S805" s="1" t="str" cm="1">
        <f t="array" ref="S805">_xlfn.IFS(I805 &gt;= 40, "High", I805&gt;=20, "Medium", I805&lt;20, "Low")</f>
        <v>High</v>
      </c>
      <c r="T805" s="1" t="str" cm="1">
        <f t="array" ref="T805">_xlfn.IFS(O805&lt;18200, "Low", O805&lt;=50000, "Medium", O805&gt;50000, "High")</f>
        <v>Medium</v>
      </c>
    </row>
    <row r="806" spans="1:20" x14ac:dyDescent="0.25">
      <c r="A806" s="2">
        <v>2012</v>
      </c>
      <c r="B806" s="1" t="s">
        <v>29</v>
      </c>
      <c r="C806" s="1" t="s">
        <v>111</v>
      </c>
      <c r="D806" s="1" t="s">
        <v>1288</v>
      </c>
      <c r="E806" s="1" t="s">
        <v>71</v>
      </c>
      <c r="F806" s="1" t="s">
        <v>20</v>
      </c>
      <c r="G806" s="1" t="s">
        <v>1350</v>
      </c>
      <c r="H806" s="1" t="s">
        <v>22</v>
      </c>
      <c r="I806" s="1">
        <v>41</v>
      </c>
      <c r="J806" s="1">
        <v>51983</v>
      </c>
      <c r="K806" s="1" t="s">
        <v>24</v>
      </c>
      <c r="L806" s="1" t="s">
        <v>101</v>
      </c>
      <c r="M806" s="1" t="s">
        <v>35</v>
      </c>
      <c r="N806" s="1">
        <v>41400</v>
      </c>
      <c r="O806" s="12">
        <v>40000</v>
      </c>
      <c r="P806" s="3" t="s">
        <v>36</v>
      </c>
      <c r="Q806" s="1" cm="1">
        <f t="array" ref="Q806">VALUE(INDEX(_xlfn.TEXTSPLIT(P806, " "), 4))</f>
        <v>2015</v>
      </c>
      <c r="R806" s="1" t="str">
        <f t="shared" si="12"/>
        <v>BMW 6 Series 640i</v>
      </c>
      <c r="S806" s="1" t="str" cm="1">
        <f t="array" ref="S806">_xlfn.IFS(I806 &gt;= 40, "High", I806&gt;=20, "Medium", I806&lt;20, "Low")</f>
        <v>High</v>
      </c>
      <c r="T806" s="1" t="str" cm="1">
        <f t="array" ref="T806">_xlfn.IFS(O806&lt;18200, "Low", O806&lt;=50000, "Medium", O806&gt;50000, "High")</f>
        <v>Medium</v>
      </c>
    </row>
    <row r="807" spans="1:20" x14ac:dyDescent="0.25">
      <c r="A807" s="2">
        <v>2012</v>
      </c>
      <c r="B807" s="1" t="s">
        <v>184</v>
      </c>
      <c r="C807" s="1" t="s">
        <v>1264</v>
      </c>
      <c r="D807" s="1" t="s">
        <v>54</v>
      </c>
      <c r="E807" s="1" t="s">
        <v>32</v>
      </c>
      <c r="F807" s="1" t="s">
        <v>20</v>
      </c>
      <c r="G807" s="1" t="s">
        <v>1351</v>
      </c>
      <c r="H807" s="1" t="s">
        <v>22</v>
      </c>
      <c r="I807" s="1">
        <v>42</v>
      </c>
      <c r="J807" s="1">
        <v>36621</v>
      </c>
      <c r="K807" s="1" t="s">
        <v>34</v>
      </c>
      <c r="L807" s="1" t="s">
        <v>24</v>
      </c>
      <c r="M807" s="1" t="s">
        <v>1266</v>
      </c>
      <c r="N807" s="1">
        <v>16800</v>
      </c>
      <c r="O807" s="12">
        <v>18200</v>
      </c>
      <c r="P807" s="3" t="s">
        <v>68</v>
      </c>
      <c r="Q807" s="1" cm="1">
        <f t="array" ref="Q807">VALUE(INDEX(_xlfn.TEXTSPLIT(P807, " "), 4))</f>
        <v>2014</v>
      </c>
      <c r="R807" s="1" t="str">
        <f t="shared" si="12"/>
        <v>Acura TSX Base</v>
      </c>
      <c r="S807" s="1" t="str" cm="1">
        <f t="array" ref="S807">_xlfn.IFS(I807 &gt;= 40, "High", I807&gt;=20, "Medium", I807&lt;20, "Low")</f>
        <v>High</v>
      </c>
      <c r="T807" s="1" t="str" cm="1">
        <f t="array" ref="T807">_xlfn.IFS(O807&lt;18200, "Low", O807&lt;=50000, "Medium", O807&gt;50000, "High")</f>
        <v>Medium</v>
      </c>
    </row>
    <row r="808" spans="1:20" x14ac:dyDescent="0.25">
      <c r="A808" s="2">
        <v>2012</v>
      </c>
      <c r="B808" s="1" t="s">
        <v>29</v>
      </c>
      <c r="C808" s="1" t="s">
        <v>1285</v>
      </c>
      <c r="D808" s="1" t="s">
        <v>1331</v>
      </c>
      <c r="E808" s="1" t="s">
        <v>107</v>
      </c>
      <c r="F808" s="1" t="s">
        <v>214</v>
      </c>
      <c r="G808" s="1" t="s">
        <v>1352</v>
      </c>
      <c r="H808" s="1" t="s">
        <v>22</v>
      </c>
      <c r="I808" s="1">
        <v>29</v>
      </c>
      <c r="J808" s="1">
        <v>37168</v>
      </c>
      <c r="K808" s="1" t="s">
        <v>94</v>
      </c>
      <c r="L808" s="1" t="s">
        <v>34</v>
      </c>
      <c r="M808" s="1" t="s">
        <v>35</v>
      </c>
      <c r="N808" s="1">
        <v>18100</v>
      </c>
      <c r="O808" s="12">
        <v>18000</v>
      </c>
      <c r="P808" s="3" t="s">
        <v>46</v>
      </c>
      <c r="Q808" s="1" cm="1">
        <f t="array" ref="Q808">VALUE(INDEX(_xlfn.TEXTSPLIT(P808, " "), 4))</f>
        <v>2014</v>
      </c>
      <c r="R808" s="1" t="str">
        <f t="shared" si="12"/>
        <v>BMW 1 Series 128i</v>
      </c>
      <c r="S808" s="1" t="str" cm="1">
        <f t="array" ref="S808">_xlfn.IFS(I808 &gt;= 40, "High", I808&gt;=20, "Medium", I808&lt;20, "Low")</f>
        <v>Medium</v>
      </c>
      <c r="T808" s="1" t="str" cm="1">
        <f t="array" ref="T808">_xlfn.IFS(O808&lt;18200, "Low", O808&lt;=50000, "Medium", O808&gt;50000, "High")</f>
        <v>Low</v>
      </c>
    </row>
    <row r="809" spans="1:20" x14ac:dyDescent="0.25">
      <c r="A809" s="2">
        <v>2012</v>
      </c>
      <c r="B809" s="1" t="s">
        <v>29</v>
      </c>
      <c r="C809" s="1" t="s">
        <v>1276</v>
      </c>
      <c r="D809" s="1" t="s">
        <v>1301</v>
      </c>
      <c r="E809" s="1" t="s">
        <v>32</v>
      </c>
      <c r="F809" s="1" t="s">
        <v>20</v>
      </c>
      <c r="G809" s="1" t="s">
        <v>1353</v>
      </c>
      <c r="H809" s="1" t="s">
        <v>22</v>
      </c>
      <c r="I809" s="1">
        <v>36</v>
      </c>
      <c r="J809" s="1">
        <v>18602</v>
      </c>
      <c r="K809" s="1" t="s">
        <v>23</v>
      </c>
      <c r="L809" s="1" t="s">
        <v>34</v>
      </c>
      <c r="M809" s="1" t="s">
        <v>35</v>
      </c>
      <c r="N809" s="1">
        <v>43200</v>
      </c>
      <c r="O809" s="12">
        <v>42000</v>
      </c>
      <c r="P809" s="3" t="s">
        <v>36</v>
      </c>
      <c r="Q809" s="1" cm="1">
        <f t="array" ref="Q809">VALUE(INDEX(_xlfn.TEXTSPLIT(P809, " "), 4))</f>
        <v>2015</v>
      </c>
      <c r="R809" s="1" t="str">
        <f t="shared" si="12"/>
        <v>BMW 7 Series 740Li</v>
      </c>
      <c r="S809" s="1" t="str" cm="1">
        <f t="array" ref="S809">_xlfn.IFS(I809 &gt;= 40, "High", I809&gt;=20, "Medium", I809&lt;20, "Low")</f>
        <v>Medium</v>
      </c>
      <c r="T809" s="1" t="str" cm="1">
        <f t="array" ref="T809">_xlfn.IFS(O809&lt;18200, "Low", O809&lt;=50000, "Medium", O809&gt;50000, "High")</f>
        <v>Medium</v>
      </c>
    </row>
    <row r="810" spans="1:20" x14ac:dyDescent="0.25">
      <c r="A810" s="2">
        <v>2012</v>
      </c>
      <c r="B810" s="1" t="s">
        <v>184</v>
      </c>
      <c r="C810" s="1" t="s">
        <v>1354</v>
      </c>
      <c r="D810" s="1" t="s">
        <v>186</v>
      </c>
      <c r="E810" s="1" t="s">
        <v>19</v>
      </c>
      <c r="F810" s="1"/>
      <c r="G810" s="1" t="s">
        <v>1355</v>
      </c>
      <c r="H810" s="1" t="s">
        <v>22</v>
      </c>
      <c r="I810" s="1">
        <v>4</v>
      </c>
      <c r="J810" s="1">
        <v>35348</v>
      </c>
      <c r="K810" s="1" t="s">
        <v>34</v>
      </c>
      <c r="L810" s="1" t="s">
        <v>28</v>
      </c>
      <c r="M810" s="1" t="s">
        <v>1266</v>
      </c>
      <c r="N810" s="1">
        <v>22700</v>
      </c>
      <c r="O810" s="12">
        <v>22000</v>
      </c>
      <c r="P810" s="3" t="s">
        <v>68</v>
      </c>
      <c r="Q810" s="1" cm="1">
        <f t="array" ref="Q810">VALUE(INDEX(_xlfn.TEXTSPLIT(P810, " "), 4))</f>
        <v>2014</v>
      </c>
      <c r="R810" s="1" t="str">
        <f t="shared" si="12"/>
        <v>Acura RDX Technology Package</v>
      </c>
      <c r="S810" s="1" t="str" cm="1">
        <f t="array" ref="S810">_xlfn.IFS(I810 &gt;= 40, "High", I810&gt;=20, "Medium", I810&lt;20, "Low")</f>
        <v>Low</v>
      </c>
      <c r="T810" s="1" t="str" cm="1">
        <f t="array" ref="T810">_xlfn.IFS(O810&lt;18200, "Low", O810&lt;=50000, "Medium", O810&gt;50000, "High")</f>
        <v>Medium</v>
      </c>
    </row>
    <row r="811" spans="1:20" x14ac:dyDescent="0.25">
      <c r="A811" s="2">
        <v>2012</v>
      </c>
      <c r="B811" s="1" t="s">
        <v>29</v>
      </c>
      <c r="C811" s="1" t="s">
        <v>1356</v>
      </c>
      <c r="D811" s="1" t="s">
        <v>54</v>
      </c>
      <c r="E811" s="1" t="s">
        <v>71</v>
      </c>
      <c r="F811" s="1" t="s">
        <v>20</v>
      </c>
      <c r="G811" s="1" t="s">
        <v>1357</v>
      </c>
      <c r="H811" s="1" t="s">
        <v>22</v>
      </c>
      <c r="I811" s="1">
        <v>35</v>
      </c>
      <c r="J811" s="1">
        <v>25240</v>
      </c>
      <c r="K811" s="1" t="s">
        <v>24</v>
      </c>
      <c r="L811" s="1" t="s">
        <v>24</v>
      </c>
      <c r="M811" s="1" t="s">
        <v>35</v>
      </c>
      <c r="N811" s="1">
        <v>42000</v>
      </c>
      <c r="O811" s="12">
        <v>42500</v>
      </c>
      <c r="P811" s="3" t="s">
        <v>46</v>
      </c>
      <c r="Q811" s="1" cm="1">
        <f t="array" ref="Q811">VALUE(INDEX(_xlfn.TEXTSPLIT(P811, " "), 4))</f>
        <v>2014</v>
      </c>
      <c r="R811" s="1" t="str">
        <f t="shared" si="12"/>
        <v>BMW M3 Base</v>
      </c>
      <c r="S811" s="1" t="str" cm="1">
        <f t="array" ref="S811">_xlfn.IFS(I811 &gt;= 40, "High", I811&gt;=20, "Medium", I811&lt;20, "Low")</f>
        <v>Medium</v>
      </c>
      <c r="T811" s="1" t="str" cm="1">
        <f t="array" ref="T811">_xlfn.IFS(O811&lt;18200, "Low", O811&lt;=50000, "Medium", O811&gt;50000, "High")</f>
        <v>Medium</v>
      </c>
    </row>
    <row r="812" spans="1:20" x14ac:dyDescent="0.25">
      <c r="A812" s="2">
        <v>2012</v>
      </c>
      <c r="B812" s="1" t="s">
        <v>29</v>
      </c>
      <c r="C812" s="1" t="s">
        <v>30</v>
      </c>
      <c r="D812" s="1" t="s">
        <v>1282</v>
      </c>
      <c r="E812" s="1" t="s">
        <v>32</v>
      </c>
      <c r="F812" s="1" t="s">
        <v>20</v>
      </c>
      <c r="G812" s="1" t="s">
        <v>1358</v>
      </c>
      <c r="H812" s="1" t="s">
        <v>22</v>
      </c>
      <c r="I812" s="1">
        <v>44</v>
      </c>
      <c r="J812" s="1">
        <v>19411</v>
      </c>
      <c r="K812" s="1" t="s">
        <v>34</v>
      </c>
      <c r="L812" s="1" t="s">
        <v>101</v>
      </c>
      <c r="M812" s="1" t="s">
        <v>35</v>
      </c>
      <c r="N812" s="1">
        <v>26600</v>
      </c>
      <c r="O812" s="12">
        <v>27250</v>
      </c>
      <c r="P812" s="3" t="s">
        <v>36</v>
      </c>
      <c r="Q812" s="1" cm="1">
        <f t="array" ref="Q812">VALUE(INDEX(_xlfn.TEXTSPLIT(P812, " "), 4))</f>
        <v>2015</v>
      </c>
      <c r="R812" s="1" t="str">
        <f t="shared" si="12"/>
        <v>BMW 3 Series 328i</v>
      </c>
      <c r="S812" s="1" t="str" cm="1">
        <f t="array" ref="S812">_xlfn.IFS(I812 &gt;= 40, "High", I812&gt;=20, "Medium", I812&lt;20, "Low")</f>
        <v>High</v>
      </c>
      <c r="T812" s="1" t="str" cm="1">
        <f t="array" ref="T812">_xlfn.IFS(O812&lt;18200, "Low", O812&lt;=50000, "Medium", O812&gt;50000, "High")</f>
        <v>Medium</v>
      </c>
    </row>
    <row r="813" spans="1:20" x14ac:dyDescent="0.25">
      <c r="A813" s="2">
        <v>2012</v>
      </c>
      <c r="B813" s="1" t="s">
        <v>29</v>
      </c>
      <c r="C813" s="1" t="s">
        <v>117</v>
      </c>
      <c r="D813" s="1" t="s">
        <v>1359</v>
      </c>
      <c r="E813" s="1" t="s">
        <v>32</v>
      </c>
      <c r="F813" s="1" t="s">
        <v>20</v>
      </c>
      <c r="G813" s="1" t="s">
        <v>1360</v>
      </c>
      <c r="H813" s="1" t="s">
        <v>22</v>
      </c>
      <c r="I813" s="1">
        <v>47</v>
      </c>
      <c r="J813" s="1">
        <v>38066</v>
      </c>
      <c r="K813" s="1" t="s">
        <v>24</v>
      </c>
      <c r="L813" s="1" t="s">
        <v>24</v>
      </c>
      <c r="M813" s="1" t="s">
        <v>35</v>
      </c>
      <c r="N813" s="1">
        <v>40200</v>
      </c>
      <c r="O813" s="12">
        <v>42500</v>
      </c>
      <c r="P813" s="3" t="s">
        <v>46</v>
      </c>
      <c r="Q813" s="1" cm="1">
        <f t="array" ref="Q813">VALUE(INDEX(_xlfn.TEXTSPLIT(P813, " "), 4))</f>
        <v>2014</v>
      </c>
      <c r="R813" s="1" t="str">
        <f t="shared" si="12"/>
        <v>BMW 5 Series 550i</v>
      </c>
      <c r="S813" s="1" t="str" cm="1">
        <f t="array" ref="S813">_xlfn.IFS(I813 &gt;= 40, "High", I813&gt;=20, "Medium", I813&lt;20, "Low")</f>
        <v>High</v>
      </c>
      <c r="T813" s="1" t="str" cm="1">
        <f t="array" ref="T813">_xlfn.IFS(O813&lt;18200, "Low", O813&lt;=50000, "Medium", O813&gt;50000, "High")</f>
        <v>Medium</v>
      </c>
    </row>
    <row r="814" spans="1:20" x14ac:dyDescent="0.25">
      <c r="A814" s="2">
        <v>2012</v>
      </c>
      <c r="B814" s="1" t="s">
        <v>29</v>
      </c>
      <c r="C814" s="1" t="s">
        <v>111</v>
      </c>
      <c r="D814" s="1" t="s">
        <v>44</v>
      </c>
      <c r="E814" s="1" t="s">
        <v>71</v>
      </c>
      <c r="F814" s="1" t="s">
        <v>20</v>
      </c>
      <c r="G814" s="1" t="s">
        <v>1361</v>
      </c>
      <c r="H814" s="1" t="s">
        <v>22</v>
      </c>
      <c r="I814" s="1">
        <v>4</v>
      </c>
      <c r="J814" s="1">
        <v>28606</v>
      </c>
      <c r="K814" s="1" t="s">
        <v>34</v>
      </c>
      <c r="L814" s="1" t="s">
        <v>24</v>
      </c>
      <c r="M814" s="1" t="s">
        <v>35</v>
      </c>
      <c r="N814" s="1">
        <v>48600</v>
      </c>
      <c r="O814" s="12">
        <v>49500</v>
      </c>
      <c r="P814" s="3" t="s">
        <v>46</v>
      </c>
      <c r="Q814" s="1" cm="1">
        <f t="array" ref="Q814">VALUE(INDEX(_xlfn.TEXTSPLIT(P814, " "), 4))</f>
        <v>2014</v>
      </c>
      <c r="R814" s="1" t="str">
        <f t="shared" si="12"/>
        <v>BMW 6 Series 650i</v>
      </c>
      <c r="S814" s="1" t="str" cm="1">
        <f t="array" ref="S814">_xlfn.IFS(I814 &gt;= 40, "High", I814&gt;=20, "Medium", I814&lt;20, "Low")</f>
        <v>Low</v>
      </c>
      <c r="T814" s="1" t="str" cm="1">
        <f t="array" ref="T814">_xlfn.IFS(O814&lt;18200, "Low", O814&lt;=50000, "Medium", O814&gt;50000, "High")</f>
        <v>Medium</v>
      </c>
    </row>
    <row r="815" spans="1:20" x14ac:dyDescent="0.25">
      <c r="A815" s="2">
        <v>2012</v>
      </c>
      <c r="B815" s="1" t="s">
        <v>29</v>
      </c>
      <c r="C815" s="1" t="s">
        <v>30</v>
      </c>
      <c r="D815" s="1" t="s">
        <v>1282</v>
      </c>
      <c r="E815" s="1" t="s">
        <v>107</v>
      </c>
      <c r="F815" s="1" t="s">
        <v>20</v>
      </c>
      <c r="G815" s="1" t="s">
        <v>1362</v>
      </c>
      <c r="H815" s="1" t="s">
        <v>22</v>
      </c>
      <c r="I815" s="1">
        <v>47</v>
      </c>
      <c r="J815" s="1">
        <v>26086</v>
      </c>
      <c r="K815" s="1" t="s">
        <v>24</v>
      </c>
      <c r="L815" s="1" t="s">
        <v>24</v>
      </c>
      <c r="M815" s="1" t="s">
        <v>35</v>
      </c>
      <c r="N815" s="1">
        <v>22300</v>
      </c>
      <c r="O815" s="12">
        <v>22750</v>
      </c>
      <c r="P815" s="3" t="s">
        <v>46</v>
      </c>
      <c r="Q815" s="1" cm="1">
        <f t="array" ref="Q815">VALUE(INDEX(_xlfn.TEXTSPLIT(P815, " "), 4))</f>
        <v>2014</v>
      </c>
      <c r="R815" s="1" t="str">
        <f t="shared" si="12"/>
        <v>BMW 3 Series 328i</v>
      </c>
      <c r="S815" s="1" t="str" cm="1">
        <f t="array" ref="S815">_xlfn.IFS(I815 &gt;= 40, "High", I815&gt;=20, "Medium", I815&lt;20, "Low")</f>
        <v>High</v>
      </c>
      <c r="T815" s="1" t="str" cm="1">
        <f t="array" ref="T815">_xlfn.IFS(O815&lt;18200, "Low", O815&lt;=50000, "Medium", O815&gt;50000, "High")</f>
        <v>Medium</v>
      </c>
    </row>
    <row r="816" spans="1:20" x14ac:dyDescent="0.25">
      <c r="A816" s="2">
        <v>2012</v>
      </c>
      <c r="B816" s="1" t="s">
        <v>1259</v>
      </c>
      <c r="C816" s="1" t="s">
        <v>1303</v>
      </c>
      <c r="D816" s="1" t="s">
        <v>1303</v>
      </c>
      <c r="E816" s="1"/>
      <c r="F816" s="1" t="s">
        <v>20</v>
      </c>
      <c r="G816" s="1" t="s">
        <v>1363</v>
      </c>
      <c r="H816" s="1" t="s">
        <v>22</v>
      </c>
      <c r="I816" s="1">
        <v>49</v>
      </c>
      <c r="J816" s="1">
        <v>17647</v>
      </c>
      <c r="K816" s="1" t="s">
        <v>34</v>
      </c>
      <c r="L816" s="1" t="s">
        <v>24</v>
      </c>
      <c r="M816" s="1" t="s">
        <v>35</v>
      </c>
      <c r="N816" s="1">
        <v>49000</v>
      </c>
      <c r="O816" s="12">
        <v>49000</v>
      </c>
      <c r="P816" s="3" t="s">
        <v>46</v>
      </c>
      <c r="Q816" s="1" cm="1">
        <f t="array" ref="Q816">VALUE(INDEX(_xlfn.TEXTSPLIT(P816, " "), 4))</f>
        <v>2014</v>
      </c>
      <c r="R816" s="1" t="str">
        <f t="shared" si="12"/>
        <v>bmw 750li 750li</v>
      </c>
      <c r="S816" s="1" t="str" cm="1">
        <f t="array" ref="S816">_xlfn.IFS(I816 &gt;= 40, "High", I816&gt;=20, "Medium", I816&lt;20, "Low")</f>
        <v>High</v>
      </c>
      <c r="T816" s="1" t="str" cm="1">
        <f t="array" ref="T816">_xlfn.IFS(O816&lt;18200, "Low", O816&lt;=50000, "Medium", O816&gt;50000, "High")</f>
        <v>Medium</v>
      </c>
    </row>
    <row r="817" spans="1:20" x14ac:dyDescent="0.25">
      <c r="A817" s="2">
        <v>2012</v>
      </c>
      <c r="B817" s="1" t="s">
        <v>29</v>
      </c>
      <c r="C817" s="1" t="s">
        <v>111</v>
      </c>
      <c r="D817" s="1" t="s">
        <v>1288</v>
      </c>
      <c r="E817" s="1" t="s">
        <v>71</v>
      </c>
      <c r="F817" s="1" t="s">
        <v>20</v>
      </c>
      <c r="G817" s="1" t="s">
        <v>1364</v>
      </c>
      <c r="H817" s="1" t="s">
        <v>22</v>
      </c>
      <c r="I817" s="1">
        <v>48</v>
      </c>
      <c r="J817" s="1">
        <v>43505</v>
      </c>
      <c r="K817" s="1" t="s">
        <v>34</v>
      </c>
      <c r="L817" s="1" t="s">
        <v>24</v>
      </c>
      <c r="M817" s="1" t="s">
        <v>35</v>
      </c>
      <c r="N817" s="1">
        <v>43000</v>
      </c>
      <c r="O817" s="12">
        <v>44500</v>
      </c>
      <c r="P817" s="3" t="s">
        <v>46</v>
      </c>
      <c r="Q817" s="1" cm="1">
        <f t="array" ref="Q817">VALUE(INDEX(_xlfn.TEXTSPLIT(P817, " "), 4))</f>
        <v>2014</v>
      </c>
      <c r="R817" s="1" t="str">
        <f t="shared" si="12"/>
        <v>BMW 6 Series 640i</v>
      </c>
      <c r="S817" s="1" t="str" cm="1">
        <f t="array" ref="S817">_xlfn.IFS(I817 &gt;= 40, "High", I817&gt;=20, "Medium", I817&lt;20, "Low")</f>
        <v>High</v>
      </c>
      <c r="T817" s="1" t="str" cm="1">
        <f t="array" ref="T817">_xlfn.IFS(O817&lt;18200, "Low", O817&lt;=50000, "Medium", O817&gt;50000, "High")</f>
        <v>Medium</v>
      </c>
    </row>
    <row r="818" spans="1:20" x14ac:dyDescent="0.25">
      <c r="A818" s="2">
        <v>2012</v>
      </c>
      <c r="B818" s="1" t="s">
        <v>29</v>
      </c>
      <c r="C818" s="1" t="s">
        <v>111</v>
      </c>
      <c r="D818" s="1" t="s">
        <v>1365</v>
      </c>
      <c r="E818" s="1" t="s">
        <v>71</v>
      </c>
      <c r="F818" s="1" t="s">
        <v>20</v>
      </c>
      <c r="G818" s="1" t="s">
        <v>1366</v>
      </c>
      <c r="H818" s="1" t="s">
        <v>22</v>
      </c>
      <c r="I818" s="1">
        <v>33</v>
      </c>
      <c r="J818" s="1">
        <v>32289</v>
      </c>
      <c r="K818" s="1" t="s">
        <v>34</v>
      </c>
      <c r="L818" s="1" t="s">
        <v>24</v>
      </c>
      <c r="M818" s="1" t="s">
        <v>35</v>
      </c>
      <c r="N818" s="1">
        <v>47000</v>
      </c>
      <c r="O818" s="12">
        <v>48000</v>
      </c>
      <c r="P818" s="3" t="s">
        <v>46</v>
      </c>
      <c r="Q818" s="1" cm="1">
        <f t="array" ref="Q818">VALUE(INDEX(_xlfn.TEXTSPLIT(P818, " "), 4))</f>
        <v>2014</v>
      </c>
      <c r="R818" s="1" t="str">
        <f t="shared" si="12"/>
        <v>BMW 6 Series 650i xDrive</v>
      </c>
      <c r="S818" s="1" t="str" cm="1">
        <f t="array" ref="S818">_xlfn.IFS(I818 &gt;= 40, "High", I818&gt;=20, "Medium", I818&lt;20, "Low")</f>
        <v>Medium</v>
      </c>
      <c r="T818" s="1" t="str" cm="1">
        <f t="array" ref="T818">_xlfn.IFS(O818&lt;18200, "Low", O818&lt;=50000, "Medium", O818&gt;50000, "High")</f>
        <v>Medium</v>
      </c>
    </row>
    <row r="819" spans="1:20" x14ac:dyDescent="0.25">
      <c r="A819" s="2">
        <v>2012</v>
      </c>
      <c r="B819" s="1" t="s">
        <v>29</v>
      </c>
      <c r="C819" s="1" t="s">
        <v>111</v>
      </c>
      <c r="D819" s="1" t="s">
        <v>44</v>
      </c>
      <c r="E819" s="1" t="s">
        <v>71</v>
      </c>
      <c r="F819" s="1" t="s">
        <v>20</v>
      </c>
      <c r="G819" s="1" t="s">
        <v>1367</v>
      </c>
      <c r="H819" s="1" t="s">
        <v>22</v>
      </c>
      <c r="I819" s="1">
        <v>44</v>
      </c>
      <c r="J819" s="1">
        <v>53404</v>
      </c>
      <c r="K819" s="1" t="s">
        <v>23</v>
      </c>
      <c r="L819" s="1" t="s">
        <v>101</v>
      </c>
      <c r="M819" s="1" t="s">
        <v>35</v>
      </c>
      <c r="N819" s="1">
        <v>43500</v>
      </c>
      <c r="O819" s="12">
        <v>43500</v>
      </c>
      <c r="P819" s="3" t="s">
        <v>46</v>
      </c>
      <c r="Q819" s="1" cm="1">
        <f t="array" ref="Q819">VALUE(INDEX(_xlfn.TEXTSPLIT(P819, " "), 4))</f>
        <v>2014</v>
      </c>
      <c r="R819" s="1" t="str">
        <f t="shared" si="12"/>
        <v>BMW 6 Series 650i</v>
      </c>
      <c r="S819" s="1" t="str" cm="1">
        <f t="array" ref="S819">_xlfn.IFS(I819 &gt;= 40, "High", I819&gt;=20, "Medium", I819&lt;20, "Low")</f>
        <v>High</v>
      </c>
      <c r="T819" s="1" t="str" cm="1">
        <f t="array" ref="T819">_xlfn.IFS(O819&lt;18200, "Low", O819&lt;=50000, "Medium", O819&gt;50000, "High")</f>
        <v>Medium</v>
      </c>
    </row>
    <row r="820" spans="1:20" x14ac:dyDescent="0.25">
      <c r="A820" s="2">
        <v>2012</v>
      </c>
      <c r="B820" s="1" t="s">
        <v>29</v>
      </c>
      <c r="C820" s="1" t="s">
        <v>111</v>
      </c>
      <c r="D820" s="1" t="s">
        <v>44</v>
      </c>
      <c r="E820" s="1" t="s">
        <v>71</v>
      </c>
      <c r="F820" s="1" t="s">
        <v>20</v>
      </c>
      <c r="G820" s="1" t="s">
        <v>1368</v>
      </c>
      <c r="H820" s="1" t="s">
        <v>22</v>
      </c>
      <c r="I820" s="1">
        <v>45</v>
      </c>
      <c r="J820" s="1">
        <v>21262</v>
      </c>
      <c r="K820" s="1" t="s">
        <v>23</v>
      </c>
      <c r="L820" s="1" t="s">
        <v>101</v>
      </c>
      <c r="M820" s="1" t="s">
        <v>35</v>
      </c>
      <c r="N820" s="1">
        <v>50400</v>
      </c>
      <c r="O820" s="12">
        <v>52250</v>
      </c>
      <c r="P820" s="3" t="s">
        <v>46</v>
      </c>
      <c r="Q820" s="1" cm="1">
        <f t="array" ref="Q820">VALUE(INDEX(_xlfn.TEXTSPLIT(P820, " "), 4))</f>
        <v>2014</v>
      </c>
      <c r="R820" s="1" t="str">
        <f t="shared" si="12"/>
        <v>BMW 6 Series 650i</v>
      </c>
      <c r="S820" s="1" t="str" cm="1">
        <f t="array" ref="S820">_xlfn.IFS(I820 &gt;= 40, "High", I820&gt;=20, "Medium", I820&lt;20, "Low")</f>
        <v>High</v>
      </c>
      <c r="T820" s="1" t="str" cm="1">
        <f t="array" ref="T820">_xlfn.IFS(O820&lt;18200, "Low", O820&lt;=50000, "Medium", O820&gt;50000, "High")</f>
        <v>High</v>
      </c>
    </row>
    <row r="821" spans="1:20" x14ac:dyDescent="0.25">
      <c r="A821" s="2">
        <v>2012</v>
      </c>
      <c r="B821" s="1" t="s">
        <v>1259</v>
      </c>
      <c r="C821" s="1" t="s">
        <v>1260</v>
      </c>
      <c r="D821" s="1" t="s">
        <v>1260</v>
      </c>
      <c r="E821" s="1"/>
      <c r="F821" s="1" t="s">
        <v>20</v>
      </c>
      <c r="G821" s="1" t="s">
        <v>1369</v>
      </c>
      <c r="H821" s="1" t="s">
        <v>22</v>
      </c>
      <c r="I821" s="1">
        <v>4</v>
      </c>
      <c r="J821" s="1">
        <v>40183</v>
      </c>
      <c r="K821" s="1" t="s">
        <v>34</v>
      </c>
      <c r="L821" s="1" t="s">
        <v>94</v>
      </c>
      <c r="M821" s="1" t="s">
        <v>35</v>
      </c>
      <c r="N821" s="1">
        <v>34000</v>
      </c>
      <c r="O821" s="12">
        <v>35500</v>
      </c>
      <c r="P821" s="3" t="s">
        <v>46</v>
      </c>
      <c r="Q821" s="1" cm="1">
        <f t="array" ref="Q821">VALUE(INDEX(_xlfn.TEXTSPLIT(P821, " "), 4))</f>
        <v>2014</v>
      </c>
      <c r="R821" s="1" t="str">
        <f t="shared" si="12"/>
        <v>bmw 750i 750i</v>
      </c>
      <c r="S821" s="1" t="str" cm="1">
        <f t="array" ref="S821">_xlfn.IFS(I821 &gt;= 40, "High", I821&gt;=20, "Medium", I821&lt;20, "Low")</f>
        <v>Low</v>
      </c>
      <c r="T821" s="1" t="str" cm="1">
        <f t="array" ref="T821">_xlfn.IFS(O821&lt;18200, "Low", O821&lt;=50000, "Medium", O821&gt;50000, "High")</f>
        <v>Medium</v>
      </c>
    </row>
    <row r="822" spans="1:20" x14ac:dyDescent="0.25">
      <c r="A822" s="2">
        <v>2012</v>
      </c>
      <c r="B822" s="1" t="s">
        <v>29</v>
      </c>
      <c r="C822" s="1" t="s">
        <v>1285</v>
      </c>
      <c r="D822" s="1" t="s">
        <v>1331</v>
      </c>
      <c r="E822" s="1" t="s">
        <v>71</v>
      </c>
      <c r="F822" s="1" t="s">
        <v>20</v>
      </c>
      <c r="G822" s="1" t="s">
        <v>1370</v>
      </c>
      <c r="H822" s="1" t="s">
        <v>22</v>
      </c>
      <c r="I822" s="1">
        <v>35</v>
      </c>
      <c r="J822" s="1">
        <v>24380</v>
      </c>
      <c r="K822" s="1" t="s">
        <v>24</v>
      </c>
      <c r="L822" s="1" t="s">
        <v>24</v>
      </c>
      <c r="M822" s="1" t="s">
        <v>35</v>
      </c>
      <c r="N822" s="1">
        <v>24100</v>
      </c>
      <c r="O822" s="12">
        <v>35500</v>
      </c>
      <c r="P822" s="3" t="s">
        <v>46</v>
      </c>
      <c r="Q822" s="1" cm="1">
        <f t="array" ref="Q822">VALUE(INDEX(_xlfn.TEXTSPLIT(P822, " "), 4))</f>
        <v>2014</v>
      </c>
      <c r="R822" s="1" t="str">
        <f t="shared" si="12"/>
        <v>BMW 1 Series 128i</v>
      </c>
      <c r="S822" s="1" t="str" cm="1">
        <f t="array" ref="S822">_xlfn.IFS(I822 &gt;= 40, "High", I822&gt;=20, "Medium", I822&lt;20, "Low")</f>
        <v>Medium</v>
      </c>
      <c r="T822" s="1" t="str" cm="1">
        <f t="array" ref="T822">_xlfn.IFS(O822&lt;18200, "Low", O822&lt;=50000, "Medium", O822&gt;50000, "High")</f>
        <v>Medium</v>
      </c>
    </row>
    <row r="823" spans="1:20" x14ac:dyDescent="0.25">
      <c r="A823" s="2">
        <v>2012</v>
      </c>
      <c r="B823" s="1" t="s">
        <v>681</v>
      </c>
      <c r="C823" s="1" t="s">
        <v>1371</v>
      </c>
      <c r="D823" s="1" t="s">
        <v>936</v>
      </c>
      <c r="E823" s="1" t="s">
        <v>227</v>
      </c>
      <c r="F823" s="1" t="s">
        <v>214</v>
      </c>
      <c r="G823" s="1" t="s">
        <v>1372</v>
      </c>
      <c r="H823" s="1" t="s">
        <v>22</v>
      </c>
      <c r="I823" s="1">
        <v>42</v>
      </c>
      <c r="J823" s="1">
        <v>51347</v>
      </c>
      <c r="K823" s="1" t="s">
        <v>34</v>
      </c>
      <c r="L823" s="1" t="s">
        <v>24</v>
      </c>
      <c r="M823" s="1" t="s">
        <v>1373</v>
      </c>
      <c r="N823" s="1">
        <v>13700</v>
      </c>
      <c r="O823" s="12">
        <v>13750</v>
      </c>
      <c r="P823" s="3" t="s">
        <v>57</v>
      </c>
      <c r="Q823" s="1" cm="1">
        <f t="array" ref="Q823">VALUE(INDEX(_xlfn.TEXTSPLIT(P823, " "), 4))</f>
        <v>2014</v>
      </c>
      <c r="R823" s="1" t="str">
        <f t="shared" si="12"/>
        <v>MINI Cooper Coupe S</v>
      </c>
      <c r="S823" s="1" t="str" cm="1">
        <f t="array" ref="S823">_xlfn.IFS(I823 &gt;= 40, "High", I823&gt;=20, "Medium", I823&lt;20, "Low")</f>
        <v>High</v>
      </c>
      <c r="T823" s="1" t="str" cm="1">
        <f t="array" ref="T823">_xlfn.IFS(O823&lt;18200, "Low", O823&lt;=50000, "Medium", O823&gt;50000, "High")</f>
        <v>Low</v>
      </c>
    </row>
    <row r="824" spans="1:20" x14ac:dyDescent="0.25">
      <c r="A824" s="2">
        <v>2012</v>
      </c>
      <c r="B824" s="1" t="s">
        <v>63</v>
      </c>
      <c r="C824" s="1" t="s">
        <v>1320</v>
      </c>
      <c r="D824" s="1" t="s">
        <v>1321</v>
      </c>
      <c r="E824" s="1" t="s">
        <v>107</v>
      </c>
      <c r="F824" s="1" t="s">
        <v>20</v>
      </c>
      <c r="G824" s="1" t="s">
        <v>1374</v>
      </c>
      <c r="H824" s="1" t="s">
        <v>22</v>
      </c>
      <c r="I824" s="1">
        <v>41</v>
      </c>
      <c r="J824" s="1">
        <v>33856</v>
      </c>
      <c r="K824" s="1" t="s">
        <v>23</v>
      </c>
      <c r="L824" s="1" t="s">
        <v>24</v>
      </c>
      <c r="M824" s="1" t="s">
        <v>361</v>
      </c>
      <c r="N824" s="1">
        <v>24700</v>
      </c>
      <c r="O824" s="12">
        <v>27000</v>
      </c>
      <c r="P824" s="3" t="s">
        <v>97</v>
      </c>
      <c r="Q824" s="1" cm="1">
        <f t="array" ref="Q824">VALUE(INDEX(_xlfn.TEXTSPLIT(P824, " "), 4))</f>
        <v>2014</v>
      </c>
      <c r="R824" s="1" t="str">
        <f t="shared" si="12"/>
        <v>Audi A5 2.0T Premium quattro</v>
      </c>
      <c r="S824" s="1" t="str" cm="1">
        <f t="array" ref="S824">_xlfn.IFS(I824 &gt;= 40, "High", I824&gt;=20, "Medium", I824&lt;20, "Low")</f>
        <v>High</v>
      </c>
      <c r="T824" s="1" t="str" cm="1">
        <f t="array" ref="T824">_xlfn.IFS(O824&lt;18200, "Low", O824&lt;=50000, "Medium", O824&gt;50000, "High")</f>
        <v>Medium</v>
      </c>
    </row>
    <row r="825" spans="1:20" x14ac:dyDescent="0.25">
      <c r="A825" s="2">
        <v>2012</v>
      </c>
      <c r="B825" s="1" t="s">
        <v>29</v>
      </c>
      <c r="C825" s="1" t="s">
        <v>117</v>
      </c>
      <c r="D825" s="1" t="s">
        <v>118</v>
      </c>
      <c r="E825" s="1" t="s">
        <v>32</v>
      </c>
      <c r="F825" s="1" t="s">
        <v>20</v>
      </c>
      <c r="G825" s="1" t="s">
        <v>1375</v>
      </c>
      <c r="H825" s="1" t="s">
        <v>22</v>
      </c>
      <c r="I825" s="1">
        <v>34</v>
      </c>
      <c r="J825" s="1">
        <v>31616</v>
      </c>
      <c r="K825" s="1" t="s">
        <v>34</v>
      </c>
      <c r="L825" s="1" t="s">
        <v>101</v>
      </c>
      <c r="M825" s="1" t="s">
        <v>35</v>
      </c>
      <c r="N825" s="1">
        <v>29700</v>
      </c>
      <c r="O825" s="12">
        <v>28000</v>
      </c>
      <c r="P825" s="3" t="s">
        <v>42</v>
      </c>
      <c r="Q825" s="1" cm="1">
        <f t="array" ref="Q825">VALUE(INDEX(_xlfn.TEXTSPLIT(P825, " "), 4))</f>
        <v>2015</v>
      </c>
      <c r="R825" s="1" t="str">
        <f t="shared" si="12"/>
        <v>BMW 5 Series 528i</v>
      </c>
      <c r="S825" s="1" t="str" cm="1">
        <f t="array" ref="S825">_xlfn.IFS(I825 &gt;= 40, "High", I825&gt;=20, "Medium", I825&lt;20, "Low")</f>
        <v>Medium</v>
      </c>
      <c r="T825" s="1" t="str" cm="1">
        <f t="array" ref="T825">_xlfn.IFS(O825&lt;18200, "Low", O825&lt;=50000, "Medium", O825&gt;50000, "High")</f>
        <v>Medium</v>
      </c>
    </row>
    <row r="826" spans="1:20" x14ac:dyDescent="0.25">
      <c r="A826" s="2">
        <v>2012</v>
      </c>
      <c r="B826" s="1" t="s">
        <v>29</v>
      </c>
      <c r="C826" s="1" t="s">
        <v>30</v>
      </c>
      <c r="D826" s="1" t="s">
        <v>1282</v>
      </c>
      <c r="E826" s="1" t="s">
        <v>32</v>
      </c>
      <c r="F826" s="1"/>
      <c r="G826" s="1" t="s">
        <v>1376</v>
      </c>
      <c r="H826" s="1" t="s">
        <v>22</v>
      </c>
      <c r="I826" s="1">
        <v>2</v>
      </c>
      <c r="J826" s="1">
        <v>25355</v>
      </c>
      <c r="K826" s="1" t="s">
        <v>23</v>
      </c>
      <c r="L826" s="1" t="s">
        <v>28</v>
      </c>
      <c r="M826" s="1" t="s">
        <v>377</v>
      </c>
      <c r="N826" s="1">
        <v>25300</v>
      </c>
      <c r="O826" s="12">
        <v>14750</v>
      </c>
      <c r="P826" s="3" t="s">
        <v>1377</v>
      </c>
      <c r="Q826" s="1" cm="1">
        <f t="array" ref="Q826">VALUE(INDEX(_xlfn.TEXTSPLIT(P826, " "), 4))</f>
        <v>2014</v>
      </c>
      <c r="R826" s="1" t="str">
        <f t="shared" si="12"/>
        <v>BMW 3 Series 328i</v>
      </c>
      <c r="S826" s="1" t="str" cm="1">
        <f t="array" ref="S826">_xlfn.IFS(I826 &gt;= 40, "High", I826&gt;=20, "Medium", I826&lt;20, "Low")</f>
        <v>Low</v>
      </c>
      <c r="T826" s="1" t="str" cm="1">
        <f t="array" ref="T826">_xlfn.IFS(O826&lt;18200, "Low", O826&lt;=50000, "Medium", O826&gt;50000, "High")</f>
        <v>Low</v>
      </c>
    </row>
    <row r="827" spans="1:20" x14ac:dyDescent="0.25">
      <c r="A827" s="2">
        <v>2012</v>
      </c>
      <c r="B827" s="1" t="s">
        <v>29</v>
      </c>
      <c r="C827" s="1" t="s">
        <v>117</v>
      </c>
      <c r="D827" s="1" t="s">
        <v>118</v>
      </c>
      <c r="E827" s="1" t="s">
        <v>32</v>
      </c>
      <c r="F827" s="1" t="s">
        <v>20</v>
      </c>
      <c r="G827" s="1" t="s">
        <v>1378</v>
      </c>
      <c r="H827" s="1" t="s">
        <v>22</v>
      </c>
      <c r="I827" s="1">
        <v>42</v>
      </c>
      <c r="J827" s="1">
        <v>30445</v>
      </c>
      <c r="K827" s="1" t="s">
        <v>24</v>
      </c>
      <c r="L827" s="1" t="s">
        <v>24</v>
      </c>
      <c r="M827" s="1" t="s">
        <v>35</v>
      </c>
      <c r="N827" s="1">
        <v>29900</v>
      </c>
      <c r="O827" s="12">
        <v>28500</v>
      </c>
      <c r="P827" s="3" t="s">
        <v>42</v>
      </c>
      <c r="Q827" s="1" cm="1">
        <f t="array" ref="Q827">VALUE(INDEX(_xlfn.TEXTSPLIT(P827, " "), 4))</f>
        <v>2015</v>
      </c>
      <c r="R827" s="1" t="str">
        <f t="shared" si="12"/>
        <v>BMW 5 Series 528i</v>
      </c>
      <c r="S827" s="1" t="str" cm="1">
        <f t="array" ref="S827">_xlfn.IFS(I827 &gt;= 40, "High", I827&gt;=20, "Medium", I827&lt;20, "Low")</f>
        <v>High</v>
      </c>
      <c r="T827" s="1" t="str" cm="1">
        <f t="array" ref="T827">_xlfn.IFS(O827&lt;18200, "Low", O827&lt;=50000, "Medium", O827&gt;50000, "High")</f>
        <v>Medium</v>
      </c>
    </row>
    <row r="828" spans="1:20" x14ac:dyDescent="0.25">
      <c r="A828" s="2">
        <v>2012</v>
      </c>
      <c r="B828" s="1" t="s">
        <v>29</v>
      </c>
      <c r="C828" s="1" t="s">
        <v>1356</v>
      </c>
      <c r="D828" s="1" t="s">
        <v>54</v>
      </c>
      <c r="E828" s="1" t="s">
        <v>71</v>
      </c>
      <c r="F828" s="1" t="s">
        <v>20</v>
      </c>
      <c r="G828" s="1" t="s">
        <v>1379</v>
      </c>
      <c r="H828" s="1" t="s">
        <v>22</v>
      </c>
      <c r="I828" s="1">
        <v>47</v>
      </c>
      <c r="J828" s="1">
        <v>20850</v>
      </c>
      <c r="K828" s="1" t="s">
        <v>101</v>
      </c>
      <c r="L828" s="1" t="s">
        <v>24</v>
      </c>
      <c r="M828" s="1" t="s">
        <v>35</v>
      </c>
      <c r="N828" s="1">
        <v>42800</v>
      </c>
      <c r="O828" s="12">
        <v>43500</v>
      </c>
      <c r="P828" s="3" t="s">
        <v>46</v>
      </c>
      <c r="Q828" s="1" cm="1">
        <f t="array" ref="Q828">VALUE(INDEX(_xlfn.TEXTSPLIT(P828, " "), 4))</f>
        <v>2014</v>
      </c>
      <c r="R828" s="1" t="str">
        <f t="shared" si="12"/>
        <v>BMW M3 Base</v>
      </c>
      <c r="S828" s="1" t="str" cm="1">
        <f t="array" ref="S828">_xlfn.IFS(I828 &gt;= 40, "High", I828&gt;=20, "Medium", I828&lt;20, "Low")</f>
        <v>High</v>
      </c>
      <c r="T828" s="1" t="str" cm="1">
        <f t="array" ref="T828">_xlfn.IFS(O828&lt;18200, "Low", O828&lt;=50000, "Medium", O828&gt;50000, "High")</f>
        <v>Medium</v>
      </c>
    </row>
    <row r="829" spans="1:20" x14ac:dyDescent="0.25">
      <c r="A829" s="2">
        <v>2012</v>
      </c>
      <c r="B829" s="1" t="s">
        <v>29</v>
      </c>
      <c r="C829" s="1" t="s">
        <v>1276</v>
      </c>
      <c r="D829" s="1" t="s">
        <v>1277</v>
      </c>
      <c r="E829" s="1" t="s">
        <v>32</v>
      </c>
      <c r="F829" s="1" t="s">
        <v>20</v>
      </c>
      <c r="G829" s="1" t="s">
        <v>1380</v>
      </c>
      <c r="H829" s="1" t="s">
        <v>22</v>
      </c>
      <c r="I829" s="1">
        <v>46</v>
      </c>
      <c r="J829" s="1">
        <v>46943</v>
      </c>
      <c r="K829" s="1" t="s">
        <v>23</v>
      </c>
      <c r="L829" s="1" t="s">
        <v>24</v>
      </c>
      <c r="M829" s="1" t="s">
        <v>35</v>
      </c>
      <c r="N829" s="1">
        <v>33900</v>
      </c>
      <c r="O829" s="12">
        <v>33000</v>
      </c>
      <c r="P829" s="3" t="s">
        <v>46</v>
      </c>
      <c r="Q829" s="1" cm="1">
        <f t="array" ref="Q829">VALUE(INDEX(_xlfn.TEXTSPLIT(P829, " "), 4))</f>
        <v>2014</v>
      </c>
      <c r="R829" s="1" t="str">
        <f t="shared" si="12"/>
        <v>BMW 7 Series 740i</v>
      </c>
      <c r="S829" s="1" t="str" cm="1">
        <f t="array" ref="S829">_xlfn.IFS(I829 &gt;= 40, "High", I829&gt;=20, "Medium", I829&lt;20, "Low")</f>
        <v>High</v>
      </c>
      <c r="T829" s="1" t="str" cm="1">
        <f t="array" ref="T829">_xlfn.IFS(O829&lt;18200, "Low", O829&lt;=50000, "Medium", O829&gt;50000, "High")</f>
        <v>Medium</v>
      </c>
    </row>
    <row r="830" spans="1:20" x14ac:dyDescent="0.25">
      <c r="A830" s="2">
        <v>2012</v>
      </c>
      <c r="B830" s="1" t="s">
        <v>29</v>
      </c>
      <c r="C830" s="1" t="s">
        <v>30</v>
      </c>
      <c r="D830" s="1" t="s">
        <v>1312</v>
      </c>
      <c r="E830" s="1" t="s">
        <v>107</v>
      </c>
      <c r="F830" s="1" t="s">
        <v>214</v>
      </c>
      <c r="G830" s="1" t="s">
        <v>1381</v>
      </c>
      <c r="H830" s="1" t="s">
        <v>22</v>
      </c>
      <c r="I830" s="1">
        <v>42</v>
      </c>
      <c r="J830" s="1">
        <v>27312</v>
      </c>
      <c r="K830" s="1" t="s">
        <v>34</v>
      </c>
      <c r="L830" s="1" t="s">
        <v>34</v>
      </c>
      <c r="M830" s="1" t="s">
        <v>35</v>
      </c>
      <c r="N830" s="1">
        <v>31300</v>
      </c>
      <c r="O830" s="12">
        <v>33000</v>
      </c>
      <c r="P830" s="3" t="s">
        <v>46</v>
      </c>
      <c r="Q830" s="1" cm="1">
        <f t="array" ref="Q830">VALUE(INDEX(_xlfn.TEXTSPLIT(P830, " "), 4))</f>
        <v>2014</v>
      </c>
      <c r="R830" s="1" t="str">
        <f t="shared" si="12"/>
        <v>BMW 3 Series 335i</v>
      </c>
      <c r="S830" s="1" t="str" cm="1">
        <f t="array" ref="S830">_xlfn.IFS(I830 &gt;= 40, "High", I830&gt;=20, "Medium", I830&lt;20, "Low")</f>
        <v>High</v>
      </c>
      <c r="T830" s="1" t="str" cm="1">
        <f t="array" ref="T830">_xlfn.IFS(O830&lt;18200, "Low", O830&lt;=50000, "Medium", O830&gt;50000, "High")</f>
        <v>Medium</v>
      </c>
    </row>
    <row r="831" spans="1:20" x14ac:dyDescent="0.25">
      <c r="A831" s="2">
        <v>2012</v>
      </c>
      <c r="B831" s="1" t="s">
        <v>29</v>
      </c>
      <c r="C831" s="1" t="s">
        <v>30</v>
      </c>
      <c r="D831" s="1" t="s">
        <v>1282</v>
      </c>
      <c r="E831" s="1" t="s">
        <v>71</v>
      </c>
      <c r="F831" s="1" t="s">
        <v>20</v>
      </c>
      <c r="G831" s="1" t="s">
        <v>1382</v>
      </c>
      <c r="H831" s="1" t="s">
        <v>22</v>
      </c>
      <c r="I831" s="1">
        <v>49</v>
      </c>
      <c r="J831" s="1">
        <v>33355</v>
      </c>
      <c r="K831" s="1" t="s">
        <v>34</v>
      </c>
      <c r="L831" s="1" t="s">
        <v>24</v>
      </c>
      <c r="M831" s="1" t="s">
        <v>35</v>
      </c>
      <c r="N831" s="1">
        <v>28000</v>
      </c>
      <c r="O831" s="12">
        <v>27500</v>
      </c>
      <c r="P831" s="3" t="s">
        <v>46</v>
      </c>
      <c r="Q831" s="1" cm="1">
        <f t="array" ref="Q831">VALUE(INDEX(_xlfn.TEXTSPLIT(P831, " "), 4))</f>
        <v>2014</v>
      </c>
      <c r="R831" s="1" t="str">
        <f t="shared" si="12"/>
        <v>BMW 3 Series 328i</v>
      </c>
      <c r="S831" s="1" t="str" cm="1">
        <f t="array" ref="S831">_xlfn.IFS(I831 &gt;= 40, "High", I831&gt;=20, "Medium", I831&lt;20, "Low")</f>
        <v>High</v>
      </c>
      <c r="T831" s="1" t="str" cm="1">
        <f t="array" ref="T831">_xlfn.IFS(O831&lt;18200, "Low", O831&lt;=50000, "Medium", O831&gt;50000, "High")</f>
        <v>Medium</v>
      </c>
    </row>
    <row r="832" spans="1:20" x14ac:dyDescent="0.25">
      <c r="A832" s="2">
        <v>2012</v>
      </c>
      <c r="B832" s="1" t="s">
        <v>29</v>
      </c>
      <c r="C832" s="1" t="s">
        <v>117</v>
      </c>
      <c r="D832" s="1" t="s">
        <v>1292</v>
      </c>
      <c r="E832" s="1" t="s">
        <v>32</v>
      </c>
      <c r="F832" s="1" t="s">
        <v>20</v>
      </c>
      <c r="G832" s="1" t="s">
        <v>1383</v>
      </c>
      <c r="H832" s="1" t="s">
        <v>22</v>
      </c>
      <c r="I832" s="1">
        <v>43</v>
      </c>
      <c r="J832" s="1">
        <v>34966</v>
      </c>
      <c r="K832" s="1" t="s">
        <v>23</v>
      </c>
      <c r="L832" s="1" t="s">
        <v>24</v>
      </c>
      <c r="M832" s="1" t="s">
        <v>967</v>
      </c>
      <c r="N832" s="1">
        <v>34000</v>
      </c>
      <c r="O832" s="12">
        <v>32500</v>
      </c>
      <c r="P832" s="3" t="s">
        <v>46</v>
      </c>
      <c r="Q832" s="1" cm="1">
        <f t="array" ref="Q832">VALUE(INDEX(_xlfn.TEXTSPLIT(P832, " "), 4))</f>
        <v>2014</v>
      </c>
      <c r="R832" s="1" t="str">
        <f t="shared" si="12"/>
        <v>BMW 5 Series 535i</v>
      </c>
      <c r="S832" s="1" t="str" cm="1">
        <f t="array" ref="S832">_xlfn.IFS(I832 &gt;= 40, "High", I832&gt;=20, "Medium", I832&lt;20, "Low")</f>
        <v>High</v>
      </c>
      <c r="T832" s="1" t="str" cm="1">
        <f t="array" ref="T832">_xlfn.IFS(O832&lt;18200, "Low", O832&lt;=50000, "Medium", O832&gt;50000, "High")</f>
        <v>Medium</v>
      </c>
    </row>
    <row r="833" spans="1:20" x14ac:dyDescent="0.25">
      <c r="A833" s="2">
        <v>2012</v>
      </c>
      <c r="B833" s="1" t="s">
        <v>29</v>
      </c>
      <c r="C833" s="1" t="s">
        <v>30</v>
      </c>
      <c r="D833" s="1" t="s">
        <v>1282</v>
      </c>
      <c r="E833" s="1" t="s">
        <v>32</v>
      </c>
      <c r="F833" s="1" t="s">
        <v>20</v>
      </c>
      <c r="G833" s="1" t="s">
        <v>1384</v>
      </c>
      <c r="H833" s="1" t="s">
        <v>22</v>
      </c>
      <c r="I833" s="1">
        <v>41</v>
      </c>
      <c r="J833" s="1">
        <v>36617</v>
      </c>
      <c r="K833" s="1" t="s">
        <v>24</v>
      </c>
      <c r="L833" s="1" t="s">
        <v>24</v>
      </c>
      <c r="M833" s="1" t="s">
        <v>35</v>
      </c>
      <c r="N833" s="1">
        <v>23900</v>
      </c>
      <c r="O833" s="12">
        <v>23500</v>
      </c>
      <c r="P833" s="3" t="s">
        <v>46</v>
      </c>
      <c r="Q833" s="1" cm="1">
        <f t="array" ref="Q833">VALUE(INDEX(_xlfn.TEXTSPLIT(P833, " "), 4))</f>
        <v>2014</v>
      </c>
      <c r="R833" s="1" t="str">
        <f t="shared" si="12"/>
        <v>BMW 3 Series 328i</v>
      </c>
      <c r="S833" s="1" t="str" cm="1">
        <f t="array" ref="S833">_xlfn.IFS(I833 &gt;= 40, "High", I833&gt;=20, "Medium", I833&lt;20, "Low")</f>
        <v>High</v>
      </c>
      <c r="T833" s="1" t="str" cm="1">
        <f t="array" ref="T833">_xlfn.IFS(O833&lt;18200, "Low", O833&lt;=50000, "Medium", O833&gt;50000, "High")</f>
        <v>Medium</v>
      </c>
    </row>
    <row r="834" spans="1:20" x14ac:dyDescent="0.25">
      <c r="A834" s="2">
        <v>2012</v>
      </c>
      <c r="B834" s="1" t="s">
        <v>29</v>
      </c>
      <c r="C834" s="1" t="s">
        <v>111</v>
      </c>
      <c r="D834" s="1" t="s">
        <v>44</v>
      </c>
      <c r="E834" s="1" t="s">
        <v>71</v>
      </c>
      <c r="F834" s="1" t="s">
        <v>20</v>
      </c>
      <c r="G834" s="1" t="s">
        <v>1385</v>
      </c>
      <c r="H834" s="1" t="s">
        <v>22</v>
      </c>
      <c r="I834" s="1">
        <v>44</v>
      </c>
      <c r="J834" s="1">
        <v>25060</v>
      </c>
      <c r="K834" s="1" t="s">
        <v>23</v>
      </c>
      <c r="L834" s="1" t="s">
        <v>101</v>
      </c>
      <c r="M834" s="1" t="s">
        <v>35</v>
      </c>
      <c r="N834" s="1">
        <v>49400</v>
      </c>
      <c r="O834" s="12">
        <v>51500</v>
      </c>
      <c r="P834" s="3" t="s">
        <v>46</v>
      </c>
      <c r="Q834" s="1" cm="1">
        <f t="array" ref="Q834">VALUE(INDEX(_xlfn.TEXTSPLIT(P834, " "), 4))</f>
        <v>2014</v>
      </c>
      <c r="R834" s="1" t="str">
        <f t="shared" si="12"/>
        <v>BMW 6 Series 650i</v>
      </c>
      <c r="S834" s="1" t="str" cm="1">
        <f t="array" ref="S834">_xlfn.IFS(I834 &gt;= 40, "High", I834&gt;=20, "Medium", I834&lt;20, "Low")</f>
        <v>High</v>
      </c>
      <c r="T834" s="1" t="str" cm="1">
        <f t="array" ref="T834">_xlfn.IFS(O834&lt;18200, "Low", O834&lt;=50000, "Medium", O834&gt;50000, "High")</f>
        <v>High</v>
      </c>
    </row>
    <row r="835" spans="1:20" x14ac:dyDescent="0.25">
      <c r="A835" s="2">
        <v>2012</v>
      </c>
      <c r="B835" s="1" t="s">
        <v>29</v>
      </c>
      <c r="C835" s="1" t="s">
        <v>1285</v>
      </c>
      <c r="D835" s="1" t="s">
        <v>1331</v>
      </c>
      <c r="E835" s="1" t="s">
        <v>71</v>
      </c>
      <c r="F835" s="1" t="s">
        <v>20</v>
      </c>
      <c r="G835" s="1" t="s">
        <v>1386</v>
      </c>
      <c r="H835" s="1" t="s">
        <v>22</v>
      </c>
      <c r="I835" s="1">
        <v>46</v>
      </c>
      <c r="J835" s="1">
        <v>15311</v>
      </c>
      <c r="K835" s="1" t="s">
        <v>23</v>
      </c>
      <c r="L835" s="1" t="s">
        <v>101</v>
      </c>
      <c r="M835" s="1" t="s">
        <v>35</v>
      </c>
      <c r="N835" s="1">
        <v>25000</v>
      </c>
      <c r="O835" s="12">
        <v>25000</v>
      </c>
      <c r="P835" s="3" t="s">
        <v>46</v>
      </c>
      <c r="Q835" s="1" cm="1">
        <f t="array" ref="Q835">VALUE(INDEX(_xlfn.TEXTSPLIT(P835, " "), 4))</f>
        <v>2014</v>
      </c>
      <c r="R835" s="1" t="str">
        <f t="shared" ref="R835:R898" si="13">_xlfn.TEXTJOIN(" ", TRUE, B835, C835, D835)</f>
        <v>BMW 1 Series 128i</v>
      </c>
      <c r="S835" s="1" t="str" cm="1">
        <f t="array" ref="S835">_xlfn.IFS(I835 &gt;= 40, "High", I835&gt;=20, "Medium", I835&lt;20, "Low")</f>
        <v>High</v>
      </c>
      <c r="T835" s="1" t="str" cm="1">
        <f t="array" ref="T835">_xlfn.IFS(O835&lt;18200, "Low", O835&lt;=50000, "Medium", O835&gt;50000, "High")</f>
        <v>Medium</v>
      </c>
    </row>
    <row r="836" spans="1:20" x14ac:dyDescent="0.25">
      <c r="A836" s="2">
        <v>2012</v>
      </c>
      <c r="B836" s="1" t="s">
        <v>29</v>
      </c>
      <c r="C836" s="1" t="s">
        <v>30</v>
      </c>
      <c r="D836" s="1" t="s">
        <v>1312</v>
      </c>
      <c r="E836" s="1" t="s">
        <v>107</v>
      </c>
      <c r="F836" s="1" t="s">
        <v>214</v>
      </c>
      <c r="G836" s="1" t="s">
        <v>1387</v>
      </c>
      <c r="H836" s="1" t="s">
        <v>22</v>
      </c>
      <c r="I836" s="1">
        <v>47</v>
      </c>
      <c r="J836" s="1">
        <v>16827</v>
      </c>
      <c r="K836" s="1" t="s">
        <v>24</v>
      </c>
      <c r="L836" s="1" t="s">
        <v>28</v>
      </c>
      <c r="M836" s="1" t="s">
        <v>35</v>
      </c>
      <c r="N836" s="1">
        <v>32600</v>
      </c>
      <c r="O836" s="12">
        <v>34750</v>
      </c>
      <c r="P836" s="3" t="s">
        <v>46</v>
      </c>
      <c r="Q836" s="1" cm="1">
        <f t="array" ref="Q836">VALUE(INDEX(_xlfn.TEXTSPLIT(P836, " "), 4))</f>
        <v>2014</v>
      </c>
      <c r="R836" s="1" t="str">
        <f t="shared" si="13"/>
        <v>BMW 3 Series 335i</v>
      </c>
      <c r="S836" s="1" t="str" cm="1">
        <f t="array" ref="S836">_xlfn.IFS(I836 &gt;= 40, "High", I836&gt;=20, "Medium", I836&lt;20, "Low")</f>
        <v>High</v>
      </c>
      <c r="T836" s="1" t="str" cm="1">
        <f t="array" ref="T836">_xlfn.IFS(O836&lt;18200, "Low", O836&lt;=50000, "Medium", O836&gt;50000, "High")</f>
        <v>Medium</v>
      </c>
    </row>
    <row r="837" spans="1:20" x14ac:dyDescent="0.25">
      <c r="A837" s="2">
        <v>2012</v>
      </c>
      <c r="B837" s="1" t="s">
        <v>29</v>
      </c>
      <c r="C837" s="1" t="s">
        <v>111</v>
      </c>
      <c r="D837" s="1" t="s">
        <v>44</v>
      </c>
      <c r="E837" s="1" t="s">
        <v>71</v>
      </c>
      <c r="F837" s="1" t="s">
        <v>20</v>
      </c>
      <c r="G837" s="1" t="s">
        <v>1388</v>
      </c>
      <c r="H837" s="1" t="s">
        <v>22</v>
      </c>
      <c r="I837" s="1">
        <v>49</v>
      </c>
      <c r="J837" s="1">
        <v>11868</v>
      </c>
      <c r="K837" s="1" t="s">
        <v>34</v>
      </c>
      <c r="L837" s="1" t="s">
        <v>101</v>
      </c>
      <c r="M837" s="1" t="s">
        <v>35</v>
      </c>
      <c r="N837" s="1">
        <v>49200</v>
      </c>
      <c r="O837" s="12">
        <v>47000</v>
      </c>
      <c r="P837" s="3" t="s">
        <v>135</v>
      </c>
      <c r="Q837" s="1" cm="1">
        <f t="array" ref="Q837">VALUE(INDEX(_xlfn.TEXTSPLIT(P837, " "), 4))</f>
        <v>2015</v>
      </c>
      <c r="R837" s="1" t="str">
        <f t="shared" si="13"/>
        <v>BMW 6 Series 650i</v>
      </c>
      <c r="S837" s="1" t="str" cm="1">
        <f t="array" ref="S837">_xlfn.IFS(I837 &gt;= 40, "High", I837&gt;=20, "Medium", I837&lt;20, "Low")</f>
        <v>High</v>
      </c>
      <c r="T837" s="1" t="str" cm="1">
        <f t="array" ref="T837">_xlfn.IFS(O837&lt;18200, "Low", O837&lt;=50000, "Medium", O837&gt;50000, "High")</f>
        <v>Medium</v>
      </c>
    </row>
    <row r="838" spans="1:20" x14ac:dyDescent="0.25">
      <c r="A838" s="2">
        <v>2012</v>
      </c>
      <c r="B838" s="1" t="s">
        <v>1259</v>
      </c>
      <c r="C838" s="1" t="s">
        <v>1260</v>
      </c>
      <c r="D838" s="1" t="s">
        <v>1260</v>
      </c>
      <c r="E838" s="1"/>
      <c r="F838" s="1" t="s">
        <v>20</v>
      </c>
      <c r="G838" s="1" t="s">
        <v>1389</v>
      </c>
      <c r="H838" s="1" t="s">
        <v>22</v>
      </c>
      <c r="I838" s="1">
        <v>35</v>
      </c>
      <c r="J838" s="1">
        <v>42482</v>
      </c>
      <c r="K838" s="1" t="s">
        <v>24</v>
      </c>
      <c r="L838" s="1" t="s">
        <v>24</v>
      </c>
      <c r="M838" s="1" t="s">
        <v>35</v>
      </c>
      <c r="N838" s="1">
        <v>33500</v>
      </c>
      <c r="O838" s="12">
        <v>33000</v>
      </c>
      <c r="P838" s="3" t="s">
        <v>46</v>
      </c>
      <c r="Q838" s="1" cm="1">
        <f t="array" ref="Q838">VALUE(INDEX(_xlfn.TEXTSPLIT(P838, " "), 4))</f>
        <v>2014</v>
      </c>
      <c r="R838" s="1" t="str">
        <f t="shared" si="13"/>
        <v>bmw 750i 750i</v>
      </c>
      <c r="S838" s="1" t="str" cm="1">
        <f t="array" ref="S838">_xlfn.IFS(I838 &gt;= 40, "High", I838&gt;=20, "Medium", I838&lt;20, "Low")</f>
        <v>Medium</v>
      </c>
      <c r="T838" s="1" t="str" cm="1">
        <f t="array" ref="T838">_xlfn.IFS(O838&lt;18200, "Low", O838&lt;=50000, "Medium", O838&gt;50000, "High")</f>
        <v>Medium</v>
      </c>
    </row>
    <row r="839" spans="1:20" x14ac:dyDescent="0.25">
      <c r="A839" s="2">
        <v>2012</v>
      </c>
      <c r="B839" s="1" t="s">
        <v>29</v>
      </c>
      <c r="C839" s="1" t="s">
        <v>111</v>
      </c>
      <c r="D839" s="1" t="s">
        <v>44</v>
      </c>
      <c r="E839" s="1" t="s">
        <v>71</v>
      </c>
      <c r="F839" s="1" t="s">
        <v>20</v>
      </c>
      <c r="G839" s="1" t="s">
        <v>1390</v>
      </c>
      <c r="H839" s="1" t="s">
        <v>22</v>
      </c>
      <c r="I839" s="1">
        <v>36</v>
      </c>
      <c r="J839" s="1">
        <v>35458</v>
      </c>
      <c r="K839" s="1" t="s">
        <v>24</v>
      </c>
      <c r="L839" s="1" t="s">
        <v>24</v>
      </c>
      <c r="M839" s="1" t="s">
        <v>35</v>
      </c>
      <c r="N839" s="1">
        <v>45100</v>
      </c>
      <c r="O839" s="12">
        <v>44250</v>
      </c>
      <c r="P839" s="3" t="s">
        <v>42</v>
      </c>
      <c r="Q839" s="1" cm="1">
        <f t="array" ref="Q839">VALUE(INDEX(_xlfn.TEXTSPLIT(P839, " "), 4))</f>
        <v>2015</v>
      </c>
      <c r="R839" s="1" t="str">
        <f t="shared" si="13"/>
        <v>BMW 6 Series 650i</v>
      </c>
      <c r="S839" s="1" t="str" cm="1">
        <f t="array" ref="S839">_xlfn.IFS(I839 &gt;= 40, "High", I839&gt;=20, "Medium", I839&lt;20, "Low")</f>
        <v>Medium</v>
      </c>
      <c r="T839" s="1" t="str" cm="1">
        <f t="array" ref="T839">_xlfn.IFS(O839&lt;18200, "Low", O839&lt;=50000, "Medium", O839&gt;50000, "High")</f>
        <v>Medium</v>
      </c>
    </row>
    <row r="840" spans="1:20" x14ac:dyDescent="0.25">
      <c r="A840" s="2">
        <v>2012</v>
      </c>
      <c r="B840" s="1" t="s">
        <v>29</v>
      </c>
      <c r="C840" s="1" t="s">
        <v>1356</v>
      </c>
      <c r="D840" s="1" t="s">
        <v>54</v>
      </c>
      <c r="E840" s="1" t="s">
        <v>71</v>
      </c>
      <c r="F840" s="1" t="s">
        <v>20</v>
      </c>
      <c r="G840" s="1" t="s">
        <v>1391</v>
      </c>
      <c r="H840" s="1" t="s">
        <v>22</v>
      </c>
      <c r="I840" s="1">
        <v>42</v>
      </c>
      <c r="J840" s="1">
        <v>35920</v>
      </c>
      <c r="K840" s="1" t="s">
        <v>91</v>
      </c>
      <c r="L840" s="1" t="s">
        <v>24</v>
      </c>
      <c r="M840" s="1" t="s">
        <v>625</v>
      </c>
      <c r="N840" s="1">
        <v>40000</v>
      </c>
      <c r="O840" s="12">
        <v>41000</v>
      </c>
      <c r="P840" s="3" t="s">
        <v>68</v>
      </c>
      <c r="Q840" s="1" cm="1">
        <f t="array" ref="Q840">VALUE(INDEX(_xlfn.TEXTSPLIT(P840, " "), 4))</f>
        <v>2014</v>
      </c>
      <c r="R840" s="1" t="str">
        <f t="shared" si="13"/>
        <v>BMW M3 Base</v>
      </c>
      <c r="S840" s="1" t="str" cm="1">
        <f t="array" ref="S840">_xlfn.IFS(I840 &gt;= 40, "High", I840&gt;=20, "Medium", I840&lt;20, "Low")</f>
        <v>High</v>
      </c>
      <c r="T840" s="1" t="str" cm="1">
        <f t="array" ref="T840">_xlfn.IFS(O840&lt;18200, "Low", O840&lt;=50000, "Medium", O840&gt;50000, "High")</f>
        <v>Medium</v>
      </c>
    </row>
    <row r="841" spans="1:20" x14ac:dyDescent="0.25">
      <c r="A841" s="2">
        <v>2012</v>
      </c>
      <c r="B841" s="1" t="s">
        <v>29</v>
      </c>
      <c r="C841" s="1" t="s">
        <v>1276</v>
      </c>
      <c r="D841" s="1" t="s">
        <v>1301</v>
      </c>
      <c r="E841" s="1" t="s">
        <v>32</v>
      </c>
      <c r="F841" s="1" t="s">
        <v>20</v>
      </c>
      <c r="G841" s="1" t="s">
        <v>1392</v>
      </c>
      <c r="H841" s="1" t="s">
        <v>22</v>
      </c>
      <c r="I841" s="1">
        <v>44</v>
      </c>
      <c r="J841" s="1">
        <v>30313</v>
      </c>
      <c r="K841" s="1" t="s">
        <v>24</v>
      </c>
      <c r="L841" s="1" t="s">
        <v>34</v>
      </c>
      <c r="M841" s="1" t="s">
        <v>35</v>
      </c>
      <c r="N841" s="1">
        <v>40500</v>
      </c>
      <c r="O841" s="12">
        <v>40000</v>
      </c>
      <c r="P841" s="3" t="s">
        <v>46</v>
      </c>
      <c r="Q841" s="1" cm="1">
        <f t="array" ref="Q841">VALUE(INDEX(_xlfn.TEXTSPLIT(P841, " "), 4))</f>
        <v>2014</v>
      </c>
      <c r="R841" s="1" t="str">
        <f t="shared" si="13"/>
        <v>BMW 7 Series 740Li</v>
      </c>
      <c r="S841" s="1" t="str" cm="1">
        <f t="array" ref="S841">_xlfn.IFS(I841 &gt;= 40, "High", I841&gt;=20, "Medium", I841&lt;20, "Low")</f>
        <v>High</v>
      </c>
      <c r="T841" s="1" t="str" cm="1">
        <f t="array" ref="T841">_xlfn.IFS(O841&lt;18200, "Low", O841&lt;=50000, "Medium", O841&gt;50000, "High")</f>
        <v>Medium</v>
      </c>
    </row>
    <row r="842" spans="1:20" x14ac:dyDescent="0.25">
      <c r="A842" s="2">
        <v>2012</v>
      </c>
      <c r="B842" s="1" t="s">
        <v>184</v>
      </c>
      <c r="C842" s="1" t="s">
        <v>1264</v>
      </c>
      <c r="D842" s="1" t="s">
        <v>1333</v>
      </c>
      <c r="E842" s="1" t="s">
        <v>32</v>
      </c>
      <c r="F842" s="1" t="s">
        <v>20</v>
      </c>
      <c r="G842" s="1" t="s">
        <v>1393</v>
      </c>
      <c r="H842" s="1" t="s">
        <v>22</v>
      </c>
      <c r="I842" s="1">
        <v>39</v>
      </c>
      <c r="J842" s="1">
        <v>43807</v>
      </c>
      <c r="K842" s="1" t="s">
        <v>24</v>
      </c>
      <c r="L842" s="1" t="s">
        <v>24</v>
      </c>
      <c r="M842" s="1" t="s">
        <v>1266</v>
      </c>
      <c r="N842" s="1">
        <v>17300</v>
      </c>
      <c r="O842" s="12">
        <v>17900</v>
      </c>
      <c r="P842" s="3" t="s">
        <v>68</v>
      </c>
      <c r="Q842" s="1" cm="1">
        <f t="array" ref="Q842">VALUE(INDEX(_xlfn.TEXTSPLIT(P842, " "), 4))</f>
        <v>2014</v>
      </c>
      <c r="R842" s="1" t="str">
        <f t="shared" si="13"/>
        <v>Acura TSX Special Edition</v>
      </c>
      <c r="S842" s="1" t="str" cm="1">
        <f t="array" ref="S842">_xlfn.IFS(I842 &gt;= 40, "High", I842&gt;=20, "Medium", I842&lt;20, "Low")</f>
        <v>Medium</v>
      </c>
      <c r="T842" s="1" t="str" cm="1">
        <f t="array" ref="T842">_xlfn.IFS(O842&lt;18200, "Low", O842&lt;=50000, "Medium", O842&gt;50000, "High")</f>
        <v>Low</v>
      </c>
    </row>
    <row r="843" spans="1:20" x14ac:dyDescent="0.25">
      <c r="A843" s="2">
        <v>2012</v>
      </c>
      <c r="B843" s="1" t="s">
        <v>184</v>
      </c>
      <c r="C843" s="1" t="s">
        <v>1290</v>
      </c>
      <c r="D843" s="1" t="s">
        <v>186</v>
      </c>
      <c r="E843" s="1" t="s">
        <v>32</v>
      </c>
      <c r="F843" s="1" t="s">
        <v>20</v>
      </c>
      <c r="G843" s="1" t="s">
        <v>1394</v>
      </c>
      <c r="H843" s="1" t="s">
        <v>22</v>
      </c>
      <c r="I843" s="1">
        <v>47</v>
      </c>
      <c r="J843" s="1">
        <v>50229</v>
      </c>
      <c r="K843" s="1" t="s">
        <v>24</v>
      </c>
      <c r="L843" s="1" t="s">
        <v>24</v>
      </c>
      <c r="M843" s="1" t="s">
        <v>1266</v>
      </c>
      <c r="N843" s="1">
        <v>19700</v>
      </c>
      <c r="O843" s="12">
        <v>20500</v>
      </c>
      <c r="P843" s="3" t="s">
        <v>68</v>
      </c>
      <c r="Q843" s="1" cm="1">
        <f t="array" ref="Q843">VALUE(INDEX(_xlfn.TEXTSPLIT(P843, " "), 4))</f>
        <v>2014</v>
      </c>
      <c r="R843" s="1" t="str">
        <f t="shared" si="13"/>
        <v>Acura TL Technology Package</v>
      </c>
      <c r="S843" s="1" t="str" cm="1">
        <f t="array" ref="S843">_xlfn.IFS(I843 &gt;= 40, "High", I843&gt;=20, "Medium", I843&lt;20, "Low")</f>
        <v>High</v>
      </c>
      <c r="T843" s="1" t="str" cm="1">
        <f t="array" ref="T843">_xlfn.IFS(O843&lt;18200, "Low", O843&lt;=50000, "Medium", O843&gt;50000, "High")</f>
        <v>Medium</v>
      </c>
    </row>
    <row r="844" spans="1:20" x14ac:dyDescent="0.25">
      <c r="A844" s="2">
        <v>2012</v>
      </c>
      <c r="B844" s="1"/>
      <c r="C844" s="1"/>
      <c r="D844" s="1"/>
      <c r="E844" s="1"/>
      <c r="F844" s="1" t="s">
        <v>20</v>
      </c>
      <c r="G844" s="1" t="s">
        <v>1395</v>
      </c>
      <c r="H844" s="1" t="s">
        <v>22</v>
      </c>
      <c r="I844" s="1">
        <v>4</v>
      </c>
      <c r="J844" s="1">
        <v>33155</v>
      </c>
      <c r="K844" s="1" t="s">
        <v>34</v>
      </c>
      <c r="L844" s="1" t="s">
        <v>34</v>
      </c>
      <c r="M844" s="1" t="s">
        <v>35</v>
      </c>
      <c r="N844" s="1">
        <v>46100</v>
      </c>
      <c r="O844" s="12">
        <v>45500</v>
      </c>
      <c r="P844" s="3" t="s">
        <v>36</v>
      </c>
      <c r="Q844" s="1" cm="1">
        <f t="array" ref="Q844">VALUE(INDEX(_xlfn.TEXTSPLIT(P844, " "), 4))</f>
        <v>2015</v>
      </c>
      <c r="R844" s="1" t="str">
        <f t="shared" si="13"/>
        <v/>
      </c>
      <c r="S844" s="1" t="str" cm="1">
        <f t="array" ref="S844">_xlfn.IFS(I844 &gt;= 40, "High", I844&gt;=20, "Medium", I844&lt;20, "Low")</f>
        <v>Low</v>
      </c>
      <c r="T844" s="1" t="str" cm="1">
        <f t="array" ref="T844">_xlfn.IFS(O844&lt;18200, "Low", O844&lt;=50000, "Medium", O844&gt;50000, "High")</f>
        <v>Medium</v>
      </c>
    </row>
    <row r="845" spans="1:20" x14ac:dyDescent="0.25">
      <c r="A845" s="2">
        <v>2012</v>
      </c>
      <c r="B845" s="1" t="s">
        <v>29</v>
      </c>
      <c r="C845" s="1" t="s">
        <v>117</v>
      </c>
      <c r="D845" s="1" t="s">
        <v>1292</v>
      </c>
      <c r="E845" s="1" t="s">
        <v>32</v>
      </c>
      <c r="F845" s="1" t="s">
        <v>20</v>
      </c>
      <c r="G845" s="1" t="s">
        <v>1396</v>
      </c>
      <c r="H845" s="1" t="s">
        <v>22</v>
      </c>
      <c r="I845" s="1">
        <v>39</v>
      </c>
      <c r="J845" s="1">
        <v>38866</v>
      </c>
      <c r="K845" s="1" t="s">
        <v>34</v>
      </c>
      <c r="L845" s="1" t="s">
        <v>24</v>
      </c>
      <c r="M845" s="1" t="s">
        <v>35</v>
      </c>
      <c r="N845" s="1">
        <v>33700</v>
      </c>
      <c r="O845" s="12">
        <v>34000</v>
      </c>
      <c r="P845" s="3" t="s">
        <v>36</v>
      </c>
      <c r="Q845" s="1" cm="1">
        <f t="array" ref="Q845">VALUE(INDEX(_xlfn.TEXTSPLIT(P845, " "), 4))</f>
        <v>2015</v>
      </c>
      <c r="R845" s="1" t="str">
        <f t="shared" si="13"/>
        <v>BMW 5 Series 535i</v>
      </c>
      <c r="S845" s="1" t="str" cm="1">
        <f t="array" ref="S845">_xlfn.IFS(I845 &gt;= 40, "High", I845&gt;=20, "Medium", I845&lt;20, "Low")</f>
        <v>Medium</v>
      </c>
      <c r="T845" s="1" t="str" cm="1">
        <f t="array" ref="T845">_xlfn.IFS(O845&lt;18200, "Low", O845&lt;=50000, "Medium", O845&gt;50000, "High")</f>
        <v>Medium</v>
      </c>
    </row>
    <row r="846" spans="1:20" x14ac:dyDescent="0.25">
      <c r="A846" s="2">
        <v>2012</v>
      </c>
      <c r="B846" s="1" t="s">
        <v>29</v>
      </c>
      <c r="C846" s="1" t="s">
        <v>30</v>
      </c>
      <c r="D846" s="1" t="s">
        <v>1282</v>
      </c>
      <c r="E846" s="1" t="s">
        <v>107</v>
      </c>
      <c r="F846" s="1" t="s">
        <v>20</v>
      </c>
      <c r="G846" s="1" t="s">
        <v>1397</v>
      </c>
      <c r="H846" s="1" t="s">
        <v>22</v>
      </c>
      <c r="I846" s="1">
        <v>28</v>
      </c>
      <c r="J846" s="1">
        <v>20163</v>
      </c>
      <c r="K846" s="1" t="s">
        <v>24</v>
      </c>
      <c r="L846" s="1" t="s">
        <v>24</v>
      </c>
      <c r="M846" s="1" t="s">
        <v>35</v>
      </c>
      <c r="N846" s="1">
        <v>23000</v>
      </c>
      <c r="O846" s="12">
        <v>20000</v>
      </c>
      <c r="P846" s="3" t="s">
        <v>135</v>
      </c>
      <c r="Q846" s="1" cm="1">
        <f t="array" ref="Q846">VALUE(INDEX(_xlfn.TEXTSPLIT(P846, " "), 4))</f>
        <v>2015</v>
      </c>
      <c r="R846" s="1" t="str">
        <f t="shared" si="13"/>
        <v>BMW 3 Series 328i</v>
      </c>
      <c r="S846" s="1" t="str" cm="1">
        <f t="array" ref="S846">_xlfn.IFS(I846 &gt;= 40, "High", I846&gt;=20, "Medium", I846&lt;20, "Low")</f>
        <v>Medium</v>
      </c>
      <c r="T846" s="1" t="str" cm="1">
        <f t="array" ref="T846">_xlfn.IFS(O846&lt;18200, "Low", O846&lt;=50000, "Medium", O846&gt;50000, "High")</f>
        <v>Medium</v>
      </c>
    </row>
    <row r="847" spans="1:20" x14ac:dyDescent="0.25">
      <c r="A847" s="2">
        <v>2012</v>
      </c>
      <c r="B847" s="1" t="s">
        <v>184</v>
      </c>
      <c r="C847" s="1" t="s">
        <v>1354</v>
      </c>
      <c r="D847" s="1" t="s">
        <v>186</v>
      </c>
      <c r="E847" s="1" t="s">
        <v>19</v>
      </c>
      <c r="F847" s="1" t="s">
        <v>20</v>
      </c>
      <c r="G847" s="1" t="s">
        <v>1398</v>
      </c>
      <c r="H847" s="1" t="s">
        <v>22</v>
      </c>
      <c r="I847" s="1">
        <v>37</v>
      </c>
      <c r="J847" s="1">
        <v>30901</v>
      </c>
      <c r="K847" s="1" t="s">
        <v>23</v>
      </c>
      <c r="L847" s="1" t="s">
        <v>34</v>
      </c>
      <c r="M847" s="1" t="s">
        <v>1399</v>
      </c>
      <c r="N847" s="1">
        <v>23200</v>
      </c>
      <c r="O847" s="12">
        <v>22500</v>
      </c>
      <c r="P847" s="3" t="s">
        <v>26</v>
      </c>
      <c r="Q847" s="1" cm="1">
        <f t="array" ref="Q847">VALUE(INDEX(_xlfn.TEXTSPLIT(P847, " "), 4))</f>
        <v>2014</v>
      </c>
      <c r="R847" s="1" t="str">
        <f t="shared" si="13"/>
        <v>Acura RDX Technology Package</v>
      </c>
      <c r="S847" s="1" t="str" cm="1">
        <f t="array" ref="S847">_xlfn.IFS(I847 &gt;= 40, "High", I847&gt;=20, "Medium", I847&lt;20, "Low")</f>
        <v>Medium</v>
      </c>
      <c r="T847" s="1" t="str" cm="1">
        <f t="array" ref="T847">_xlfn.IFS(O847&lt;18200, "Low", O847&lt;=50000, "Medium", O847&gt;50000, "High")</f>
        <v>Medium</v>
      </c>
    </row>
    <row r="848" spans="1:20" x14ac:dyDescent="0.25">
      <c r="A848" s="2">
        <v>2012</v>
      </c>
      <c r="B848" s="1" t="s">
        <v>29</v>
      </c>
      <c r="C848" s="1" t="s">
        <v>111</v>
      </c>
      <c r="D848" s="1" t="s">
        <v>44</v>
      </c>
      <c r="E848" s="1" t="s">
        <v>71</v>
      </c>
      <c r="F848" s="1"/>
      <c r="G848" s="1" t="s">
        <v>1400</v>
      </c>
      <c r="H848" s="1" t="s">
        <v>22</v>
      </c>
      <c r="I848" s="1">
        <v>46</v>
      </c>
      <c r="J848" s="1">
        <v>42686</v>
      </c>
      <c r="K848" s="1" t="s">
        <v>34</v>
      </c>
      <c r="L848" s="1" t="s">
        <v>24</v>
      </c>
      <c r="M848" s="1" t="s">
        <v>35</v>
      </c>
      <c r="N848" s="1">
        <v>43300</v>
      </c>
      <c r="O848" s="12">
        <v>41100</v>
      </c>
      <c r="P848" s="3" t="s">
        <v>42</v>
      </c>
      <c r="Q848" s="1" cm="1">
        <f t="array" ref="Q848">VALUE(INDEX(_xlfn.TEXTSPLIT(P848, " "), 4))</f>
        <v>2015</v>
      </c>
      <c r="R848" s="1" t="str">
        <f t="shared" si="13"/>
        <v>BMW 6 Series 650i</v>
      </c>
      <c r="S848" s="1" t="str" cm="1">
        <f t="array" ref="S848">_xlfn.IFS(I848 &gt;= 40, "High", I848&gt;=20, "Medium", I848&lt;20, "Low")</f>
        <v>High</v>
      </c>
      <c r="T848" s="1" t="str" cm="1">
        <f t="array" ref="T848">_xlfn.IFS(O848&lt;18200, "Low", O848&lt;=50000, "Medium", O848&gt;50000, "High")</f>
        <v>Medium</v>
      </c>
    </row>
    <row r="849" spans="1:20" x14ac:dyDescent="0.25">
      <c r="A849" s="2">
        <v>2012</v>
      </c>
      <c r="B849" s="1" t="s">
        <v>184</v>
      </c>
      <c r="C849" s="1" t="s">
        <v>1264</v>
      </c>
      <c r="D849" s="1" t="s">
        <v>54</v>
      </c>
      <c r="E849" s="1" t="s">
        <v>32</v>
      </c>
      <c r="F849" s="1" t="s">
        <v>20</v>
      </c>
      <c r="G849" s="1" t="s">
        <v>1401</v>
      </c>
      <c r="H849" s="1" t="s">
        <v>22</v>
      </c>
      <c r="I849" s="1">
        <v>42</v>
      </c>
      <c r="J849" s="1">
        <v>13424</v>
      </c>
      <c r="K849" s="1" t="s">
        <v>24</v>
      </c>
      <c r="L849" s="1" t="s">
        <v>28</v>
      </c>
      <c r="M849" s="1" t="s">
        <v>1266</v>
      </c>
      <c r="N849" s="1">
        <v>17950</v>
      </c>
      <c r="O849" s="12">
        <v>19600</v>
      </c>
      <c r="P849" s="3" t="s">
        <v>68</v>
      </c>
      <c r="Q849" s="1" cm="1">
        <f t="array" ref="Q849">VALUE(INDEX(_xlfn.TEXTSPLIT(P849, " "), 4))</f>
        <v>2014</v>
      </c>
      <c r="R849" s="1" t="str">
        <f t="shared" si="13"/>
        <v>Acura TSX Base</v>
      </c>
      <c r="S849" s="1" t="str" cm="1">
        <f t="array" ref="S849">_xlfn.IFS(I849 &gt;= 40, "High", I849&gt;=20, "Medium", I849&lt;20, "Low")</f>
        <v>High</v>
      </c>
      <c r="T849" s="1" t="str" cm="1">
        <f t="array" ref="T849">_xlfn.IFS(O849&lt;18200, "Low", O849&lt;=50000, "Medium", O849&gt;50000, "High")</f>
        <v>Medium</v>
      </c>
    </row>
    <row r="850" spans="1:20" x14ac:dyDescent="0.25">
      <c r="A850" s="2">
        <v>2012</v>
      </c>
      <c r="B850" s="1" t="s">
        <v>29</v>
      </c>
      <c r="C850" s="1" t="s">
        <v>117</v>
      </c>
      <c r="D850" s="1" t="s">
        <v>1292</v>
      </c>
      <c r="E850" s="1" t="s">
        <v>32</v>
      </c>
      <c r="F850" s="1" t="s">
        <v>20</v>
      </c>
      <c r="G850" s="1" t="s">
        <v>1402</v>
      </c>
      <c r="H850" s="1" t="s">
        <v>22</v>
      </c>
      <c r="I850" s="1">
        <v>38</v>
      </c>
      <c r="J850" s="1">
        <v>52387</v>
      </c>
      <c r="K850" s="1" t="s">
        <v>34</v>
      </c>
      <c r="L850" s="1" t="s">
        <v>24</v>
      </c>
      <c r="M850" s="1" t="s">
        <v>35</v>
      </c>
      <c r="N850" s="1">
        <v>31300</v>
      </c>
      <c r="O850" s="12">
        <v>32500</v>
      </c>
      <c r="P850" s="3" t="s">
        <v>42</v>
      </c>
      <c r="Q850" s="1" cm="1">
        <f t="array" ref="Q850">VALUE(INDEX(_xlfn.TEXTSPLIT(P850, " "), 4))</f>
        <v>2015</v>
      </c>
      <c r="R850" s="1" t="str">
        <f t="shared" si="13"/>
        <v>BMW 5 Series 535i</v>
      </c>
      <c r="S850" s="1" t="str" cm="1">
        <f t="array" ref="S850">_xlfn.IFS(I850 &gt;= 40, "High", I850&gt;=20, "Medium", I850&lt;20, "Low")</f>
        <v>Medium</v>
      </c>
      <c r="T850" s="1" t="str" cm="1">
        <f t="array" ref="T850">_xlfn.IFS(O850&lt;18200, "Low", O850&lt;=50000, "Medium", O850&gt;50000, "High")</f>
        <v>Medium</v>
      </c>
    </row>
    <row r="851" spans="1:20" x14ac:dyDescent="0.25">
      <c r="A851" s="2">
        <v>2012</v>
      </c>
      <c r="B851" s="1" t="s">
        <v>29</v>
      </c>
      <c r="C851" s="1" t="s">
        <v>30</v>
      </c>
      <c r="D851" s="1" t="s">
        <v>1282</v>
      </c>
      <c r="E851" s="1" t="s">
        <v>107</v>
      </c>
      <c r="F851" s="1" t="s">
        <v>20</v>
      </c>
      <c r="G851" s="1" t="s">
        <v>1403</v>
      </c>
      <c r="H851" s="1" t="s">
        <v>22</v>
      </c>
      <c r="I851" s="1">
        <v>27</v>
      </c>
      <c r="J851" s="1">
        <v>18057</v>
      </c>
      <c r="K851" s="1" t="s">
        <v>23</v>
      </c>
      <c r="L851" s="1" t="s">
        <v>24</v>
      </c>
      <c r="M851" s="1" t="s">
        <v>35</v>
      </c>
      <c r="N851" s="1">
        <v>23000</v>
      </c>
      <c r="O851" s="12">
        <v>22250</v>
      </c>
      <c r="P851" s="3" t="s">
        <v>26</v>
      </c>
      <c r="Q851" s="1" cm="1">
        <f t="array" ref="Q851">VALUE(INDEX(_xlfn.TEXTSPLIT(P851, " "), 4))</f>
        <v>2014</v>
      </c>
      <c r="R851" s="1" t="str">
        <f t="shared" si="13"/>
        <v>BMW 3 Series 328i</v>
      </c>
      <c r="S851" s="1" t="str" cm="1">
        <f t="array" ref="S851">_xlfn.IFS(I851 &gt;= 40, "High", I851&gt;=20, "Medium", I851&lt;20, "Low")</f>
        <v>Medium</v>
      </c>
      <c r="T851" s="1" t="str" cm="1">
        <f t="array" ref="T851">_xlfn.IFS(O851&lt;18200, "Low", O851&lt;=50000, "Medium", O851&gt;50000, "High")</f>
        <v>Medium</v>
      </c>
    </row>
    <row r="852" spans="1:20" x14ac:dyDescent="0.25">
      <c r="A852" s="2">
        <v>2012</v>
      </c>
      <c r="B852" s="1" t="s">
        <v>29</v>
      </c>
      <c r="C852" s="1" t="s">
        <v>30</v>
      </c>
      <c r="D852" s="1" t="s">
        <v>1282</v>
      </c>
      <c r="E852" s="1" t="s">
        <v>71</v>
      </c>
      <c r="F852" s="1" t="s">
        <v>20</v>
      </c>
      <c r="G852" s="1" t="s">
        <v>1404</v>
      </c>
      <c r="H852" s="1" t="s">
        <v>22</v>
      </c>
      <c r="I852" s="1">
        <v>28</v>
      </c>
      <c r="J852" s="1">
        <v>13661</v>
      </c>
      <c r="K852" s="1" t="s">
        <v>24</v>
      </c>
      <c r="L852" s="1" t="s">
        <v>101</v>
      </c>
      <c r="M852" s="1" t="s">
        <v>35</v>
      </c>
      <c r="N852" s="1">
        <v>29400</v>
      </c>
      <c r="O852" s="12">
        <v>28250</v>
      </c>
      <c r="P852" s="3" t="s">
        <v>135</v>
      </c>
      <c r="Q852" s="1" cm="1">
        <f t="array" ref="Q852">VALUE(INDEX(_xlfn.TEXTSPLIT(P852, " "), 4))</f>
        <v>2015</v>
      </c>
      <c r="R852" s="1" t="str">
        <f t="shared" si="13"/>
        <v>BMW 3 Series 328i</v>
      </c>
      <c r="S852" s="1" t="str" cm="1">
        <f t="array" ref="S852">_xlfn.IFS(I852 &gt;= 40, "High", I852&gt;=20, "Medium", I852&lt;20, "Low")</f>
        <v>Medium</v>
      </c>
      <c r="T852" s="1" t="str" cm="1">
        <f t="array" ref="T852">_xlfn.IFS(O852&lt;18200, "Low", O852&lt;=50000, "Medium", O852&gt;50000, "High")</f>
        <v>Medium</v>
      </c>
    </row>
    <row r="853" spans="1:20" x14ac:dyDescent="0.25">
      <c r="A853" s="2">
        <v>2012</v>
      </c>
      <c r="B853" s="1" t="s">
        <v>184</v>
      </c>
      <c r="C853" s="1" t="s">
        <v>1290</v>
      </c>
      <c r="D853" s="1" t="s">
        <v>54</v>
      </c>
      <c r="E853" s="1" t="s">
        <v>32</v>
      </c>
      <c r="F853" s="1" t="s">
        <v>20</v>
      </c>
      <c r="G853" s="1" t="s">
        <v>1405</v>
      </c>
      <c r="H853" s="1" t="s">
        <v>22</v>
      </c>
      <c r="I853" s="1">
        <v>24</v>
      </c>
      <c r="J853" s="1">
        <v>35604</v>
      </c>
      <c r="K853" s="1" t="s">
        <v>34</v>
      </c>
      <c r="L853" s="1" t="s">
        <v>24</v>
      </c>
      <c r="M853" s="1" t="s">
        <v>1266</v>
      </c>
      <c r="N853" s="1">
        <v>18700</v>
      </c>
      <c r="O853" s="12">
        <v>16800</v>
      </c>
      <c r="P853" s="3" t="s">
        <v>68</v>
      </c>
      <c r="Q853" s="1" cm="1">
        <f t="array" ref="Q853">VALUE(INDEX(_xlfn.TEXTSPLIT(P853, " "), 4))</f>
        <v>2014</v>
      </c>
      <c r="R853" s="1" t="str">
        <f t="shared" si="13"/>
        <v>Acura TL Base</v>
      </c>
      <c r="S853" s="1" t="str" cm="1">
        <f t="array" ref="S853">_xlfn.IFS(I853 &gt;= 40, "High", I853&gt;=20, "Medium", I853&lt;20, "Low")</f>
        <v>Medium</v>
      </c>
      <c r="T853" s="1" t="str" cm="1">
        <f t="array" ref="T853">_xlfn.IFS(O853&lt;18200, "Low", O853&lt;=50000, "Medium", O853&gt;50000, "High")</f>
        <v>Low</v>
      </c>
    </row>
    <row r="854" spans="1:20" x14ac:dyDescent="0.25">
      <c r="A854" s="2">
        <v>2012</v>
      </c>
      <c r="B854" s="1" t="s">
        <v>29</v>
      </c>
      <c r="C854" s="1" t="s">
        <v>30</v>
      </c>
      <c r="D854" s="1" t="s">
        <v>1282</v>
      </c>
      <c r="E854" s="1" t="s">
        <v>71</v>
      </c>
      <c r="F854" s="1" t="s">
        <v>20</v>
      </c>
      <c r="G854" s="1" t="s">
        <v>1406</v>
      </c>
      <c r="H854" s="1" t="s">
        <v>22</v>
      </c>
      <c r="I854" s="1">
        <v>49</v>
      </c>
      <c r="J854" s="1">
        <v>27272</v>
      </c>
      <c r="K854" s="1" t="s">
        <v>34</v>
      </c>
      <c r="L854" s="1" t="s">
        <v>82</v>
      </c>
      <c r="M854" s="1" t="s">
        <v>35</v>
      </c>
      <c r="N854" s="1">
        <v>28900</v>
      </c>
      <c r="O854" s="12">
        <v>31750</v>
      </c>
      <c r="P854" s="3" t="s">
        <v>46</v>
      </c>
      <c r="Q854" s="1" cm="1">
        <f t="array" ref="Q854">VALUE(INDEX(_xlfn.TEXTSPLIT(P854, " "), 4))</f>
        <v>2014</v>
      </c>
      <c r="R854" s="1" t="str">
        <f t="shared" si="13"/>
        <v>BMW 3 Series 328i</v>
      </c>
      <c r="S854" s="1" t="str" cm="1">
        <f t="array" ref="S854">_xlfn.IFS(I854 &gt;= 40, "High", I854&gt;=20, "Medium", I854&lt;20, "Low")</f>
        <v>High</v>
      </c>
      <c r="T854" s="1" t="str" cm="1">
        <f t="array" ref="T854">_xlfn.IFS(O854&lt;18200, "Low", O854&lt;=50000, "Medium", O854&gt;50000, "High")</f>
        <v>Medium</v>
      </c>
    </row>
    <row r="855" spans="1:20" x14ac:dyDescent="0.25">
      <c r="A855" s="2">
        <v>2012</v>
      </c>
      <c r="B855" s="1" t="s">
        <v>1259</v>
      </c>
      <c r="C855" s="1" t="s">
        <v>1303</v>
      </c>
      <c r="D855" s="1" t="s">
        <v>1303</v>
      </c>
      <c r="E855" s="1"/>
      <c r="F855" s="1" t="s">
        <v>20</v>
      </c>
      <c r="G855" s="1" t="s">
        <v>1407</v>
      </c>
      <c r="H855" s="1" t="s">
        <v>22</v>
      </c>
      <c r="I855" s="1">
        <v>46</v>
      </c>
      <c r="J855" s="1">
        <v>30917</v>
      </c>
      <c r="K855" s="1" t="s">
        <v>34</v>
      </c>
      <c r="L855" s="1" t="s">
        <v>34</v>
      </c>
      <c r="M855" s="1" t="s">
        <v>35</v>
      </c>
      <c r="N855" s="1">
        <v>45200</v>
      </c>
      <c r="O855" s="12">
        <v>46000</v>
      </c>
      <c r="P855" s="3" t="s">
        <v>46</v>
      </c>
      <c r="Q855" s="1" cm="1">
        <f t="array" ref="Q855">VALUE(INDEX(_xlfn.TEXTSPLIT(P855, " "), 4))</f>
        <v>2014</v>
      </c>
      <c r="R855" s="1" t="str">
        <f t="shared" si="13"/>
        <v>bmw 750li 750li</v>
      </c>
      <c r="S855" s="1" t="str" cm="1">
        <f t="array" ref="S855">_xlfn.IFS(I855 &gt;= 40, "High", I855&gt;=20, "Medium", I855&lt;20, "Low")</f>
        <v>High</v>
      </c>
      <c r="T855" s="1" t="str" cm="1">
        <f t="array" ref="T855">_xlfn.IFS(O855&lt;18200, "Low", O855&lt;=50000, "Medium", O855&gt;50000, "High")</f>
        <v>Medium</v>
      </c>
    </row>
    <row r="856" spans="1:20" x14ac:dyDescent="0.25">
      <c r="A856" s="2">
        <v>2012</v>
      </c>
      <c r="B856" s="1" t="s">
        <v>29</v>
      </c>
      <c r="C856" s="1" t="s">
        <v>111</v>
      </c>
      <c r="D856" s="1" t="s">
        <v>44</v>
      </c>
      <c r="E856" s="1" t="s">
        <v>71</v>
      </c>
      <c r="F856" s="1" t="s">
        <v>20</v>
      </c>
      <c r="G856" s="1" t="s">
        <v>1408</v>
      </c>
      <c r="H856" s="1" t="s">
        <v>22</v>
      </c>
      <c r="I856" s="1">
        <v>49</v>
      </c>
      <c r="J856" s="1">
        <v>26704</v>
      </c>
      <c r="K856" s="1" t="s">
        <v>91</v>
      </c>
      <c r="L856" s="1" t="s">
        <v>82</v>
      </c>
      <c r="M856" s="1" t="s">
        <v>35</v>
      </c>
      <c r="N856" s="1">
        <v>48700</v>
      </c>
      <c r="O856" s="12">
        <v>49250</v>
      </c>
      <c r="P856" s="3" t="s">
        <v>36</v>
      </c>
      <c r="Q856" s="1" cm="1">
        <f t="array" ref="Q856">VALUE(INDEX(_xlfn.TEXTSPLIT(P856, " "), 4))</f>
        <v>2015</v>
      </c>
      <c r="R856" s="1" t="str">
        <f t="shared" si="13"/>
        <v>BMW 6 Series 650i</v>
      </c>
      <c r="S856" s="1" t="str" cm="1">
        <f t="array" ref="S856">_xlfn.IFS(I856 &gt;= 40, "High", I856&gt;=20, "Medium", I856&lt;20, "Low")</f>
        <v>High</v>
      </c>
      <c r="T856" s="1" t="str" cm="1">
        <f t="array" ref="T856">_xlfn.IFS(O856&lt;18200, "Low", O856&lt;=50000, "Medium", O856&gt;50000, "High")</f>
        <v>Medium</v>
      </c>
    </row>
    <row r="857" spans="1:20" x14ac:dyDescent="0.25">
      <c r="A857" s="2">
        <v>2012</v>
      </c>
      <c r="B857" s="1" t="s">
        <v>29</v>
      </c>
      <c r="C857" s="1" t="s">
        <v>117</v>
      </c>
      <c r="D857" s="1" t="s">
        <v>1292</v>
      </c>
      <c r="E857" s="1" t="s">
        <v>32</v>
      </c>
      <c r="F857" s="1" t="s">
        <v>20</v>
      </c>
      <c r="G857" s="1" t="s">
        <v>1409</v>
      </c>
      <c r="H857" s="1" t="s">
        <v>22</v>
      </c>
      <c r="I857" s="1">
        <v>46</v>
      </c>
      <c r="J857" s="1">
        <v>41539</v>
      </c>
      <c r="K857" s="1" t="s">
        <v>23</v>
      </c>
      <c r="L857" s="1" t="s">
        <v>24</v>
      </c>
      <c r="M857" s="1" t="s">
        <v>35</v>
      </c>
      <c r="N857" s="1">
        <v>32800</v>
      </c>
      <c r="O857" s="12">
        <v>36750</v>
      </c>
      <c r="P857" s="3" t="s">
        <v>46</v>
      </c>
      <c r="Q857" s="1" cm="1">
        <f t="array" ref="Q857">VALUE(INDEX(_xlfn.TEXTSPLIT(P857, " "), 4))</f>
        <v>2014</v>
      </c>
      <c r="R857" s="1" t="str">
        <f t="shared" si="13"/>
        <v>BMW 5 Series 535i</v>
      </c>
      <c r="S857" s="1" t="str" cm="1">
        <f t="array" ref="S857">_xlfn.IFS(I857 &gt;= 40, "High", I857&gt;=20, "Medium", I857&lt;20, "Low")</f>
        <v>High</v>
      </c>
      <c r="T857" s="1" t="str" cm="1">
        <f t="array" ref="T857">_xlfn.IFS(O857&lt;18200, "Low", O857&lt;=50000, "Medium", O857&gt;50000, "High")</f>
        <v>Medium</v>
      </c>
    </row>
    <row r="858" spans="1:20" x14ac:dyDescent="0.25">
      <c r="A858" s="2">
        <v>2012</v>
      </c>
      <c r="B858" s="1" t="s">
        <v>184</v>
      </c>
      <c r="C858" s="1" t="s">
        <v>1410</v>
      </c>
      <c r="D858" s="1" t="s">
        <v>186</v>
      </c>
      <c r="E858" s="1" t="s">
        <v>227</v>
      </c>
      <c r="F858" s="1" t="s">
        <v>20</v>
      </c>
      <c r="G858" s="1" t="s">
        <v>1411</v>
      </c>
      <c r="H858" s="1" t="s">
        <v>22</v>
      </c>
      <c r="I858" s="1">
        <v>36</v>
      </c>
      <c r="J858" s="1">
        <v>33680</v>
      </c>
      <c r="K858" s="1" t="s">
        <v>24</v>
      </c>
      <c r="L858" s="1" t="s">
        <v>24</v>
      </c>
      <c r="M858" s="1" t="s">
        <v>1266</v>
      </c>
      <c r="N858" s="1">
        <v>28200</v>
      </c>
      <c r="O858" s="12">
        <v>26600</v>
      </c>
      <c r="P858" s="3" t="s">
        <v>68</v>
      </c>
      <c r="Q858" s="1" cm="1">
        <f t="array" ref="Q858">VALUE(INDEX(_xlfn.TEXTSPLIT(P858, " "), 4))</f>
        <v>2014</v>
      </c>
      <c r="R858" s="1" t="str">
        <f t="shared" si="13"/>
        <v>Acura ZDX Technology Package</v>
      </c>
      <c r="S858" s="1" t="str" cm="1">
        <f t="array" ref="S858">_xlfn.IFS(I858 &gt;= 40, "High", I858&gt;=20, "Medium", I858&lt;20, "Low")</f>
        <v>Medium</v>
      </c>
      <c r="T858" s="1" t="str" cm="1">
        <f t="array" ref="T858">_xlfn.IFS(O858&lt;18200, "Low", O858&lt;=50000, "Medium", O858&gt;50000, "High")</f>
        <v>Medium</v>
      </c>
    </row>
    <row r="859" spans="1:20" x14ac:dyDescent="0.25">
      <c r="A859" s="2">
        <v>2012</v>
      </c>
      <c r="B859" s="1" t="s">
        <v>29</v>
      </c>
      <c r="C859" s="1" t="s">
        <v>30</v>
      </c>
      <c r="D859" s="1" t="s">
        <v>1282</v>
      </c>
      <c r="E859" s="1" t="s">
        <v>71</v>
      </c>
      <c r="F859" s="1" t="s">
        <v>20</v>
      </c>
      <c r="G859" s="1" t="s">
        <v>1412</v>
      </c>
      <c r="H859" s="1" t="s">
        <v>22</v>
      </c>
      <c r="I859" s="1">
        <v>29</v>
      </c>
      <c r="J859" s="1">
        <v>37032</v>
      </c>
      <c r="K859" s="1" t="s">
        <v>24</v>
      </c>
      <c r="L859" s="1" t="s">
        <v>24</v>
      </c>
      <c r="M859" s="1" t="s">
        <v>35</v>
      </c>
      <c r="N859" s="1">
        <v>26300</v>
      </c>
      <c r="O859" s="12">
        <v>25000</v>
      </c>
      <c r="P859" s="3" t="s">
        <v>120</v>
      </c>
      <c r="Q859" s="1" cm="1">
        <f t="array" ref="Q859">VALUE(INDEX(_xlfn.TEXTSPLIT(P859, " "), 4))</f>
        <v>2015</v>
      </c>
      <c r="R859" s="1" t="str">
        <f t="shared" si="13"/>
        <v>BMW 3 Series 328i</v>
      </c>
      <c r="S859" s="1" t="str" cm="1">
        <f t="array" ref="S859">_xlfn.IFS(I859 &gt;= 40, "High", I859&gt;=20, "Medium", I859&lt;20, "Low")</f>
        <v>Medium</v>
      </c>
      <c r="T859" s="1" t="str" cm="1">
        <f t="array" ref="T859">_xlfn.IFS(O859&lt;18200, "Low", O859&lt;=50000, "Medium", O859&gt;50000, "High")</f>
        <v>Medium</v>
      </c>
    </row>
    <row r="860" spans="1:20" x14ac:dyDescent="0.25">
      <c r="A860" s="2">
        <v>2012</v>
      </c>
      <c r="B860" s="1" t="s">
        <v>29</v>
      </c>
      <c r="C860" s="1" t="s">
        <v>30</v>
      </c>
      <c r="D860" s="1" t="s">
        <v>1282</v>
      </c>
      <c r="E860" s="1" t="s">
        <v>32</v>
      </c>
      <c r="F860" s="1" t="s">
        <v>20</v>
      </c>
      <c r="G860" s="1" t="s">
        <v>1413</v>
      </c>
      <c r="H860" s="1" t="s">
        <v>22</v>
      </c>
      <c r="I860" s="1">
        <v>48</v>
      </c>
      <c r="J860" s="1">
        <v>23936</v>
      </c>
      <c r="K860" s="1" t="s">
        <v>23</v>
      </c>
      <c r="L860" s="1" t="s">
        <v>101</v>
      </c>
      <c r="M860" s="1" t="s">
        <v>35</v>
      </c>
      <c r="N860" s="1">
        <v>26900</v>
      </c>
      <c r="O860" s="12">
        <v>28000</v>
      </c>
      <c r="P860" s="3" t="s">
        <v>46</v>
      </c>
      <c r="Q860" s="1" cm="1">
        <f t="array" ref="Q860">VALUE(INDEX(_xlfn.TEXTSPLIT(P860, " "), 4))</f>
        <v>2014</v>
      </c>
      <c r="R860" s="1" t="str">
        <f t="shared" si="13"/>
        <v>BMW 3 Series 328i</v>
      </c>
      <c r="S860" s="1" t="str" cm="1">
        <f t="array" ref="S860">_xlfn.IFS(I860 &gt;= 40, "High", I860&gt;=20, "Medium", I860&lt;20, "Low")</f>
        <v>High</v>
      </c>
      <c r="T860" s="1" t="str" cm="1">
        <f t="array" ref="T860">_xlfn.IFS(O860&lt;18200, "Low", O860&lt;=50000, "Medium", O860&gt;50000, "High")</f>
        <v>Medium</v>
      </c>
    </row>
    <row r="861" spans="1:20" x14ac:dyDescent="0.25">
      <c r="A861" s="2">
        <v>2012</v>
      </c>
      <c r="B861" s="1" t="s">
        <v>63</v>
      </c>
      <c r="C861" s="1" t="s">
        <v>64</v>
      </c>
      <c r="D861" s="1" t="s">
        <v>1321</v>
      </c>
      <c r="E861" s="1" t="s">
        <v>32</v>
      </c>
      <c r="F861" s="1" t="s">
        <v>20</v>
      </c>
      <c r="G861" s="1" t="s">
        <v>1414</v>
      </c>
      <c r="H861" s="1" t="s">
        <v>22</v>
      </c>
      <c r="I861" s="1">
        <v>38</v>
      </c>
      <c r="J861" s="1">
        <v>15193</v>
      </c>
      <c r="K861" s="1" t="s">
        <v>24</v>
      </c>
      <c r="L861" s="1" t="s">
        <v>24</v>
      </c>
      <c r="M861" s="1" t="s">
        <v>625</v>
      </c>
      <c r="N861" s="1">
        <v>22900</v>
      </c>
      <c r="O861" s="12">
        <v>24250</v>
      </c>
      <c r="P861" s="3" t="s">
        <v>68</v>
      </c>
      <c r="Q861" s="1" cm="1">
        <f t="array" ref="Q861">VALUE(INDEX(_xlfn.TEXTSPLIT(P861, " "), 4))</f>
        <v>2014</v>
      </c>
      <c r="R861" s="1" t="str">
        <f t="shared" si="13"/>
        <v>Audi A4 2.0T Premium quattro</v>
      </c>
      <c r="S861" s="1" t="str" cm="1">
        <f t="array" ref="S861">_xlfn.IFS(I861 &gt;= 40, "High", I861&gt;=20, "Medium", I861&lt;20, "Low")</f>
        <v>Medium</v>
      </c>
      <c r="T861" s="1" t="str" cm="1">
        <f t="array" ref="T861">_xlfn.IFS(O861&lt;18200, "Low", O861&lt;=50000, "Medium", O861&gt;50000, "High")</f>
        <v>Medium</v>
      </c>
    </row>
    <row r="862" spans="1:20" x14ac:dyDescent="0.25">
      <c r="A862" s="2">
        <v>2012</v>
      </c>
      <c r="B862" s="1" t="s">
        <v>29</v>
      </c>
      <c r="C862" s="1" t="s">
        <v>1285</v>
      </c>
      <c r="D862" s="1" t="s">
        <v>1331</v>
      </c>
      <c r="E862" s="1" t="s">
        <v>71</v>
      </c>
      <c r="F862" s="1" t="s">
        <v>20</v>
      </c>
      <c r="G862" s="1" t="s">
        <v>1415</v>
      </c>
      <c r="H862" s="1" t="s">
        <v>22</v>
      </c>
      <c r="I862" s="1">
        <v>43</v>
      </c>
      <c r="J862" s="1">
        <v>33965</v>
      </c>
      <c r="K862" s="1" t="s">
        <v>94</v>
      </c>
      <c r="L862" s="1" t="s">
        <v>101</v>
      </c>
      <c r="M862" s="1" t="s">
        <v>35</v>
      </c>
      <c r="N862" s="1">
        <v>23200</v>
      </c>
      <c r="O862" s="12">
        <v>22750</v>
      </c>
      <c r="P862" s="3" t="s">
        <v>46</v>
      </c>
      <c r="Q862" s="1" cm="1">
        <f t="array" ref="Q862">VALUE(INDEX(_xlfn.TEXTSPLIT(P862, " "), 4))</f>
        <v>2014</v>
      </c>
      <c r="R862" s="1" t="str">
        <f t="shared" si="13"/>
        <v>BMW 1 Series 128i</v>
      </c>
      <c r="S862" s="1" t="str" cm="1">
        <f t="array" ref="S862">_xlfn.IFS(I862 &gt;= 40, "High", I862&gt;=20, "Medium", I862&lt;20, "Low")</f>
        <v>High</v>
      </c>
      <c r="T862" s="1" t="str" cm="1">
        <f t="array" ref="T862">_xlfn.IFS(O862&lt;18200, "Low", O862&lt;=50000, "Medium", O862&gt;50000, "High")</f>
        <v>Medium</v>
      </c>
    </row>
    <row r="863" spans="1:20" x14ac:dyDescent="0.25">
      <c r="A863" s="2">
        <v>2012</v>
      </c>
      <c r="B863" s="1" t="s">
        <v>184</v>
      </c>
      <c r="C863" s="1" t="s">
        <v>1264</v>
      </c>
      <c r="D863" s="1" t="s">
        <v>1333</v>
      </c>
      <c r="E863" s="1" t="s">
        <v>32</v>
      </c>
      <c r="F863" s="1" t="s">
        <v>20</v>
      </c>
      <c r="G863" s="1" t="s">
        <v>1416</v>
      </c>
      <c r="H863" s="1" t="s">
        <v>22</v>
      </c>
      <c r="I863" s="1">
        <v>41</v>
      </c>
      <c r="J863" s="1">
        <v>30406</v>
      </c>
      <c r="K863" s="1" t="s">
        <v>34</v>
      </c>
      <c r="L863" s="1" t="s">
        <v>24</v>
      </c>
      <c r="M863" s="1" t="s">
        <v>1266</v>
      </c>
      <c r="N863" s="1">
        <v>18150</v>
      </c>
      <c r="O863" s="12">
        <v>19100</v>
      </c>
      <c r="P863" s="3" t="s">
        <v>68</v>
      </c>
      <c r="Q863" s="1" cm="1">
        <f t="array" ref="Q863">VALUE(INDEX(_xlfn.TEXTSPLIT(P863, " "), 4))</f>
        <v>2014</v>
      </c>
      <c r="R863" s="1" t="str">
        <f t="shared" si="13"/>
        <v>Acura TSX Special Edition</v>
      </c>
      <c r="S863" s="1" t="str" cm="1">
        <f t="array" ref="S863">_xlfn.IFS(I863 &gt;= 40, "High", I863&gt;=20, "Medium", I863&lt;20, "Low")</f>
        <v>High</v>
      </c>
      <c r="T863" s="1" t="str" cm="1">
        <f t="array" ref="T863">_xlfn.IFS(O863&lt;18200, "Low", O863&lt;=50000, "Medium", O863&gt;50000, "High")</f>
        <v>Medium</v>
      </c>
    </row>
    <row r="864" spans="1:20" x14ac:dyDescent="0.25">
      <c r="A864" s="2">
        <v>2012</v>
      </c>
      <c r="B864" s="1" t="s">
        <v>29</v>
      </c>
      <c r="C864" s="1" t="s">
        <v>117</v>
      </c>
      <c r="D864" s="1" t="s">
        <v>1292</v>
      </c>
      <c r="E864" s="1" t="s">
        <v>32</v>
      </c>
      <c r="F864" s="1" t="s">
        <v>20</v>
      </c>
      <c r="G864" s="1" t="s">
        <v>1417</v>
      </c>
      <c r="H864" s="1" t="s">
        <v>22</v>
      </c>
      <c r="I864" s="1">
        <v>44</v>
      </c>
      <c r="J864" s="1">
        <v>54898</v>
      </c>
      <c r="K864" s="1" t="s">
        <v>23</v>
      </c>
      <c r="L864" s="1" t="s">
        <v>82</v>
      </c>
      <c r="M864" s="1" t="s">
        <v>35</v>
      </c>
      <c r="N864" s="1">
        <v>30600</v>
      </c>
      <c r="O864" s="12">
        <v>31000</v>
      </c>
      <c r="P864" s="3" t="s">
        <v>46</v>
      </c>
      <c r="Q864" s="1" cm="1">
        <f t="array" ref="Q864">VALUE(INDEX(_xlfn.TEXTSPLIT(P864, " "), 4))</f>
        <v>2014</v>
      </c>
      <c r="R864" s="1" t="str">
        <f t="shared" si="13"/>
        <v>BMW 5 Series 535i</v>
      </c>
      <c r="S864" s="1" t="str" cm="1">
        <f t="array" ref="S864">_xlfn.IFS(I864 &gt;= 40, "High", I864&gt;=20, "Medium", I864&lt;20, "Low")</f>
        <v>High</v>
      </c>
      <c r="T864" s="1" t="str" cm="1">
        <f t="array" ref="T864">_xlfn.IFS(O864&lt;18200, "Low", O864&lt;=50000, "Medium", O864&gt;50000, "High")</f>
        <v>Medium</v>
      </c>
    </row>
    <row r="865" spans="1:20" x14ac:dyDescent="0.25">
      <c r="A865" s="2">
        <v>2012</v>
      </c>
      <c r="B865" s="1" t="s">
        <v>29</v>
      </c>
      <c r="C865" s="1" t="s">
        <v>117</v>
      </c>
      <c r="D865" s="1" t="s">
        <v>118</v>
      </c>
      <c r="E865" s="1" t="s">
        <v>32</v>
      </c>
      <c r="F865" s="1" t="s">
        <v>20</v>
      </c>
      <c r="G865" s="1" t="s">
        <v>1418</v>
      </c>
      <c r="H865" s="1" t="s">
        <v>22</v>
      </c>
      <c r="I865" s="1">
        <v>35</v>
      </c>
      <c r="J865" s="1">
        <v>62345</v>
      </c>
      <c r="K865" s="1" t="s">
        <v>34</v>
      </c>
      <c r="L865" s="1" t="s">
        <v>24</v>
      </c>
      <c r="M865" s="1" t="s">
        <v>1297</v>
      </c>
      <c r="N865" s="1">
        <v>26000</v>
      </c>
      <c r="O865" s="12">
        <v>24750</v>
      </c>
      <c r="P865" s="3" t="s">
        <v>26</v>
      </c>
      <c r="Q865" s="1" cm="1">
        <f t="array" ref="Q865">VALUE(INDEX(_xlfn.TEXTSPLIT(P865, " "), 4))</f>
        <v>2014</v>
      </c>
      <c r="R865" s="1" t="str">
        <f t="shared" si="13"/>
        <v>BMW 5 Series 528i</v>
      </c>
      <c r="S865" s="1" t="str" cm="1">
        <f t="array" ref="S865">_xlfn.IFS(I865 &gt;= 40, "High", I865&gt;=20, "Medium", I865&lt;20, "Low")</f>
        <v>Medium</v>
      </c>
      <c r="T865" s="1" t="str" cm="1">
        <f t="array" ref="T865">_xlfn.IFS(O865&lt;18200, "Low", O865&lt;=50000, "Medium", O865&gt;50000, "High")</f>
        <v>Medium</v>
      </c>
    </row>
    <row r="866" spans="1:20" x14ac:dyDescent="0.25">
      <c r="A866" s="2">
        <v>2012</v>
      </c>
      <c r="B866" s="1" t="s">
        <v>29</v>
      </c>
      <c r="C866" s="1" t="s">
        <v>30</v>
      </c>
      <c r="D866" s="1" t="s">
        <v>1280</v>
      </c>
      <c r="E866" s="1" t="s">
        <v>71</v>
      </c>
      <c r="F866" s="1" t="s">
        <v>20</v>
      </c>
      <c r="G866" s="1" t="s">
        <v>1419</v>
      </c>
      <c r="H866" s="1" t="s">
        <v>22</v>
      </c>
      <c r="I866" s="1">
        <v>36</v>
      </c>
      <c r="J866" s="1">
        <v>48143</v>
      </c>
      <c r="K866" s="1" t="s">
        <v>24</v>
      </c>
      <c r="L866" s="1" t="s">
        <v>24</v>
      </c>
      <c r="M866" s="1" t="s">
        <v>35</v>
      </c>
      <c r="N866" s="1">
        <v>33800</v>
      </c>
      <c r="O866" s="12">
        <v>33000</v>
      </c>
      <c r="P866" s="3" t="s">
        <v>36</v>
      </c>
      <c r="Q866" s="1" cm="1">
        <f t="array" ref="Q866">VALUE(INDEX(_xlfn.TEXTSPLIT(P866, " "), 4))</f>
        <v>2015</v>
      </c>
      <c r="R866" s="1" t="str">
        <f t="shared" si="13"/>
        <v>BMW 3 Series 335is</v>
      </c>
      <c r="S866" s="1" t="str" cm="1">
        <f t="array" ref="S866">_xlfn.IFS(I866 &gt;= 40, "High", I866&gt;=20, "Medium", I866&lt;20, "Low")</f>
        <v>Medium</v>
      </c>
      <c r="T866" s="1" t="str" cm="1">
        <f t="array" ref="T866">_xlfn.IFS(O866&lt;18200, "Low", O866&lt;=50000, "Medium", O866&gt;50000, "High")</f>
        <v>Medium</v>
      </c>
    </row>
    <row r="867" spans="1:20" x14ac:dyDescent="0.25">
      <c r="A867" s="2">
        <v>2012</v>
      </c>
      <c r="B867" s="1" t="s">
        <v>29</v>
      </c>
      <c r="C867" s="1" t="s">
        <v>117</v>
      </c>
      <c r="D867" s="1" t="s">
        <v>118</v>
      </c>
      <c r="E867" s="1" t="s">
        <v>32</v>
      </c>
      <c r="F867" s="1" t="s">
        <v>20</v>
      </c>
      <c r="G867" s="1" t="s">
        <v>1420</v>
      </c>
      <c r="H867" s="1" t="s">
        <v>22</v>
      </c>
      <c r="I867" s="1">
        <v>38</v>
      </c>
      <c r="J867" s="1">
        <v>35294</v>
      </c>
      <c r="K867" s="1" t="s">
        <v>23</v>
      </c>
      <c r="L867" s="1" t="s">
        <v>82</v>
      </c>
      <c r="M867" s="1" t="s">
        <v>1143</v>
      </c>
      <c r="N867" s="1">
        <v>31600</v>
      </c>
      <c r="O867" s="12">
        <v>28000</v>
      </c>
      <c r="P867" s="3" t="s">
        <v>46</v>
      </c>
      <c r="Q867" s="1" cm="1">
        <f t="array" ref="Q867">VALUE(INDEX(_xlfn.TEXTSPLIT(P867, " "), 4))</f>
        <v>2014</v>
      </c>
      <c r="R867" s="1" t="str">
        <f t="shared" si="13"/>
        <v>BMW 5 Series 528i</v>
      </c>
      <c r="S867" s="1" t="str" cm="1">
        <f t="array" ref="S867">_xlfn.IFS(I867 &gt;= 40, "High", I867&gt;=20, "Medium", I867&lt;20, "Low")</f>
        <v>Medium</v>
      </c>
      <c r="T867" s="1" t="str" cm="1">
        <f t="array" ref="T867">_xlfn.IFS(O867&lt;18200, "Low", O867&lt;=50000, "Medium", O867&gt;50000, "High")</f>
        <v>Medium</v>
      </c>
    </row>
    <row r="868" spans="1:20" x14ac:dyDescent="0.25">
      <c r="A868" s="2">
        <v>2012</v>
      </c>
      <c r="B868" s="1" t="s">
        <v>29</v>
      </c>
      <c r="C868" s="1" t="s">
        <v>111</v>
      </c>
      <c r="D868" s="1" t="s">
        <v>44</v>
      </c>
      <c r="E868" s="1" t="s">
        <v>71</v>
      </c>
      <c r="F868" s="1" t="s">
        <v>20</v>
      </c>
      <c r="G868" s="1" t="s">
        <v>1421</v>
      </c>
      <c r="H868" s="1" t="s">
        <v>22</v>
      </c>
      <c r="I868" s="1">
        <v>34</v>
      </c>
      <c r="J868" s="1">
        <v>44520</v>
      </c>
      <c r="K868" s="1" t="s">
        <v>24</v>
      </c>
      <c r="L868" s="1" t="s">
        <v>24</v>
      </c>
      <c r="M868" s="1" t="s">
        <v>35</v>
      </c>
      <c r="N868" s="1">
        <v>40900</v>
      </c>
      <c r="O868" s="12">
        <v>40500</v>
      </c>
      <c r="P868" s="3" t="s">
        <v>133</v>
      </c>
      <c r="Q868" s="1" cm="1">
        <f t="array" ref="Q868">VALUE(INDEX(_xlfn.TEXTSPLIT(P868, " "), 4))</f>
        <v>2015</v>
      </c>
      <c r="R868" s="1" t="str">
        <f t="shared" si="13"/>
        <v>BMW 6 Series 650i</v>
      </c>
      <c r="S868" s="1" t="str" cm="1">
        <f t="array" ref="S868">_xlfn.IFS(I868 &gt;= 40, "High", I868&gt;=20, "Medium", I868&lt;20, "Low")</f>
        <v>Medium</v>
      </c>
      <c r="T868" s="1" t="str" cm="1">
        <f t="array" ref="T868">_xlfn.IFS(O868&lt;18200, "Low", O868&lt;=50000, "Medium", O868&gt;50000, "High")</f>
        <v>Medium</v>
      </c>
    </row>
    <row r="869" spans="1:20" x14ac:dyDescent="0.25">
      <c r="A869" s="2">
        <v>2012</v>
      </c>
      <c r="B869" s="1" t="s">
        <v>29</v>
      </c>
      <c r="C869" s="1" t="s">
        <v>117</v>
      </c>
      <c r="D869" s="1" t="s">
        <v>118</v>
      </c>
      <c r="E869" s="1" t="s">
        <v>32</v>
      </c>
      <c r="F869" s="1" t="s">
        <v>20</v>
      </c>
      <c r="G869" s="1" t="s">
        <v>1422</v>
      </c>
      <c r="H869" s="1" t="s">
        <v>22</v>
      </c>
      <c r="I869" s="1">
        <v>38</v>
      </c>
      <c r="J869" s="1">
        <v>59814</v>
      </c>
      <c r="K869" s="1" t="s">
        <v>23</v>
      </c>
      <c r="L869" s="1" t="s">
        <v>24</v>
      </c>
      <c r="M869" s="1" t="s">
        <v>35</v>
      </c>
      <c r="N869" s="1">
        <v>26500</v>
      </c>
      <c r="O869" s="12">
        <v>28000</v>
      </c>
      <c r="P869" s="3" t="s">
        <v>46</v>
      </c>
      <c r="Q869" s="1" cm="1">
        <f t="array" ref="Q869">VALUE(INDEX(_xlfn.TEXTSPLIT(P869, " "), 4))</f>
        <v>2014</v>
      </c>
      <c r="R869" s="1" t="str">
        <f t="shared" si="13"/>
        <v>BMW 5 Series 528i</v>
      </c>
      <c r="S869" s="1" t="str" cm="1">
        <f t="array" ref="S869">_xlfn.IFS(I869 &gt;= 40, "High", I869&gt;=20, "Medium", I869&lt;20, "Low")</f>
        <v>Medium</v>
      </c>
      <c r="T869" s="1" t="str" cm="1">
        <f t="array" ref="T869">_xlfn.IFS(O869&lt;18200, "Low", O869&lt;=50000, "Medium", O869&gt;50000, "High")</f>
        <v>Medium</v>
      </c>
    </row>
    <row r="870" spans="1:20" x14ac:dyDescent="0.25">
      <c r="A870" s="2">
        <v>2012</v>
      </c>
      <c r="B870" s="1" t="s">
        <v>29</v>
      </c>
      <c r="C870" s="1" t="s">
        <v>111</v>
      </c>
      <c r="D870" s="1" t="s">
        <v>44</v>
      </c>
      <c r="E870" s="1" t="s">
        <v>71</v>
      </c>
      <c r="F870" s="1" t="s">
        <v>20</v>
      </c>
      <c r="G870" s="1" t="s">
        <v>1423</v>
      </c>
      <c r="H870" s="1" t="s">
        <v>22</v>
      </c>
      <c r="I870" s="1">
        <v>34</v>
      </c>
      <c r="J870" s="1">
        <v>26807</v>
      </c>
      <c r="K870" s="1" t="s">
        <v>24</v>
      </c>
      <c r="L870" s="1" t="s">
        <v>101</v>
      </c>
      <c r="M870" s="1" t="s">
        <v>35</v>
      </c>
      <c r="N870" s="1">
        <v>48700</v>
      </c>
      <c r="O870" s="12">
        <v>47000</v>
      </c>
      <c r="P870" s="3" t="s">
        <v>36</v>
      </c>
      <c r="Q870" s="1" cm="1">
        <f t="array" ref="Q870">VALUE(INDEX(_xlfn.TEXTSPLIT(P870, " "), 4))</f>
        <v>2015</v>
      </c>
      <c r="R870" s="1" t="str">
        <f t="shared" si="13"/>
        <v>BMW 6 Series 650i</v>
      </c>
      <c r="S870" s="1" t="str" cm="1">
        <f t="array" ref="S870">_xlfn.IFS(I870 &gt;= 40, "High", I870&gt;=20, "Medium", I870&lt;20, "Low")</f>
        <v>Medium</v>
      </c>
      <c r="T870" s="1" t="str" cm="1">
        <f t="array" ref="T870">_xlfn.IFS(O870&lt;18200, "Low", O870&lt;=50000, "Medium", O870&gt;50000, "High")</f>
        <v>Medium</v>
      </c>
    </row>
    <row r="871" spans="1:20" x14ac:dyDescent="0.25">
      <c r="A871" s="2">
        <v>2012</v>
      </c>
      <c r="B871" s="1" t="s">
        <v>63</v>
      </c>
      <c r="C871" s="1" t="s">
        <v>76</v>
      </c>
      <c r="D871" s="1" t="s">
        <v>1269</v>
      </c>
      <c r="E871" s="1" t="s">
        <v>32</v>
      </c>
      <c r="F871" s="1" t="s">
        <v>20</v>
      </c>
      <c r="G871" s="1" t="s">
        <v>1424</v>
      </c>
      <c r="H871" s="1" t="s">
        <v>22</v>
      </c>
      <c r="I871" s="1">
        <v>36</v>
      </c>
      <c r="J871" s="1">
        <v>13936</v>
      </c>
      <c r="K871" s="1" t="s">
        <v>24</v>
      </c>
      <c r="L871" s="1" t="s">
        <v>24</v>
      </c>
      <c r="M871" s="1" t="s">
        <v>1425</v>
      </c>
      <c r="N871" s="1">
        <v>33900</v>
      </c>
      <c r="O871" s="12">
        <v>33100</v>
      </c>
      <c r="P871" s="3" t="s">
        <v>68</v>
      </c>
      <c r="Q871" s="1" cm="1">
        <f t="array" ref="Q871">VALUE(INDEX(_xlfn.TEXTSPLIT(P871, " "), 4))</f>
        <v>2014</v>
      </c>
      <c r="R871" s="1" t="str">
        <f t="shared" si="13"/>
        <v>Audi A6 3.0T Premium quattro</v>
      </c>
      <c r="S871" s="1" t="str" cm="1">
        <f t="array" ref="S871">_xlfn.IFS(I871 &gt;= 40, "High", I871&gt;=20, "Medium", I871&lt;20, "Low")</f>
        <v>Medium</v>
      </c>
      <c r="T871" s="1" t="str" cm="1">
        <f t="array" ref="T871">_xlfn.IFS(O871&lt;18200, "Low", O871&lt;=50000, "Medium", O871&gt;50000, "High")</f>
        <v>Medium</v>
      </c>
    </row>
    <row r="872" spans="1:20" x14ac:dyDescent="0.25">
      <c r="A872" s="2">
        <v>2012</v>
      </c>
      <c r="B872" s="1" t="s">
        <v>29</v>
      </c>
      <c r="C872" s="1" t="s">
        <v>111</v>
      </c>
      <c r="D872" s="1" t="s">
        <v>1288</v>
      </c>
      <c r="E872" s="1" t="s">
        <v>71</v>
      </c>
      <c r="F872" s="1" t="s">
        <v>20</v>
      </c>
      <c r="G872" s="1" t="s">
        <v>1426</v>
      </c>
      <c r="H872" s="1" t="s">
        <v>22</v>
      </c>
      <c r="I872" s="1">
        <v>37</v>
      </c>
      <c r="J872" s="1">
        <v>45540</v>
      </c>
      <c r="K872" s="1" t="s">
        <v>94</v>
      </c>
      <c r="L872" s="1" t="s">
        <v>28</v>
      </c>
      <c r="M872" s="1" t="s">
        <v>625</v>
      </c>
      <c r="N872" s="1">
        <v>42800</v>
      </c>
      <c r="O872" s="12">
        <v>40750</v>
      </c>
      <c r="P872" s="3" t="s">
        <v>362</v>
      </c>
      <c r="Q872" s="1" cm="1">
        <f t="array" ref="Q872">VALUE(INDEX(_xlfn.TEXTSPLIT(P872, " "), 4))</f>
        <v>2014</v>
      </c>
      <c r="R872" s="1" t="str">
        <f t="shared" si="13"/>
        <v>BMW 6 Series 640i</v>
      </c>
      <c r="S872" s="1" t="str" cm="1">
        <f t="array" ref="S872">_xlfn.IFS(I872 &gt;= 40, "High", I872&gt;=20, "Medium", I872&lt;20, "Low")</f>
        <v>Medium</v>
      </c>
      <c r="T872" s="1" t="str" cm="1">
        <f t="array" ref="T872">_xlfn.IFS(O872&lt;18200, "Low", O872&lt;=50000, "Medium", O872&gt;50000, "High")</f>
        <v>Medium</v>
      </c>
    </row>
    <row r="873" spans="1:20" x14ac:dyDescent="0.25">
      <c r="A873" s="2">
        <v>2012</v>
      </c>
      <c r="B873" s="1" t="s">
        <v>184</v>
      </c>
      <c r="C873" s="1" t="s">
        <v>1290</v>
      </c>
      <c r="D873" s="1" t="s">
        <v>186</v>
      </c>
      <c r="E873" s="1" t="s">
        <v>32</v>
      </c>
      <c r="F873" s="1" t="s">
        <v>20</v>
      </c>
      <c r="G873" s="1" t="s">
        <v>1427</v>
      </c>
      <c r="H873" s="1" t="s">
        <v>22</v>
      </c>
      <c r="I873" s="1">
        <v>34</v>
      </c>
      <c r="J873" s="1">
        <v>28151</v>
      </c>
      <c r="K873" s="1" t="s">
        <v>24</v>
      </c>
      <c r="L873" s="1" t="s">
        <v>24</v>
      </c>
      <c r="M873" s="1" t="s">
        <v>1327</v>
      </c>
      <c r="N873" s="1">
        <v>21900</v>
      </c>
      <c r="O873" s="12">
        <v>21000</v>
      </c>
      <c r="P873" s="3" t="s">
        <v>68</v>
      </c>
      <c r="Q873" s="1" cm="1">
        <f t="array" ref="Q873">VALUE(INDEX(_xlfn.TEXTSPLIT(P873, " "), 4))</f>
        <v>2014</v>
      </c>
      <c r="R873" s="1" t="str">
        <f t="shared" si="13"/>
        <v>Acura TL Technology Package</v>
      </c>
      <c r="S873" s="1" t="str" cm="1">
        <f t="array" ref="S873">_xlfn.IFS(I873 &gt;= 40, "High", I873&gt;=20, "Medium", I873&lt;20, "Low")</f>
        <v>Medium</v>
      </c>
      <c r="T873" s="1" t="str" cm="1">
        <f t="array" ref="T873">_xlfn.IFS(O873&lt;18200, "Low", O873&lt;=50000, "Medium", O873&gt;50000, "High")</f>
        <v>Medium</v>
      </c>
    </row>
    <row r="874" spans="1:20" x14ac:dyDescent="0.25">
      <c r="A874" s="2">
        <v>2012</v>
      </c>
      <c r="B874" s="1" t="s">
        <v>29</v>
      </c>
      <c r="C874" s="1" t="s">
        <v>30</v>
      </c>
      <c r="D874" s="1" t="s">
        <v>1282</v>
      </c>
      <c r="E874" s="1" t="s">
        <v>71</v>
      </c>
      <c r="F874" s="1" t="s">
        <v>20</v>
      </c>
      <c r="G874" s="1" t="s">
        <v>1428</v>
      </c>
      <c r="H874" s="1" t="s">
        <v>22</v>
      </c>
      <c r="I874" s="1">
        <v>43</v>
      </c>
      <c r="J874" s="1">
        <v>29297</v>
      </c>
      <c r="K874" s="1" t="s">
        <v>23</v>
      </c>
      <c r="L874" s="1" t="s">
        <v>24</v>
      </c>
      <c r="M874" s="1" t="s">
        <v>35</v>
      </c>
      <c r="N874" s="1">
        <v>28600</v>
      </c>
      <c r="O874" s="12">
        <v>30000</v>
      </c>
      <c r="P874" s="3" t="s">
        <v>46</v>
      </c>
      <c r="Q874" s="1" cm="1">
        <f t="array" ref="Q874">VALUE(INDEX(_xlfn.TEXTSPLIT(P874, " "), 4))</f>
        <v>2014</v>
      </c>
      <c r="R874" s="1" t="str">
        <f t="shared" si="13"/>
        <v>BMW 3 Series 328i</v>
      </c>
      <c r="S874" s="1" t="str" cm="1">
        <f t="array" ref="S874">_xlfn.IFS(I874 &gt;= 40, "High", I874&gt;=20, "Medium", I874&lt;20, "Low")</f>
        <v>High</v>
      </c>
      <c r="T874" s="1" t="str" cm="1">
        <f t="array" ref="T874">_xlfn.IFS(O874&lt;18200, "Low", O874&lt;=50000, "Medium", O874&gt;50000, "High")</f>
        <v>Medium</v>
      </c>
    </row>
    <row r="875" spans="1:20" x14ac:dyDescent="0.25">
      <c r="A875" s="2">
        <v>2012</v>
      </c>
      <c r="B875" s="1" t="s">
        <v>29</v>
      </c>
      <c r="C875" s="1" t="s">
        <v>30</v>
      </c>
      <c r="D875" s="1" t="s">
        <v>1282</v>
      </c>
      <c r="E875" s="1" t="s">
        <v>107</v>
      </c>
      <c r="F875" s="1" t="s">
        <v>20</v>
      </c>
      <c r="G875" s="1" t="s">
        <v>1429</v>
      </c>
      <c r="H875" s="1" t="s">
        <v>22</v>
      </c>
      <c r="I875" s="1">
        <v>29</v>
      </c>
      <c r="J875" s="1">
        <v>61573</v>
      </c>
      <c r="K875" s="1" t="s">
        <v>23</v>
      </c>
      <c r="L875" s="1" t="s">
        <v>101</v>
      </c>
      <c r="M875" s="1" t="s">
        <v>35</v>
      </c>
      <c r="N875" s="1">
        <v>20000</v>
      </c>
      <c r="O875" s="12">
        <v>19000</v>
      </c>
      <c r="P875" s="3" t="s">
        <v>46</v>
      </c>
      <c r="Q875" s="1" cm="1">
        <f t="array" ref="Q875">VALUE(INDEX(_xlfn.TEXTSPLIT(P875, " "), 4))</f>
        <v>2014</v>
      </c>
      <c r="R875" s="1" t="str">
        <f t="shared" si="13"/>
        <v>BMW 3 Series 328i</v>
      </c>
      <c r="S875" s="1" t="str" cm="1">
        <f t="array" ref="S875">_xlfn.IFS(I875 &gt;= 40, "High", I875&gt;=20, "Medium", I875&lt;20, "Low")</f>
        <v>Medium</v>
      </c>
      <c r="T875" s="1" t="str" cm="1">
        <f t="array" ref="T875">_xlfn.IFS(O875&lt;18200, "Low", O875&lt;=50000, "Medium", O875&gt;50000, "High")</f>
        <v>Medium</v>
      </c>
    </row>
    <row r="876" spans="1:20" x14ac:dyDescent="0.25">
      <c r="A876" s="2">
        <v>2012</v>
      </c>
      <c r="B876" s="1" t="s">
        <v>29</v>
      </c>
      <c r="C876" s="1" t="s">
        <v>111</v>
      </c>
      <c r="D876" s="1" t="s">
        <v>44</v>
      </c>
      <c r="E876" s="1" t="s">
        <v>107</v>
      </c>
      <c r="F876" s="1" t="s">
        <v>20</v>
      </c>
      <c r="G876" s="1" t="s">
        <v>1430</v>
      </c>
      <c r="H876" s="1" t="s">
        <v>22</v>
      </c>
      <c r="I876" s="1">
        <v>42</v>
      </c>
      <c r="J876" s="1">
        <v>32341</v>
      </c>
      <c r="K876" s="1" t="s">
        <v>34</v>
      </c>
      <c r="L876" s="1" t="s">
        <v>24</v>
      </c>
      <c r="M876" s="1" t="s">
        <v>35</v>
      </c>
      <c r="N876" s="1">
        <v>43200</v>
      </c>
      <c r="O876" s="12">
        <v>43500</v>
      </c>
      <c r="P876" s="3" t="s">
        <v>46</v>
      </c>
      <c r="Q876" s="1" cm="1">
        <f t="array" ref="Q876">VALUE(INDEX(_xlfn.TEXTSPLIT(P876, " "), 4))</f>
        <v>2014</v>
      </c>
      <c r="R876" s="1" t="str">
        <f t="shared" si="13"/>
        <v>BMW 6 Series 650i</v>
      </c>
      <c r="S876" s="1" t="str" cm="1">
        <f t="array" ref="S876">_xlfn.IFS(I876 &gt;= 40, "High", I876&gt;=20, "Medium", I876&lt;20, "Low")</f>
        <v>High</v>
      </c>
      <c r="T876" s="1" t="str" cm="1">
        <f t="array" ref="T876">_xlfn.IFS(O876&lt;18200, "Low", O876&lt;=50000, "Medium", O876&gt;50000, "High")</f>
        <v>Medium</v>
      </c>
    </row>
    <row r="877" spans="1:20" x14ac:dyDescent="0.25">
      <c r="A877" s="2">
        <v>2012</v>
      </c>
      <c r="B877" s="1" t="s">
        <v>29</v>
      </c>
      <c r="C877" s="1" t="s">
        <v>1276</v>
      </c>
      <c r="D877" s="1" t="s">
        <v>1277</v>
      </c>
      <c r="E877" s="1" t="s">
        <v>32</v>
      </c>
      <c r="F877" s="1" t="s">
        <v>20</v>
      </c>
      <c r="G877" s="1" t="s">
        <v>1431</v>
      </c>
      <c r="H877" s="1" t="s">
        <v>22</v>
      </c>
      <c r="I877" s="1">
        <v>41</v>
      </c>
      <c r="J877" s="1">
        <v>17676</v>
      </c>
      <c r="K877" s="1" t="s">
        <v>94</v>
      </c>
      <c r="L877" s="1" t="s">
        <v>24</v>
      </c>
      <c r="M877" s="1" t="s">
        <v>35</v>
      </c>
      <c r="N877" s="1">
        <v>38200</v>
      </c>
      <c r="O877" s="12">
        <v>36500</v>
      </c>
      <c r="P877" s="3" t="s">
        <v>135</v>
      </c>
      <c r="Q877" s="1" cm="1">
        <f t="array" ref="Q877">VALUE(INDEX(_xlfn.TEXTSPLIT(P877, " "), 4))</f>
        <v>2015</v>
      </c>
      <c r="R877" s="1" t="str">
        <f t="shared" si="13"/>
        <v>BMW 7 Series 740i</v>
      </c>
      <c r="S877" s="1" t="str" cm="1">
        <f t="array" ref="S877">_xlfn.IFS(I877 &gt;= 40, "High", I877&gt;=20, "Medium", I877&lt;20, "Low")</f>
        <v>High</v>
      </c>
      <c r="T877" s="1" t="str" cm="1">
        <f t="array" ref="T877">_xlfn.IFS(O877&lt;18200, "Low", O877&lt;=50000, "Medium", O877&gt;50000, "High")</f>
        <v>Medium</v>
      </c>
    </row>
    <row r="878" spans="1:20" x14ac:dyDescent="0.25">
      <c r="A878" s="2">
        <v>2012</v>
      </c>
      <c r="B878" s="1" t="s">
        <v>184</v>
      </c>
      <c r="C878" s="1" t="s">
        <v>1264</v>
      </c>
      <c r="D878" s="1" t="s">
        <v>54</v>
      </c>
      <c r="E878" s="1" t="s">
        <v>32</v>
      </c>
      <c r="F878" s="1" t="s">
        <v>20</v>
      </c>
      <c r="G878" s="1" t="s">
        <v>1432</v>
      </c>
      <c r="H878" s="1" t="s">
        <v>22</v>
      </c>
      <c r="I878" s="1">
        <v>19</v>
      </c>
      <c r="J878" s="1">
        <v>27906</v>
      </c>
      <c r="K878" s="1" t="s">
        <v>34</v>
      </c>
      <c r="L878" s="1" t="s">
        <v>34</v>
      </c>
      <c r="M878" s="1" t="s">
        <v>274</v>
      </c>
      <c r="N878" s="1">
        <v>17150</v>
      </c>
      <c r="O878" s="12">
        <v>14000</v>
      </c>
      <c r="P878" s="3" t="s">
        <v>1433</v>
      </c>
      <c r="Q878" s="1" cm="1">
        <f t="array" ref="Q878">VALUE(INDEX(_xlfn.TEXTSPLIT(P878, " "), 4))</f>
        <v>2015</v>
      </c>
      <c r="R878" s="1" t="str">
        <f t="shared" si="13"/>
        <v>Acura TSX Base</v>
      </c>
      <c r="S878" s="1" t="str" cm="1">
        <f t="array" ref="S878">_xlfn.IFS(I878 &gt;= 40, "High", I878&gt;=20, "Medium", I878&lt;20, "Low")</f>
        <v>Low</v>
      </c>
      <c r="T878" s="1" t="str" cm="1">
        <f t="array" ref="T878">_xlfn.IFS(O878&lt;18200, "Low", O878&lt;=50000, "Medium", O878&gt;50000, "High")</f>
        <v>Low</v>
      </c>
    </row>
    <row r="879" spans="1:20" x14ac:dyDescent="0.25">
      <c r="A879" s="2">
        <v>2012</v>
      </c>
      <c r="B879" s="1" t="s">
        <v>184</v>
      </c>
      <c r="C879" s="1" t="s">
        <v>1264</v>
      </c>
      <c r="D879" s="1" t="s">
        <v>54</v>
      </c>
      <c r="E879" s="1" t="s">
        <v>32</v>
      </c>
      <c r="F879" s="1" t="s">
        <v>20</v>
      </c>
      <c r="G879" s="1" t="s">
        <v>1434</v>
      </c>
      <c r="H879" s="1" t="s">
        <v>22</v>
      </c>
      <c r="I879" s="1">
        <v>33</v>
      </c>
      <c r="J879" s="1">
        <v>10225</v>
      </c>
      <c r="K879" s="1" t="s">
        <v>23</v>
      </c>
      <c r="L879" s="1" t="s">
        <v>82</v>
      </c>
      <c r="M879" s="1" t="s">
        <v>1266</v>
      </c>
      <c r="N879" s="1">
        <v>20500</v>
      </c>
      <c r="O879" s="12">
        <v>19400</v>
      </c>
      <c r="P879" s="3" t="s">
        <v>68</v>
      </c>
      <c r="Q879" s="1" cm="1">
        <f t="array" ref="Q879">VALUE(INDEX(_xlfn.TEXTSPLIT(P879, " "), 4))</f>
        <v>2014</v>
      </c>
      <c r="R879" s="1" t="str">
        <f t="shared" si="13"/>
        <v>Acura TSX Base</v>
      </c>
      <c r="S879" s="1" t="str" cm="1">
        <f t="array" ref="S879">_xlfn.IFS(I879 &gt;= 40, "High", I879&gt;=20, "Medium", I879&lt;20, "Low")</f>
        <v>Medium</v>
      </c>
      <c r="T879" s="1" t="str" cm="1">
        <f t="array" ref="T879">_xlfn.IFS(O879&lt;18200, "Low", O879&lt;=50000, "Medium", O879&gt;50000, "High")</f>
        <v>Medium</v>
      </c>
    </row>
    <row r="880" spans="1:20" x14ac:dyDescent="0.25">
      <c r="A880" s="2">
        <v>2012</v>
      </c>
      <c r="B880" s="1" t="s">
        <v>63</v>
      </c>
      <c r="C880" s="1" t="s">
        <v>1435</v>
      </c>
      <c r="D880" s="1" t="s">
        <v>1436</v>
      </c>
      <c r="E880" s="1" t="s">
        <v>107</v>
      </c>
      <c r="F880" s="1" t="s">
        <v>20</v>
      </c>
      <c r="G880" s="1" t="s">
        <v>1437</v>
      </c>
      <c r="H880" s="1" t="s">
        <v>22</v>
      </c>
      <c r="I880" s="1">
        <v>39</v>
      </c>
      <c r="J880" s="1">
        <v>11740</v>
      </c>
      <c r="K880" s="1" t="s">
        <v>34</v>
      </c>
      <c r="L880" s="1" t="s">
        <v>24</v>
      </c>
      <c r="M880" s="1" t="s">
        <v>56</v>
      </c>
      <c r="N880" s="1">
        <v>91000</v>
      </c>
      <c r="O880" s="12">
        <v>91000</v>
      </c>
      <c r="P880" s="3" t="s">
        <v>1438</v>
      </c>
      <c r="Q880" s="1" cm="1">
        <f t="array" ref="Q880">VALUE(INDEX(_xlfn.TEXTSPLIT(P880, " "), 4))</f>
        <v>2015</v>
      </c>
      <c r="R880" s="1" t="str">
        <f t="shared" si="13"/>
        <v>Audi R8 4.2 quattro</v>
      </c>
      <c r="S880" s="1" t="str" cm="1">
        <f t="array" ref="S880">_xlfn.IFS(I880 &gt;= 40, "High", I880&gt;=20, "Medium", I880&lt;20, "Low")</f>
        <v>Medium</v>
      </c>
      <c r="T880" s="1" t="str" cm="1">
        <f t="array" ref="T880">_xlfn.IFS(O880&lt;18200, "Low", O880&lt;=50000, "Medium", O880&gt;50000, "High")</f>
        <v>High</v>
      </c>
    </row>
    <row r="881" spans="1:20" x14ac:dyDescent="0.25">
      <c r="A881" s="2">
        <v>2012</v>
      </c>
      <c r="B881" s="1" t="s">
        <v>29</v>
      </c>
      <c r="C881" s="1" t="s">
        <v>30</v>
      </c>
      <c r="D881" s="1" t="s">
        <v>1282</v>
      </c>
      <c r="E881" s="1" t="s">
        <v>32</v>
      </c>
      <c r="F881" s="1" t="s">
        <v>20</v>
      </c>
      <c r="G881" s="1" t="s">
        <v>1439</v>
      </c>
      <c r="H881" s="1" t="s">
        <v>22</v>
      </c>
      <c r="I881" s="1">
        <v>47</v>
      </c>
      <c r="J881" s="1">
        <v>44099</v>
      </c>
      <c r="K881" s="1" t="s">
        <v>23</v>
      </c>
      <c r="L881" s="1" t="s">
        <v>101</v>
      </c>
      <c r="M881" s="1" t="s">
        <v>35</v>
      </c>
      <c r="N881" s="1">
        <v>23300</v>
      </c>
      <c r="O881" s="12">
        <v>23250</v>
      </c>
      <c r="P881" s="3" t="s">
        <v>46</v>
      </c>
      <c r="Q881" s="1" cm="1">
        <f t="array" ref="Q881">VALUE(INDEX(_xlfn.TEXTSPLIT(P881, " "), 4))</f>
        <v>2014</v>
      </c>
      <c r="R881" s="1" t="str">
        <f t="shared" si="13"/>
        <v>BMW 3 Series 328i</v>
      </c>
      <c r="S881" s="1" t="str" cm="1">
        <f t="array" ref="S881">_xlfn.IFS(I881 &gt;= 40, "High", I881&gt;=20, "Medium", I881&lt;20, "Low")</f>
        <v>High</v>
      </c>
      <c r="T881" s="1" t="str" cm="1">
        <f t="array" ref="T881">_xlfn.IFS(O881&lt;18200, "Low", O881&lt;=50000, "Medium", O881&gt;50000, "High")</f>
        <v>Medium</v>
      </c>
    </row>
    <row r="882" spans="1:20" x14ac:dyDescent="0.25">
      <c r="A882" s="2">
        <v>2012</v>
      </c>
      <c r="B882" s="1" t="s">
        <v>29</v>
      </c>
      <c r="C882" s="1" t="s">
        <v>30</v>
      </c>
      <c r="D882" s="1" t="s">
        <v>1282</v>
      </c>
      <c r="E882" s="1" t="s">
        <v>107</v>
      </c>
      <c r="F882" s="1" t="s">
        <v>20</v>
      </c>
      <c r="G882" s="1" t="s">
        <v>1440</v>
      </c>
      <c r="H882" s="1" t="s">
        <v>22</v>
      </c>
      <c r="I882" s="1">
        <v>4</v>
      </c>
      <c r="J882" s="1">
        <v>36013</v>
      </c>
      <c r="K882" s="1" t="s">
        <v>24</v>
      </c>
      <c r="L882" s="1" t="s">
        <v>24</v>
      </c>
      <c r="M882" s="1" t="s">
        <v>35</v>
      </c>
      <c r="N882" s="1">
        <v>21900</v>
      </c>
      <c r="O882" s="12">
        <v>21000</v>
      </c>
      <c r="P882" s="3" t="s">
        <v>36</v>
      </c>
      <c r="Q882" s="1" cm="1">
        <f t="array" ref="Q882">VALUE(INDEX(_xlfn.TEXTSPLIT(P882, " "), 4))</f>
        <v>2015</v>
      </c>
      <c r="R882" s="1" t="str">
        <f t="shared" si="13"/>
        <v>BMW 3 Series 328i</v>
      </c>
      <c r="S882" s="1" t="str" cm="1">
        <f t="array" ref="S882">_xlfn.IFS(I882 &gt;= 40, "High", I882&gt;=20, "Medium", I882&lt;20, "Low")</f>
        <v>Low</v>
      </c>
      <c r="T882" s="1" t="str" cm="1">
        <f t="array" ref="T882">_xlfn.IFS(O882&lt;18200, "Low", O882&lt;=50000, "Medium", O882&gt;50000, "High")</f>
        <v>Medium</v>
      </c>
    </row>
    <row r="883" spans="1:20" x14ac:dyDescent="0.25">
      <c r="A883" s="2">
        <v>2012</v>
      </c>
      <c r="B883" s="1" t="s">
        <v>184</v>
      </c>
      <c r="C883" s="1" t="s">
        <v>1264</v>
      </c>
      <c r="D883" s="1" t="s">
        <v>54</v>
      </c>
      <c r="E883" s="1" t="s">
        <v>32</v>
      </c>
      <c r="F883" s="1" t="s">
        <v>20</v>
      </c>
      <c r="G883" s="1" t="s">
        <v>1441</v>
      </c>
      <c r="H883" s="1" t="s">
        <v>22</v>
      </c>
      <c r="I883" s="1">
        <v>45</v>
      </c>
      <c r="J883" s="1">
        <v>23568</v>
      </c>
      <c r="K883" s="1" t="s">
        <v>23</v>
      </c>
      <c r="L883" s="1" t="s">
        <v>34</v>
      </c>
      <c r="M883" s="1" t="s">
        <v>1266</v>
      </c>
      <c r="N883" s="1">
        <v>17450</v>
      </c>
      <c r="O883" s="12">
        <v>19100</v>
      </c>
      <c r="P883" s="3" t="s">
        <v>68</v>
      </c>
      <c r="Q883" s="1" cm="1">
        <f t="array" ref="Q883">VALUE(INDEX(_xlfn.TEXTSPLIT(P883, " "), 4))</f>
        <v>2014</v>
      </c>
      <c r="R883" s="1" t="str">
        <f t="shared" si="13"/>
        <v>Acura TSX Base</v>
      </c>
      <c r="S883" s="1" t="str" cm="1">
        <f t="array" ref="S883">_xlfn.IFS(I883 &gt;= 40, "High", I883&gt;=20, "Medium", I883&lt;20, "Low")</f>
        <v>High</v>
      </c>
      <c r="T883" s="1" t="str" cm="1">
        <f t="array" ref="T883">_xlfn.IFS(O883&lt;18200, "Low", O883&lt;=50000, "Medium", O883&gt;50000, "High")</f>
        <v>Medium</v>
      </c>
    </row>
    <row r="884" spans="1:20" x14ac:dyDescent="0.25">
      <c r="A884" s="2">
        <v>2012</v>
      </c>
      <c r="B884" s="1" t="s">
        <v>29</v>
      </c>
      <c r="C884" s="1" t="s">
        <v>30</v>
      </c>
      <c r="D884" s="1" t="s">
        <v>1282</v>
      </c>
      <c r="E884" s="1" t="s">
        <v>107</v>
      </c>
      <c r="F884" s="1" t="s">
        <v>20</v>
      </c>
      <c r="G884" s="1" t="s">
        <v>1442</v>
      </c>
      <c r="H884" s="1" t="s">
        <v>22</v>
      </c>
      <c r="I884" s="1">
        <v>44</v>
      </c>
      <c r="J884" s="1">
        <v>47581</v>
      </c>
      <c r="K884" s="1" t="s">
        <v>23</v>
      </c>
      <c r="L884" s="1" t="s">
        <v>1341</v>
      </c>
      <c r="M884" s="1" t="s">
        <v>35</v>
      </c>
      <c r="N884" s="1">
        <v>20900</v>
      </c>
      <c r="O884" s="12">
        <v>21250</v>
      </c>
      <c r="P884" s="3" t="s">
        <v>46</v>
      </c>
      <c r="Q884" s="1" cm="1">
        <f t="array" ref="Q884">VALUE(INDEX(_xlfn.TEXTSPLIT(P884, " "), 4))</f>
        <v>2014</v>
      </c>
      <c r="R884" s="1" t="str">
        <f t="shared" si="13"/>
        <v>BMW 3 Series 328i</v>
      </c>
      <c r="S884" s="1" t="str" cm="1">
        <f t="array" ref="S884">_xlfn.IFS(I884 &gt;= 40, "High", I884&gt;=20, "Medium", I884&lt;20, "Low")</f>
        <v>High</v>
      </c>
      <c r="T884" s="1" t="str" cm="1">
        <f t="array" ref="T884">_xlfn.IFS(O884&lt;18200, "Low", O884&lt;=50000, "Medium", O884&gt;50000, "High")</f>
        <v>Medium</v>
      </c>
    </row>
    <row r="885" spans="1:20" x14ac:dyDescent="0.25">
      <c r="A885" s="2">
        <v>2012</v>
      </c>
      <c r="B885" s="1" t="s">
        <v>29</v>
      </c>
      <c r="C885" s="1" t="s">
        <v>1276</v>
      </c>
      <c r="D885" s="1" t="s">
        <v>1277</v>
      </c>
      <c r="E885" s="1" t="s">
        <v>32</v>
      </c>
      <c r="F885" s="1" t="s">
        <v>20</v>
      </c>
      <c r="G885" s="1" t="s">
        <v>1443</v>
      </c>
      <c r="H885" s="1" t="s">
        <v>22</v>
      </c>
      <c r="I885" s="1">
        <v>46</v>
      </c>
      <c r="J885" s="1">
        <v>46766</v>
      </c>
      <c r="K885" s="1" t="s">
        <v>24</v>
      </c>
      <c r="L885" s="1" t="s">
        <v>24</v>
      </c>
      <c r="M885" s="1" t="s">
        <v>35</v>
      </c>
      <c r="N885" s="1">
        <v>34000</v>
      </c>
      <c r="O885" s="12">
        <v>33750</v>
      </c>
      <c r="P885" s="3" t="s">
        <v>46</v>
      </c>
      <c r="Q885" s="1" cm="1">
        <f t="array" ref="Q885">VALUE(INDEX(_xlfn.TEXTSPLIT(P885, " "), 4))</f>
        <v>2014</v>
      </c>
      <c r="R885" s="1" t="str">
        <f t="shared" si="13"/>
        <v>BMW 7 Series 740i</v>
      </c>
      <c r="S885" s="1" t="str" cm="1">
        <f t="array" ref="S885">_xlfn.IFS(I885 &gt;= 40, "High", I885&gt;=20, "Medium", I885&lt;20, "Low")</f>
        <v>High</v>
      </c>
      <c r="T885" s="1" t="str" cm="1">
        <f t="array" ref="T885">_xlfn.IFS(O885&lt;18200, "Low", O885&lt;=50000, "Medium", O885&gt;50000, "High")</f>
        <v>Medium</v>
      </c>
    </row>
    <row r="886" spans="1:20" x14ac:dyDescent="0.25">
      <c r="A886" s="2">
        <v>2012</v>
      </c>
      <c r="B886" s="1" t="s">
        <v>1259</v>
      </c>
      <c r="C886" s="1" t="s">
        <v>1303</v>
      </c>
      <c r="D886" s="1" t="s">
        <v>1303</v>
      </c>
      <c r="E886" s="1"/>
      <c r="F886" s="1" t="s">
        <v>20</v>
      </c>
      <c r="G886" s="1" t="s">
        <v>1444</v>
      </c>
      <c r="H886" s="1" t="s">
        <v>22</v>
      </c>
      <c r="I886" s="1">
        <v>39</v>
      </c>
      <c r="J886" s="1">
        <v>29564</v>
      </c>
      <c r="K886" s="1" t="s">
        <v>23</v>
      </c>
      <c r="L886" s="1" t="s">
        <v>24</v>
      </c>
      <c r="M886" s="1" t="s">
        <v>35</v>
      </c>
      <c r="N886" s="1">
        <v>45600</v>
      </c>
      <c r="O886" s="12">
        <v>47000</v>
      </c>
      <c r="P886" s="3" t="s">
        <v>46</v>
      </c>
      <c r="Q886" s="1" cm="1">
        <f t="array" ref="Q886">VALUE(INDEX(_xlfn.TEXTSPLIT(P886, " "), 4))</f>
        <v>2014</v>
      </c>
      <c r="R886" s="1" t="str">
        <f t="shared" si="13"/>
        <v>bmw 750li 750li</v>
      </c>
      <c r="S886" s="1" t="str" cm="1">
        <f t="array" ref="S886">_xlfn.IFS(I886 &gt;= 40, "High", I886&gt;=20, "Medium", I886&lt;20, "Low")</f>
        <v>Medium</v>
      </c>
      <c r="T886" s="1" t="str" cm="1">
        <f t="array" ref="T886">_xlfn.IFS(O886&lt;18200, "Low", O886&lt;=50000, "Medium", O886&gt;50000, "High")</f>
        <v>Medium</v>
      </c>
    </row>
    <row r="887" spans="1:20" x14ac:dyDescent="0.25">
      <c r="A887" s="2">
        <v>2012</v>
      </c>
      <c r="B887" s="1" t="s">
        <v>29</v>
      </c>
      <c r="C887" s="1" t="s">
        <v>117</v>
      </c>
      <c r="D887" s="1" t="s">
        <v>118</v>
      </c>
      <c r="E887" s="1" t="s">
        <v>32</v>
      </c>
      <c r="F887" s="1" t="s">
        <v>20</v>
      </c>
      <c r="G887" s="1" t="s">
        <v>1445</v>
      </c>
      <c r="H887" s="1" t="s">
        <v>22</v>
      </c>
      <c r="I887" s="1">
        <v>42</v>
      </c>
      <c r="J887" s="1">
        <v>50727</v>
      </c>
      <c r="K887" s="1" t="s">
        <v>23</v>
      </c>
      <c r="L887" s="1" t="s">
        <v>24</v>
      </c>
      <c r="M887" s="1" t="s">
        <v>625</v>
      </c>
      <c r="N887" s="1">
        <v>28400</v>
      </c>
      <c r="O887" s="12">
        <v>26750</v>
      </c>
      <c r="P887" s="3" t="s">
        <v>68</v>
      </c>
      <c r="Q887" s="1" cm="1">
        <f t="array" ref="Q887">VALUE(INDEX(_xlfn.TEXTSPLIT(P887, " "), 4))</f>
        <v>2014</v>
      </c>
      <c r="R887" s="1" t="str">
        <f t="shared" si="13"/>
        <v>BMW 5 Series 528i</v>
      </c>
      <c r="S887" s="1" t="str" cm="1">
        <f t="array" ref="S887">_xlfn.IFS(I887 &gt;= 40, "High", I887&gt;=20, "Medium", I887&lt;20, "Low")</f>
        <v>High</v>
      </c>
      <c r="T887" s="1" t="str" cm="1">
        <f t="array" ref="T887">_xlfn.IFS(O887&lt;18200, "Low", O887&lt;=50000, "Medium", O887&gt;50000, "High")</f>
        <v>Medium</v>
      </c>
    </row>
    <row r="888" spans="1:20" x14ac:dyDescent="0.25">
      <c r="A888" s="2">
        <v>2012</v>
      </c>
      <c r="B888" s="1" t="s">
        <v>63</v>
      </c>
      <c r="C888" s="1" t="s">
        <v>76</v>
      </c>
      <c r="D888" s="1" t="s">
        <v>1269</v>
      </c>
      <c r="E888" s="1" t="s">
        <v>32</v>
      </c>
      <c r="F888" s="1" t="s">
        <v>20</v>
      </c>
      <c r="G888" s="1" t="s">
        <v>1446</v>
      </c>
      <c r="H888" s="1" t="s">
        <v>22</v>
      </c>
      <c r="I888" s="1">
        <v>42</v>
      </c>
      <c r="J888" s="1">
        <v>44002</v>
      </c>
      <c r="K888" s="1" t="s">
        <v>24</v>
      </c>
      <c r="L888" s="1" t="s">
        <v>24</v>
      </c>
      <c r="M888" s="1" t="s">
        <v>855</v>
      </c>
      <c r="N888" s="1">
        <v>28400</v>
      </c>
      <c r="O888" s="12">
        <v>30000</v>
      </c>
      <c r="P888" s="3" t="s">
        <v>126</v>
      </c>
      <c r="Q888" s="1" cm="1">
        <f t="array" ref="Q888">VALUE(INDEX(_xlfn.TEXTSPLIT(P888, " "), 4))</f>
        <v>2015</v>
      </c>
      <c r="R888" s="1" t="str">
        <f t="shared" si="13"/>
        <v>Audi A6 3.0T Premium quattro</v>
      </c>
      <c r="S888" s="1" t="str" cm="1">
        <f t="array" ref="S888">_xlfn.IFS(I888 &gt;= 40, "High", I888&gt;=20, "Medium", I888&lt;20, "Low")</f>
        <v>High</v>
      </c>
      <c r="T888" s="1" t="str" cm="1">
        <f t="array" ref="T888">_xlfn.IFS(O888&lt;18200, "Low", O888&lt;=50000, "Medium", O888&gt;50000, "High")</f>
        <v>Medium</v>
      </c>
    </row>
    <row r="889" spans="1:20" x14ac:dyDescent="0.25">
      <c r="A889" s="2">
        <v>2012</v>
      </c>
      <c r="B889" s="1" t="s">
        <v>29</v>
      </c>
      <c r="C889" s="1" t="s">
        <v>30</v>
      </c>
      <c r="D889" s="1" t="s">
        <v>1282</v>
      </c>
      <c r="E889" s="1" t="s">
        <v>32</v>
      </c>
      <c r="F889" s="1" t="s">
        <v>20</v>
      </c>
      <c r="G889" s="1" t="s">
        <v>1447</v>
      </c>
      <c r="H889" s="1" t="s">
        <v>22</v>
      </c>
      <c r="I889" s="1">
        <v>28</v>
      </c>
      <c r="J889" s="1">
        <v>54355</v>
      </c>
      <c r="K889" s="1" t="s">
        <v>34</v>
      </c>
      <c r="L889" s="1" t="s">
        <v>24</v>
      </c>
      <c r="M889" s="1" t="s">
        <v>1297</v>
      </c>
      <c r="N889" s="1">
        <v>22000</v>
      </c>
      <c r="O889" s="12">
        <v>22000</v>
      </c>
      <c r="P889" s="3" t="s">
        <v>251</v>
      </c>
      <c r="Q889" s="1" cm="1">
        <f t="array" ref="Q889">VALUE(INDEX(_xlfn.TEXTSPLIT(P889, " "), 4))</f>
        <v>2014</v>
      </c>
      <c r="R889" s="1" t="str">
        <f t="shared" si="13"/>
        <v>BMW 3 Series 328i</v>
      </c>
      <c r="S889" s="1" t="str" cm="1">
        <f t="array" ref="S889">_xlfn.IFS(I889 &gt;= 40, "High", I889&gt;=20, "Medium", I889&lt;20, "Low")</f>
        <v>Medium</v>
      </c>
      <c r="T889" s="1" t="str" cm="1">
        <f t="array" ref="T889">_xlfn.IFS(O889&lt;18200, "Low", O889&lt;=50000, "Medium", O889&gt;50000, "High")</f>
        <v>Medium</v>
      </c>
    </row>
    <row r="890" spans="1:20" x14ac:dyDescent="0.25">
      <c r="A890" s="2">
        <v>2012</v>
      </c>
      <c r="B890" s="1" t="s">
        <v>29</v>
      </c>
      <c r="C890" s="1" t="s">
        <v>111</v>
      </c>
      <c r="D890" s="1" t="s">
        <v>44</v>
      </c>
      <c r="E890" s="1" t="s">
        <v>71</v>
      </c>
      <c r="F890" s="1" t="s">
        <v>20</v>
      </c>
      <c r="G890" s="1" t="s">
        <v>1448</v>
      </c>
      <c r="H890" s="1" t="s">
        <v>22</v>
      </c>
      <c r="I890" s="1">
        <v>34</v>
      </c>
      <c r="J890" s="1">
        <v>44067</v>
      </c>
      <c r="K890" s="1" t="s">
        <v>24</v>
      </c>
      <c r="L890" s="1" t="s">
        <v>101</v>
      </c>
      <c r="M890" s="1" t="s">
        <v>35</v>
      </c>
      <c r="N890" s="1">
        <v>43000</v>
      </c>
      <c r="O890" s="12">
        <v>42250</v>
      </c>
      <c r="P890" s="3" t="s">
        <v>42</v>
      </c>
      <c r="Q890" s="1" cm="1">
        <f t="array" ref="Q890">VALUE(INDEX(_xlfn.TEXTSPLIT(P890, " "), 4))</f>
        <v>2015</v>
      </c>
      <c r="R890" s="1" t="str">
        <f t="shared" si="13"/>
        <v>BMW 6 Series 650i</v>
      </c>
      <c r="S890" s="1" t="str" cm="1">
        <f t="array" ref="S890">_xlfn.IFS(I890 &gt;= 40, "High", I890&gt;=20, "Medium", I890&lt;20, "Low")</f>
        <v>Medium</v>
      </c>
      <c r="T890" s="1" t="str" cm="1">
        <f t="array" ref="T890">_xlfn.IFS(O890&lt;18200, "Low", O890&lt;=50000, "Medium", O890&gt;50000, "High")</f>
        <v>Medium</v>
      </c>
    </row>
    <row r="891" spans="1:20" x14ac:dyDescent="0.25">
      <c r="A891" s="2">
        <v>2012</v>
      </c>
      <c r="B891" s="1" t="s">
        <v>1259</v>
      </c>
      <c r="C891" s="1" t="s">
        <v>1303</v>
      </c>
      <c r="D891" s="1" t="s">
        <v>1303</v>
      </c>
      <c r="E891" s="1"/>
      <c r="F891" s="1" t="s">
        <v>20</v>
      </c>
      <c r="G891" s="1" t="s">
        <v>1449</v>
      </c>
      <c r="H891" s="1" t="s">
        <v>22</v>
      </c>
      <c r="I891" s="1">
        <v>47</v>
      </c>
      <c r="J891" s="1">
        <v>32267</v>
      </c>
      <c r="K891" s="1" t="s">
        <v>94</v>
      </c>
      <c r="L891" s="1" t="s">
        <v>34</v>
      </c>
      <c r="M891" s="1" t="s">
        <v>35</v>
      </c>
      <c r="N891" s="1">
        <v>45700</v>
      </c>
      <c r="O891" s="12">
        <v>45000</v>
      </c>
      <c r="P891" s="3" t="s">
        <v>1450</v>
      </c>
      <c r="Q891" s="1" cm="1">
        <f t="array" ref="Q891">VALUE(INDEX(_xlfn.TEXTSPLIT(P891, " "), 4))</f>
        <v>2015</v>
      </c>
      <c r="R891" s="1" t="str">
        <f t="shared" si="13"/>
        <v>bmw 750li 750li</v>
      </c>
      <c r="S891" s="1" t="str" cm="1">
        <f t="array" ref="S891">_xlfn.IFS(I891 &gt;= 40, "High", I891&gt;=20, "Medium", I891&lt;20, "Low")</f>
        <v>High</v>
      </c>
      <c r="T891" s="1" t="str" cm="1">
        <f t="array" ref="T891">_xlfn.IFS(O891&lt;18200, "Low", O891&lt;=50000, "Medium", O891&gt;50000, "High")</f>
        <v>Medium</v>
      </c>
    </row>
    <row r="892" spans="1:20" x14ac:dyDescent="0.25">
      <c r="A892" s="2">
        <v>2012</v>
      </c>
      <c r="B892" s="1" t="s">
        <v>1259</v>
      </c>
      <c r="C892" s="1" t="s">
        <v>1303</v>
      </c>
      <c r="D892" s="1" t="s">
        <v>1303</v>
      </c>
      <c r="E892" s="1"/>
      <c r="F892" s="1" t="s">
        <v>20</v>
      </c>
      <c r="G892" s="1" t="s">
        <v>1451</v>
      </c>
      <c r="H892" s="1" t="s">
        <v>22</v>
      </c>
      <c r="I892" s="1">
        <v>41</v>
      </c>
      <c r="J892" s="1">
        <v>53746</v>
      </c>
      <c r="K892" s="1" t="s">
        <v>24</v>
      </c>
      <c r="L892" s="1" t="s">
        <v>24</v>
      </c>
      <c r="M892" s="1" t="s">
        <v>35</v>
      </c>
      <c r="N892" s="1">
        <v>38800</v>
      </c>
      <c r="O892" s="12">
        <v>39500</v>
      </c>
      <c r="P892" s="3" t="s">
        <v>46</v>
      </c>
      <c r="Q892" s="1" cm="1">
        <f t="array" ref="Q892">VALUE(INDEX(_xlfn.TEXTSPLIT(P892, " "), 4))</f>
        <v>2014</v>
      </c>
      <c r="R892" s="1" t="str">
        <f t="shared" si="13"/>
        <v>bmw 750li 750li</v>
      </c>
      <c r="S892" s="1" t="str" cm="1">
        <f t="array" ref="S892">_xlfn.IFS(I892 &gt;= 40, "High", I892&gt;=20, "Medium", I892&lt;20, "Low")</f>
        <v>High</v>
      </c>
      <c r="T892" s="1" t="str" cm="1">
        <f t="array" ref="T892">_xlfn.IFS(O892&lt;18200, "Low", O892&lt;=50000, "Medium", O892&gt;50000, "High")</f>
        <v>Medium</v>
      </c>
    </row>
    <row r="893" spans="1:20" x14ac:dyDescent="0.25">
      <c r="A893" s="2">
        <v>2012</v>
      </c>
      <c r="B893" s="1" t="s">
        <v>29</v>
      </c>
      <c r="C893" s="1" t="s">
        <v>30</v>
      </c>
      <c r="D893" s="1" t="s">
        <v>1282</v>
      </c>
      <c r="E893" s="1" t="s">
        <v>71</v>
      </c>
      <c r="F893" s="1" t="s">
        <v>20</v>
      </c>
      <c r="G893" s="1" t="s">
        <v>1452</v>
      </c>
      <c r="H893" s="1" t="s">
        <v>22</v>
      </c>
      <c r="I893" s="1">
        <v>43</v>
      </c>
      <c r="J893" s="1">
        <v>26425</v>
      </c>
      <c r="K893" s="1" t="s">
        <v>94</v>
      </c>
      <c r="L893" s="1" t="s">
        <v>132</v>
      </c>
      <c r="M893" s="1" t="s">
        <v>35</v>
      </c>
      <c r="N893" s="1">
        <v>29000</v>
      </c>
      <c r="O893" s="12">
        <v>29000</v>
      </c>
      <c r="P893" s="3" t="s">
        <v>46</v>
      </c>
      <c r="Q893" s="1" cm="1">
        <f t="array" ref="Q893">VALUE(INDEX(_xlfn.TEXTSPLIT(P893, " "), 4))</f>
        <v>2014</v>
      </c>
      <c r="R893" s="1" t="str">
        <f t="shared" si="13"/>
        <v>BMW 3 Series 328i</v>
      </c>
      <c r="S893" s="1" t="str" cm="1">
        <f t="array" ref="S893">_xlfn.IFS(I893 &gt;= 40, "High", I893&gt;=20, "Medium", I893&lt;20, "Low")</f>
        <v>High</v>
      </c>
      <c r="T893" s="1" t="str" cm="1">
        <f t="array" ref="T893">_xlfn.IFS(O893&lt;18200, "Low", O893&lt;=50000, "Medium", O893&gt;50000, "High")</f>
        <v>Medium</v>
      </c>
    </row>
    <row r="894" spans="1:20" x14ac:dyDescent="0.25">
      <c r="A894" s="2">
        <v>2012</v>
      </c>
      <c r="B894" s="1" t="s">
        <v>184</v>
      </c>
      <c r="C894" s="1" t="s">
        <v>275</v>
      </c>
      <c r="D894" s="1" t="s">
        <v>186</v>
      </c>
      <c r="E894" s="1" t="s">
        <v>19</v>
      </c>
      <c r="F894" s="1" t="s">
        <v>20</v>
      </c>
      <c r="G894" s="1" t="s">
        <v>1453</v>
      </c>
      <c r="H894" s="1" t="s">
        <v>22</v>
      </c>
      <c r="I894" s="1">
        <v>47</v>
      </c>
      <c r="J894" s="1">
        <v>36533</v>
      </c>
      <c r="K894" s="1" t="s">
        <v>132</v>
      </c>
      <c r="L894" s="1" t="s">
        <v>28</v>
      </c>
      <c r="M894" s="1" t="s">
        <v>79</v>
      </c>
      <c r="N894" s="1">
        <v>29300</v>
      </c>
      <c r="O894" s="12">
        <v>30750</v>
      </c>
      <c r="P894" s="3" t="s">
        <v>26</v>
      </c>
      <c r="Q894" s="1" cm="1">
        <f t="array" ref="Q894">VALUE(INDEX(_xlfn.TEXTSPLIT(P894, " "), 4))</f>
        <v>2014</v>
      </c>
      <c r="R894" s="1" t="str">
        <f t="shared" si="13"/>
        <v>Acura MDX Technology Package</v>
      </c>
      <c r="S894" s="1" t="str" cm="1">
        <f t="array" ref="S894">_xlfn.IFS(I894 &gt;= 40, "High", I894&gt;=20, "Medium", I894&lt;20, "Low")</f>
        <v>High</v>
      </c>
      <c r="T894" s="1" t="str" cm="1">
        <f t="array" ref="T894">_xlfn.IFS(O894&lt;18200, "Low", O894&lt;=50000, "Medium", O894&gt;50000, "High")</f>
        <v>Medium</v>
      </c>
    </row>
    <row r="895" spans="1:20" x14ac:dyDescent="0.25">
      <c r="A895" s="2">
        <v>2012</v>
      </c>
      <c r="B895" s="1"/>
      <c r="C895" s="1"/>
      <c r="D895" s="1"/>
      <c r="E895" s="1"/>
      <c r="F895" s="1" t="s">
        <v>20</v>
      </c>
      <c r="G895" s="1" t="s">
        <v>1454</v>
      </c>
      <c r="H895" s="1" t="s">
        <v>22</v>
      </c>
      <c r="I895" s="1">
        <v>24</v>
      </c>
      <c r="J895" s="1">
        <v>27709</v>
      </c>
      <c r="K895" s="1" t="s">
        <v>101</v>
      </c>
      <c r="L895" s="1" t="s">
        <v>24</v>
      </c>
      <c r="M895" s="1" t="s">
        <v>1455</v>
      </c>
      <c r="N895" s="1">
        <v>41800</v>
      </c>
      <c r="O895" s="12">
        <v>33750</v>
      </c>
      <c r="P895" s="3" t="s">
        <v>135</v>
      </c>
      <c r="Q895" s="1" cm="1">
        <f t="array" ref="Q895">VALUE(INDEX(_xlfn.TEXTSPLIT(P895, " "), 4))</f>
        <v>2015</v>
      </c>
      <c r="R895" s="1" t="str">
        <f t="shared" si="13"/>
        <v/>
      </c>
      <c r="S895" s="1" t="str" cm="1">
        <f t="array" ref="S895">_xlfn.IFS(I895 &gt;= 40, "High", I895&gt;=20, "Medium", I895&lt;20, "Low")</f>
        <v>Medium</v>
      </c>
      <c r="T895" s="1" t="str" cm="1">
        <f t="array" ref="T895">_xlfn.IFS(O895&lt;18200, "Low", O895&lt;=50000, "Medium", O895&gt;50000, "High")</f>
        <v>Medium</v>
      </c>
    </row>
    <row r="896" spans="1:20" x14ac:dyDescent="0.25">
      <c r="A896" s="2">
        <v>2012</v>
      </c>
      <c r="B896" s="1" t="s">
        <v>29</v>
      </c>
      <c r="C896" s="1" t="s">
        <v>1456</v>
      </c>
      <c r="D896" s="1" t="s">
        <v>1457</v>
      </c>
      <c r="E896" s="1" t="s">
        <v>19</v>
      </c>
      <c r="F896" s="1" t="s">
        <v>20</v>
      </c>
      <c r="G896" s="1" t="s">
        <v>1458</v>
      </c>
      <c r="H896" s="1" t="s">
        <v>22</v>
      </c>
      <c r="I896" s="1">
        <v>37</v>
      </c>
      <c r="J896" s="1">
        <v>37120</v>
      </c>
      <c r="K896" s="1" t="s">
        <v>24</v>
      </c>
      <c r="L896" s="1" t="s">
        <v>73</v>
      </c>
      <c r="M896" s="1" t="s">
        <v>1143</v>
      </c>
      <c r="N896" s="1">
        <v>27700</v>
      </c>
      <c r="O896" s="12">
        <v>27500</v>
      </c>
      <c r="P896" s="3" t="s">
        <v>46</v>
      </c>
      <c r="Q896" s="1" cm="1">
        <f t="array" ref="Q896">VALUE(INDEX(_xlfn.TEXTSPLIT(P896, " "), 4))</f>
        <v>2014</v>
      </c>
      <c r="R896" s="1" t="str">
        <f t="shared" si="13"/>
        <v>BMW X3 xDrive28i</v>
      </c>
      <c r="S896" s="1" t="str" cm="1">
        <f t="array" ref="S896">_xlfn.IFS(I896 &gt;= 40, "High", I896&gt;=20, "Medium", I896&lt;20, "Low")</f>
        <v>Medium</v>
      </c>
      <c r="T896" s="1" t="str" cm="1">
        <f t="array" ref="T896">_xlfn.IFS(O896&lt;18200, "Low", O896&lt;=50000, "Medium", O896&gt;50000, "High")</f>
        <v>Medium</v>
      </c>
    </row>
    <row r="897" spans="1:20" x14ac:dyDescent="0.25">
      <c r="A897" s="2">
        <v>2012</v>
      </c>
      <c r="B897" s="1" t="s">
        <v>29</v>
      </c>
      <c r="C897" s="1" t="s">
        <v>111</v>
      </c>
      <c r="D897" s="1" t="s">
        <v>44</v>
      </c>
      <c r="E897" s="1" t="s">
        <v>71</v>
      </c>
      <c r="F897" s="1" t="s">
        <v>20</v>
      </c>
      <c r="G897" s="1" t="s">
        <v>1459</v>
      </c>
      <c r="H897" s="1" t="s">
        <v>22</v>
      </c>
      <c r="I897" s="1">
        <v>37</v>
      </c>
      <c r="J897" s="1">
        <v>23496</v>
      </c>
      <c r="K897" s="1" t="s">
        <v>23</v>
      </c>
      <c r="L897" s="1" t="s">
        <v>24</v>
      </c>
      <c r="M897" s="1" t="s">
        <v>35</v>
      </c>
      <c r="N897" s="1">
        <v>49800</v>
      </c>
      <c r="O897" s="12">
        <v>51250</v>
      </c>
      <c r="P897" s="3" t="s">
        <v>46</v>
      </c>
      <c r="Q897" s="1" cm="1">
        <f t="array" ref="Q897">VALUE(INDEX(_xlfn.TEXTSPLIT(P897, " "), 4))</f>
        <v>2014</v>
      </c>
      <c r="R897" s="1" t="str">
        <f t="shared" si="13"/>
        <v>BMW 6 Series 650i</v>
      </c>
      <c r="S897" s="1" t="str" cm="1">
        <f t="array" ref="S897">_xlfn.IFS(I897 &gt;= 40, "High", I897&gt;=20, "Medium", I897&lt;20, "Low")</f>
        <v>Medium</v>
      </c>
      <c r="T897" s="1" t="str" cm="1">
        <f t="array" ref="T897">_xlfn.IFS(O897&lt;18200, "Low", O897&lt;=50000, "Medium", O897&gt;50000, "High")</f>
        <v>High</v>
      </c>
    </row>
    <row r="898" spans="1:20" x14ac:dyDescent="0.25">
      <c r="A898" s="2">
        <v>2012</v>
      </c>
      <c r="B898" s="1" t="s">
        <v>184</v>
      </c>
      <c r="C898" s="1" t="s">
        <v>1264</v>
      </c>
      <c r="D898" s="1" t="s">
        <v>54</v>
      </c>
      <c r="E898" s="1" t="s">
        <v>32</v>
      </c>
      <c r="F898" s="1" t="s">
        <v>20</v>
      </c>
      <c r="G898" s="1" t="s">
        <v>1460</v>
      </c>
      <c r="H898" s="1" t="s">
        <v>22</v>
      </c>
      <c r="I898" s="1">
        <v>27</v>
      </c>
      <c r="J898" s="1">
        <v>33771</v>
      </c>
      <c r="K898" s="1" t="s">
        <v>24</v>
      </c>
      <c r="L898" s="1" t="s">
        <v>28</v>
      </c>
      <c r="M898" s="1" t="s">
        <v>1266</v>
      </c>
      <c r="N898" s="1">
        <v>16900</v>
      </c>
      <c r="O898" s="12">
        <v>16200</v>
      </c>
      <c r="P898" s="3" t="s">
        <v>68</v>
      </c>
      <c r="Q898" s="1" cm="1">
        <f t="array" ref="Q898">VALUE(INDEX(_xlfn.TEXTSPLIT(P898, " "), 4))</f>
        <v>2014</v>
      </c>
      <c r="R898" s="1" t="str">
        <f t="shared" si="13"/>
        <v>Acura TSX Base</v>
      </c>
      <c r="S898" s="1" t="str" cm="1">
        <f t="array" ref="S898">_xlfn.IFS(I898 &gt;= 40, "High", I898&gt;=20, "Medium", I898&lt;20, "Low")</f>
        <v>Medium</v>
      </c>
      <c r="T898" s="1" t="str" cm="1">
        <f t="array" ref="T898">_xlfn.IFS(O898&lt;18200, "Low", O898&lt;=50000, "Medium", O898&gt;50000, "High")</f>
        <v>Low</v>
      </c>
    </row>
    <row r="899" spans="1:20" x14ac:dyDescent="0.25">
      <c r="A899" s="2">
        <v>2012</v>
      </c>
      <c r="B899" s="1" t="s">
        <v>29</v>
      </c>
      <c r="C899" s="1" t="s">
        <v>117</v>
      </c>
      <c r="D899" s="1" t="s">
        <v>118</v>
      </c>
      <c r="E899" s="1" t="s">
        <v>32</v>
      </c>
      <c r="F899" s="1" t="s">
        <v>20</v>
      </c>
      <c r="G899" s="1" t="s">
        <v>1461</v>
      </c>
      <c r="H899" s="1" t="s">
        <v>22</v>
      </c>
      <c r="I899" s="1">
        <v>44</v>
      </c>
      <c r="J899" s="1">
        <v>43260</v>
      </c>
      <c r="K899" s="1" t="s">
        <v>24</v>
      </c>
      <c r="L899" s="1" t="s">
        <v>24</v>
      </c>
      <c r="M899" s="1" t="s">
        <v>625</v>
      </c>
      <c r="N899" s="1">
        <v>29900</v>
      </c>
      <c r="O899" s="12">
        <v>27750</v>
      </c>
      <c r="P899" s="3" t="s">
        <v>68</v>
      </c>
      <c r="Q899" s="1" cm="1">
        <f t="array" ref="Q899">VALUE(INDEX(_xlfn.TEXTSPLIT(P899, " "), 4))</f>
        <v>2014</v>
      </c>
      <c r="R899" s="1" t="str">
        <f t="shared" ref="R899:R962" si="14">_xlfn.TEXTJOIN(" ", TRUE, B899, C899, D899)</f>
        <v>BMW 5 Series 528i</v>
      </c>
      <c r="S899" s="1" t="str" cm="1">
        <f t="array" ref="S899">_xlfn.IFS(I899 &gt;= 40, "High", I899&gt;=20, "Medium", I899&lt;20, "Low")</f>
        <v>High</v>
      </c>
      <c r="T899" s="1" t="str" cm="1">
        <f t="array" ref="T899">_xlfn.IFS(O899&lt;18200, "Low", O899&lt;=50000, "Medium", O899&gt;50000, "High")</f>
        <v>Medium</v>
      </c>
    </row>
    <row r="900" spans="1:20" x14ac:dyDescent="0.25">
      <c r="A900" s="2">
        <v>2012</v>
      </c>
      <c r="B900" s="1" t="s">
        <v>29</v>
      </c>
      <c r="C900" s="1" t="s">
        <v>1276</v>
      </c>
      <c r="D900" s="1" t="s">
        <v>1301</v>
      </c>
      <c r="E900" s="1" t="s">
        <v>32</v>
      </c>
      <c r="F900" s="1" t="s">
        <v>20</v>
      </c>
      <c r="G900" s="1" t="s">
        <v>1462</v>
      </c>
      <c r="H900" s="1" t="s">
        <v>22</v>
      </c>
      <c r="I900" s="1">
        <v>38</v>
      </c>
      <c r="J900" s="1">
        <v>38006</v>
      </c>
      <c r="K900" s="1" t="s">
        <v>34</v>
      </c>
      <c r="L900" s="1" t="s">
        <v>24</v>
      </c>
      <c r="M900" s="1" t="s">
        <v>35</v>
      </c>
      <c r="N900" s="1">
        <v>38700</v>
      </c>
      <c r="O900" s="12">
        <v>37500</v>
      </c>
      <c r="P900" s="3" t="s">
        <v>46</v>
      </c>
      <c r="Q900" s="1" cm="1">
        <f t="array" ref="Q900">VALUE(INDEX(_xlfn.TEXTSPLIT(P900, " "), 4))</f>
        <v>2014</v>
      </c>
      <c r="R900" s="1" t="str">
        <f t="shared" si="14"/>
        <v>BMW 7 Series 740Li</v>
      </c>
      <c r="S900" s="1" t="str" cm="1">
        <f t="array" ref="S900">_xlfn.IFS(I900 &gt;= 40, "High", I900&gt;=20, "Medium", I900&lt;20, "Low")</f>
        <v>Medium</v>
      </c>
      <c r="T900" s="1" t="str" cm="1">
        <f t="array" ref="T900">_xlfn.IFS(O900&lt;18200, "Low", O900&lt;=50000, "Medium", O900&gt;50000, "High")</f>
        <v>Medium</v>
      </c>
    </row>
    <row r="901" spans="1:20" x14ac:dyDescent="0.25">
      <c r="A901" s="2">
        <v>2012</v>
      </c>
      <c r="B901" s="1" t="s">
        <v>681</v>
      </c>
      <c r="C901" s="1" t="s">
        <v>682</v>
      </c>
      <c r="D901" s="1" t="s">
        <v>54</v>
      </c>
      <c r="E901" s="1" t="s">
        <v>227</v>
      </c>
      <c r="F901" s="1" t="s">
        <v>20</v>
      </c>
      <c r="G901" s="1" t="s">
        <v>1463</v>
      </c>
      <c r="H901" s="1" t="s">
        <v>22</v>
      </c>
      <c r="I901" s="1">
        <v>38</v>
      </c>
      <c r="J901" s="1">
        <v>21924</v>
      </c>
      <c r="K901" s="1" t="s">
        <v>73</v>
      </c>
      <c r="L901" s="1" t="s">
        <v>24</v>
      </c>
      <c r="M901" s="1" t="s">
        <v>625</v>
      </c>
      <c r="N901" s="1">
        <v>14250</v>
      </c>
      <c r="O901" s="12">
        <v>12600</v>
      </c>
      <c r="P901" s="3" t="s">
        <v>362</v>
      </c>
      <c r="Q901" s="1" cm="1">
        <f t="array" ref="Q901">VALUE(INDEX(_xlfn.TEXTSPLIT(P901, " "), 4))</f>
        <v>2014</v>
      </c>
      <c r="R901" s="1" t="str">
        <f t="shared" si="14"/>
        <v>MINI Cooper Clubman Base</v>
      </c>
      <c r="S901" s="1" t="str" cm="1">
        <f t="array" ref="S901">_xlfn.IFS(I901 &gt;= 40, "High", I901&gt;=20, "Medium", I901&lt;20, "Low")</f>
        <v>Medium</v>
      </c>
      <c r="T901" s="1" t="str" cm="1">
        <f t="array" ref="T901">_xlfn.IFS(O901&lt;18200, "Low", O901&lt;=50000, "Medium", O901&gt;50000, "High")</f>
        <v>Low</v>
      </c>
    </row>
    <row r="902" spans="1:20" x14ac:dyDescent="0.25">
      <c r="A902" s="2">
        <v>2012</v>
      </c>
      <c r="B902" s="1" t="s">
        <v>29</v>
      </c>
      <c r="C902" s="1" t="s">
        <v>30</v>
      </c>
      <c r="D902" s="1" t="s">
        <v>1282</v>
      </c>
      <c r="E902" s="1" t="s">
        <v>32</v>
      </c>
      <c r="F902" s="1" t="s">
        <v>20</v>
      </c>
      <c r="G902" s="1" t="s">
        <v>1464</v>
      </c>
      <c r="H902" s="1" t="s">
        <v>22</v>
      </c>
      <c r="I902" s="1"/>
      <c r="J902" s="1">
        <v>57117</v>
      </c>
      <c r="K902" s="1" t="s">
        <v>34</v>
      </c>
      <c r="L902" s="1" t="s">
        <v>101</v>
      </c>
      <c r="M902" s="1" t="s">
        <v>1465</v>
      </c>
      <c r="N902" s="1">
        <v>22400</v>
      </c>
      <c r="O902" s="12">
        <v>17500</v>
      </c>
      <c r="P902" s="3" t="s">
        <v>1466</v>
      </c>
      <c r="Q902" s="1" cm="1">
        <f t="array" ref="Q902">VALUE(INDEX(_xlfn.TEXTSPLIT(P902, " "), 4))</f>
        <v>2014</v>
      </c>
      <c r="R902" s="1" t="str">
        <f t="shared" si="14"/>
        <v>BMW 3 Series 328i</v>
      </c>
      <c r="S902" s="1" t="str" cm="1">
        <f t="array" ref="S902">_xlfn.IFS(I902 &gt;= 40, "High", I902&gt;=20, "Medium", I902&lt;20, "Low")</f>
        <v>Low</v>
      </c>
      <c r="T902" s="1" t="str" cm="1">
        <f t="array" ref="T902">_xlfn.IFS(O902&lt;18200, "Low", O902&lt;=50000, "Medium", O902&gt;50000, "High")</f>
        <v>Low</v>
      </c>
    </row>
    <row r="903" spans="1:20" x14ac:dyDescent="0.25">
      <c r="A903" s="2">
        <v>2012</v>
      </c>
      <c r="B903" s="1" t="s">
        <v>29</v>
      </c>
      <c r="C903" s="1" t="s">
        <v>111</v>
      </c>
      <c r="D903" s="1" t="s">
        <v>44</v>
      </c>
      <c r="E903" s="1" t="s">
        <v>71</v>
      </c>
      <c r="F903" s="1" t="s">
        <v>20</v>
      </c>
      <c r="G903" s="1" t="s">
        <v>1467</v>
      </c>
      <c r="H903" s="1" t="s">
        <v>22</v>
      </c>
      <c r="I903" s="1">
        <v>43</v>
      </c>
      <c r="J903" s="1">
        <v>30156</v>
      </c>
      <c r="K903" s="1" t="s">
        <v>23</v>
      </c>
      <c r="L903" s="1" t="s">
        <v>101</v>
      </c>
      <c r="M903" s="1" t="s">
        <v>35</v>
      </c>
      <c r="N903" s="1">
        <v>48200</v>
      </c>
      <c r="O903" s="12">
        <v>48500</v>
      </c>
      <c r="P903" s="3" t="s">
        <v>46</v>
      </c>
      <c r="Q903" s="1" cm="1">
        <f t="array" ref="Q903">VALUE(INDEX(_xlfn.TEXTSPLIT(P903, " "), 4))</f>
        <v>2014</v>
      </c>
      <c r="R903" s="1" t="str">
        <f t="shared" si="14"/>
        <v>BMW 6 Series 650i</v>
      </c>
      <c r="S903" s="1" t="str" cm="1">
        <f t="array" ref="S903">_xlfn.IFS(I903 &gt;= 40, "High", I903&gt;=20, "Medium", I903&lt;20, "Low")</f>
        <v>High</v>
      </c>
      <c r="T903" s="1" t="str" cm="1">
        <f t="array" ref="T903">_xlfn.IFS(O903&lt;18200, "Low", O903&lt;=50000, "Medium", O903&gt;50000, "High")</f>
        <v>Medium</v>
      </c>
    </row>
    <row r="904" spans="1:20" x14ac:dyDescent="0.25">
      <c r="A904" s="2">
        <v>2012</v>
      </c>
      <c r="B904" s="1" t="s">
        <v>1259</v>
      </c>
      <c r="C904" s="1" t="s">
        <v>1303</v>
      </c>
      <c r="D904" s="1" t="s">
        <v>1303</v>
      </c>
      <c r="E904" s="1"/>
      <c r="F904" s="1" t="s">
        <v>20</v>
      </c>
      <c r="G904" s="1" t="s">
        <v>1468</v>
      </c>
      <c r="H904" s="1" t="s">
        <v>22</v>
      </c>
      <c r="I904" s="1">
        <v>34</v>
      </c>
      <c r="J904" s="1">
        <v>49972</v>
      </c>
      <c r="K904" s="1" t="s">
        <v>23</v>
      </c>
      <c r="L904" s="1" t="s">
        <v>34</v>
      </c>
      <c r="M904" s="1" t="s">
        <v>35</v>
      </c>
      <c r="N904" s="1">
        <v>39800</v>
      </c>
      <c r="O904" s="12">
        <v>40500</v>
      </c>
      <c r="P904" s="3" t="s">
        <v>46</v>
      </c>
      <c r="Q904" s="1" cm="1">
        <f t="array" ref="Q904">VALUE(INDEX(_xlfn.TEXTSPLIT(P904, " "), 4))</f>
        <v>2014</v>
      </c>
      <c r="R904" s="1" t="str">
        <f t="shared" si="14"/>
        <v>bmw 750li 750li</v>
      </c>
      <c r="S904" s="1" t="str" cm="1">
        <f t="array" ref="S904">_xlfn.IFS(I904 &gt;= 40, "High", I904&gt;=20, "Medium", I904&lt;20, "Low")</f>
        <v>Medium</v>
      </c>
      <c r="T904" s="1" t="str" cm="1">
        <f t="array" ref="T904">_xlfn.IFS(O904&lt;18200, "Low", O904&lt;=50000, "Medium", O904&gt;50000, "High")</f>
        <v>Medium</v>
      </c>
    </row>
    <row r="905" spans="1:20" x14ac:dyDescent="0.25">
      <c r="A905" s="2">
        <v>2012</v>
      </c>
      <c r="B905" s="1" t="s">
        <v>29</v>
      </c>
      <c r="C905" s="1" t="s">
        <v>30</v>
      </c>
      <c r="D905" s="1" t="s">
        <v>1282</v>
      </c>
      <c r="E905" s="1" t="s">
        <v>71</v>
      </c>
      <c r="F905" s="1" t="s">
        <v>20</v>
      </c>
      <c r="G905" s="1" t="s">
        <v>1469</v>
      </c>
      <c r="H905" s="1" t="s">
        <v>22</v>
      </c>
      <c r="I905" s="1">
        <v>47</v>
      </c>
      <c r="J905" s="1">
        <v>17453</v>
      </c>
      <c r="K905" s="1" t="s">
        <v>94</v>
      </c>
      <c r="L905" s="1" t="s">
        <v>24</v>
      </c>
      <c r="M905" s="1" t="s">
        <v>35</v>
      </c>
      <c r="N905" s="1">
        <v>30300</v>
      </c>
      <c r="O905" s="12">
        <v>31250</v>
      </c>
      <c r="P905" s="3" t="s">
        <v>46</v>
      </c>
      <c r="Q905" s="1" cm="1">
        <f t="array" ref="Q905">VALUE(INDEX(_xlfn.TEXTSPLIT(P905, " "), 4))</f>
        <v>2014</v>
      </c>
      <c r="R905" s="1" t="str">
        <f t="shared" si="14"/>
        <v>BMW 3 Series 328i</v>
      </c>
      <c r="S905" s="1" t="str" cm="1">
        <f t="array" ref="S905">_xlfn.IFS(I905 &gt;= 40, "High", I905&gt;=20, "Medium", I905&lt;20, "Low")</f>
        <v>High</v>
      </c>
      <c r="T905" s="1" t="str" cm="1">
        <f t="array" ref="T905">_xlfn.IFS(O905&lt;18200, "Low", O905&lt;=50000, "Medium", O905&gt;50000, "High")</f>
        <v>Medium</v>
      </c>
    </row>
    <row r="906" spans="1:20" x14ac:dyDescent="0.25">
      <c r="A906" s="2">
        <v>2012</v>
      </c>
      <c r="B906" s="1" t="s">
        <v>29</v>
      </c>
      <c r="C906" s="1" t="s">
        <v>111</v>
      </c>
      <c r="D906" s="1" t="s">
        <v>44</v>
      </c>
      <c r="E906" s="1" t="s">
        <v>71</v>
      </c>
      <c r="F906" s="1" t="s">
        <v>20</v>
      </c>
      <c r="G906" s="1" t="s">
        <v>1470</v>
      </c>
      <c r="H906" s="1" t="s">
        <v>22</v>
      </c>
      <c r="I906" s="1">
        <v>39</v>
      </c>
      <c r="J906" s="1">
        <v>26391</v>
      </c>
      <c r="K906" s="1" t="s">
        <v>23</v>
      </c>
      <c r="L906" s="1" t="s">
        <v>101</v>
      </c>
      <c r="M906" s="1" t="s">
        <v>35</v>
      </c>
      <c r="N906" s="1">
        <v>49100</v>
      </c>
      <c r="O906" s="12">
        <v>51500</v>
      </c>
      <c r="P906" s="3" t="s">
        <v>46</v>
      </c>
      <c r="Q906" s="1" cm="1">
        <f t="array" ref="Q906">VALUE(INDEX(_xlfn.TEXTSPLIT(P906, " "), 4))</f>
        <v>2014</v>
      </c>
      <c r="R906" s="1" t="str">
        <f t="shared" si="14"/>
        <v>BMW 6 Series 650i</v>
      </c>
      <c r="S906" s="1" t="str" cm="1">
        <f t="array" ref="S906">_xlfn.IFS(I906 &gt;= 40, "High", I906&gt;=20, "Medium", I906&lt;20, "Low")</f>
        <v>Medium</v>
      </c>
      <c r="T906" s="1" t="str" cm="1">
        <f t="array" ref="T906">_xlfn.IFS(O906&lt;18200, "Low", O906&lt;=50000, "Medium", O906&gt;50000, "High")</f>
        <v>High</v>
      </c>
    </row>
    <row r="907" spans="1:20" x14ac:dyDescent="0.25">
      <c r="A907" s="2">
        <v>2012</v>
      </c>
      <c r="B907" s="1" t="s">
        <v>29</v>
      </c>
      <c r="C907" s="1" t="s">
        <v>1285</v>
      </c>
      <c r="D907" s="1" t="s">
        <v>1331</v>
      </c>
      <c r="E907" s="1" t="s">
        <v>71</v>
      </c>
      <c r="F907" s="1" t="s">
        <v>20</v>
      </c>
      <c r="G907" s="1" t="s">
        <v>1471</v>
      </c>
      <c r="H907" s="1" t="s">
        <v>22</v>
      </c>
      <c r="I907" s="1">
        <v>47</v>
      </c>
      <c r="J907" s="1">
        <v>30653</v>
      </c>
      <c r="K907" s="1" t="s">
        <v>24</v>
      </c>
      <c r="L907" s="1" t="s">
        <v>24</v>
      </c>
      <c r="M907" s="1" t="s">
        <v>35</v>
      </c>
      <c r="N907" s="1">
        <v>23500</v>
      </c>
      <c r="O907" s="12">
        <v>22000</v>
      </c>
      <c r="P907" s="3" t="s">
        <v>46</v>
      </c>
      <c r="Q907" s="1" cm="1">
        <f t="array" ref="Q907">VALUE(INDEX(_xlfn.TEXTSPLIT(P907, " "), 4))</f>
        <v>2014</v>
      </c>
      <c r="R907" s="1" t="str">
        <f t="shared" si="14"/>
        <v>BMW 1 Series 128i</v>
      </c>
      <c r="S907" s="1" t="str" cm="1">
        <f t="array" ref="S907">_xlfn.IFS(I907 &gt;= 40, "High", I907&gt;=20, "Medium", I907&lt;20, "Low")</f>
        <v>High</v>
      </c>
      <c r="T907" s="1" t="str" cm="1">
        <f t="array" ref="T907">_xlfn.IFS(O907&lt;18200, "Low", O907&lt;=50000, "Medium", O907&gt;50000, "High")</f>
        <v>Medium</v>
      </c>
    </row>
    <row r="908" spans="1:20" x14ac:dyDescent="0.25">
      <c r="A908" s="2">
        <v>2012</v>
      </c>
      <c r="B908" s="1" t="s">
        <v>29</v>
      </c>
      <c r="C908" s="1" t="s">
        <v>1456</v>
      </c>
      <c r="D908" s="1" t="s">
        <v>1457</v>
      </c>
      <c r="E908" s="1" t="s">
        <v>19</v>
      </c>
      <c r="F908" s="1" t="s">
        <v>20</v>
      </c>
      <c r="G908" s="1" t="s">
        <v>1472</v>
      </c>
      <c r="H908" s="1" t="s">
        <v>22</v>
      </c>
      <c r="I908" s="1">
        <v>42</v>
      </c>
      <c r="J908" s="1">
        <v>42148</v>
      </c>
      <c r="K908" s="1" t="s">
        <v>34</v>
      </c>
      <c r="L908" s="1" t="s">
        <v>34</v>
      </c>
      <c r="M908" s="1" t="s">
        <v>35</v>
      </c>
      <c r="N908" s="1">
        <v>25700</v>
      </c>
      <c r="O908" s="12">
        <v>29000</v>
      </c>
      <c r="P908" s="3" t="s">
        <v>36</v>
      </c>
      <c r="Q908" s="1" cm="1">
        <f t="array" ref="Q908">VALUE(INDEX(_xlfn.TEXTSPLIT(P908, " "), 4))</f>
        <v>2015</v>
      </c>
      <c r="R908" s="1" t="str">
        <f t="shared" si="14"/>
        <v>BMW X3 xDrive28i</v>
      </c>
      <c r="S908" s="1" t="str" cm="1">
        <f t="array" ref="S908">_xlfn.IFS(I908 &gt;= 40, "High", I908&gt;=20, "Medium", I908&lt;20, "Low")</f>
        <v>High</v>
      </c>
      <c r="T908" s="1" t="str" cm="1">
        <f t="array" ref="T908">_xlfn.IFS(O908&lt;18200, "Low", O908&lt;=50000, "Medium", O908&gt;50000, "High")</f>
        <v>Medium</v>
      </c>
    </row>
    <row r="909" spans="1:20" x14ac:dyDescent="0.25">
      <c r="A909" s="2">
        <v>2012</v>
      </c>
      <c r="B909" s="1" t="s">
        <v>1259</v>
      </c>
      <c r="C909" s="1" t="s">
        <v>1260</v>
      </c>
      <c r="D909" s="1" t="s">
        <v>1260</v>
      </c>
      <c r="E909" s="1"/>
      <c r="F909" s="1" t="s">
        <v>20</v>
      </c>
      <c r="G909" s="1" t="s">
        <v>1473</v>
      </c>
      <c r="H909" s="1" t="s">
        <v>22</v>
      </c>
      <c r="I909" s="1">
        <v>19</v>
      </c>
      <c r="J909" s="1">
        <v>44274</v>
      </c>
      <c r="K909" s="1" t="s">
        <v>24</v>
      </c>
      <c r="L909" s="1" t="s">
        <v>24</v>
      </c>
      <c r="M909" s="1" t="s">
        <v>35</v>
      </c>
      <c r="N909" s="1">
        <v>33300</v>
      </c>
      <c r="O909" s="12">
        <v>33250</v>
      </c>
      <c r="P909" s="3" t="s">
        <v>26</v>
      </c>
      <c r="Q909" s="1" cm="1">
        <f t="array" ref="Q909">VALUE(INDEX(_xlfn.TEXTSPLIT(P909, " "), 4))</f>
        <v>2014</v>
      </c>
      <c r="R909" s="1" t="str">
        <f t="shared" si="14"/>
        <v>bmw 750i 750i</v>
      </c>
      <c r="S909" s="1" t="str" cm="1">
        <f t="array" ref="S909">_xlfn.IFS(I909 &gt;= 40, "High", I909&gt;=20, "Medium", I909&lt;20, "Low")</f>
        <v>Low</v>
      </c>
      <c r="T909" s="1" t="str" cm="1">
        <f t="array" ref="T909">_xlfn.IFS(O909&lt;18200, "Low", O909&lt;=50000, "Medium", O909&gt;50000, "High")</f>
        <v>Medium</v>
      </c>
    </row>
    <row r="910" spans="1:20" x14ac:dyDescent="0.25">
      <c r="A910" s="2">
        <v>2012</v>
      </c>
      <c r="B910" s="1" t="s">
        <v>184</v>
      </c>
      <c r="C910" s="1" t="s">
        <v>1290</v>
      </c>
      <c r="D910" s="1" t="s">
        <v>186</v>
      </c>
      <c r="E910" s="1" t="s">
        <v>32</v>
      </c>
      <c r="F910" s="1" t="s">
        <v>20</v>
      </c>
      <c r="G910" s="1" t="s">
        <v>1474</v>
      </c>
      <c r="H910" s="1" t="s">
        <v>22</v>
      </c>
      <c r="I910" s="1">
        <v>37</v>
      </c>
      <c r="J910" s="1">
        <v>57367</v>
      </c>
      <c r="K910" s="1" t="s">
        <v>24</v>
      </c>
      <c r="L910" s="1" t="s">
        <v>24</v>
      </c>
      <c r="M910" s="1" t="s">
        <v>1266</v>
      </c>
      <c r="N910" s="1">
        <v>19000</v>
      </c>
      <c r="O910" s="12">
        <v>18000</v>
      </c>
      <c r="P910" s="3" t="s">
        <v>68</v>
      </c>
      <c r="Q910" s="1" cm="1">
        <f t="array" ref="Q910">VALUE(INDEX(_xlfn.TEXTSPLIT(P910, " "), 4))</f>
        <v>2014</v>
      </c>
      <c r="R910" s="1" t="str">
        <f t="shared" si="14"/>
        <v>Acura TL Technology Package</v>
      </c>
      <c r="S910" s="1" t="str" cm="1">
        <f t="array" ref="S910">_xlfn.IFS(I910 &gt;= 40, "High", I910&gt;=20, "Medium", I910&lt;20, "Low")</f>
        <v>Medium</v>
      </c>
      <c r="T910" s="1" t="str" cm="1">
        <f t="array" ref="T910">_xlfn.IFS(O910&lt;18200, "Low", O910&lt;=50000, "Medium", O910&gt;50000, "High")</f>
        <v>Low</v>
      </c>
    </row>
    <row r="911" spans="1:20" x14ac:dyDescent="0.25">
      <c r="A911" s="2">
        <v>2012</v>
      </c>
      <c r="B911" s="1" t="s">
        <v>63</v>
      </c>
      <c r="C911" s="1" t="s">
        <v>150</v>
      </c>
      <c r="D911" s="1" t="s">
        <v>151</v>
      </c>
      <c r="E911" s="1" t="s">
        <v>107</v>
      </c>
      <c r="F911" s="1" t="s">
        <v>20</v>
      </c>
      <c r="G911" s="1" t="s">
        <v>1475</v>
      </c>
      <c r="H911" s="1" t="s">
        <v>22</v>
      </c>
      <c r="I911" s="1">
        <v>37</v>
      </c>
      <c r="J911" s="1">
        <v>22938</v>
      </c>
      <c r="K911" s="1" t="s">
        <v>24</v>
      </c>
      <c r="L911" s="1" t="s">
        <v>24</v>
      </c>
      <c r="M911" s="1" t="s">
        <v>625</v>
      </c>
      <c r="N911" s="1">
        <v>35700</v>
      </c>
      <c r="O911" s="12">
        <v>36500</v>
      </c>
      <c r="P911" s="3" t="s">
        <v>68</v>
      </c>
      <c r="Q911" s="1" cm="1">
        <f t="array" ref="Q911">VALUE(INDEX(_xlfn.TEXTSPLIT(P911, " "), 4))</f>
        <v>2014</v>
      </c>
      <c r="R911" s="1" t="str">
        <f t="shared" si="14"/>
        <v>Audi S5 Premium Plus quattro</v>
      </c>
      <c r="S911" s="1" t="str" cm="1">
        <f t="array" ref="S911">_xlfn.IFS(I911 &gt;= 40, "High", I911&gt;=20, "Medium", I911&lt;20, "Low")</f>
        <v>Medium</v>
      </c>
      <c r="T911" s="1" t="str" cm="1">
        <f t="array" ref="T911">_xlfn.IFS(O911&lt;18200, "Low", O911&lt;=50000, "Medium", O911&gt;50000, "High")</f>
        <v>Medium</v>
      </c>
    </row>
    <row r="912" spans="1:20" x14ac:dyDescent="0.25">
      <c r="A912" s="2">
        <v>2012</v>
      </c>
      <c r="B912" s="1" t="s">
        <v>63</v>
      </c>
      <c r="C912" s="1" t="s">
        <v>103</v>
      </c>
      <c r="D912" s="1" t="s">
        <v>1476</v>
      </c>
      <c r="E912" s="1" t="s">
        <v>19</v>
      </c>
      <c r="F912" s="1" t="s">
        <v>20</v>
      </c>
      <c r="G912" s="1" t="s">
        <v>1477</v>
      </c>
      <c r="H912" s="1" t="s">
        <v>22</v>
      </c>
      <c r="I912" s="1">
        <v>41</v>
      </c>
      <c r="J912" s="1">
        <v>38750</v>
      </c>
      <c r="K912" s="1" t="s">
        <v>24</v>
      </c>
      <c r="L912" s="1" t="s">
        <v>24</v>
      </c>
      <c r="M912" s="1" t="s">
        <v>625</v>
      </c>
      <c r="N912" s="1">
        <v>31800</v>
      </c>
      <c r="O912" s="12">
        <v>31250</v>
      </c>
      <c r="P912" s="3" t="s">
        <v>68</v>
      </c>
      <c r="Q912" s="1" cm="1">
        <f t="array" ref="Q912">VALUE(INDEX(_xlfn.TEXTSPLIT(P912, " "), 4))</f>
        <v>2014</v>
      </c>
      <c r="R912" s="1" t="str">
        <f t="shared" si="14"/>
        <v>Audi Q5 3.2 Premium Plus quattro</v>
      </c>
      <c r="S912" s="1" t="str" cm="1">
        <f t="array" ref="S912">_xlfn.IFS(I912 &gt;= 40, "High", I912&gt;=20, "Medium", I912&lt;20, "Low")</f>
        <v>High</v>
      </c>
      <c r="T912" s="1" t="str" cm="1">
        <f t="array" ref="T912">_xlfn.IFS(O912&lt;18200, "Low", O912&lt;=50000, "Medium", O912&gt;50000, "High")</f>
        <v>Medium</v>
      </c>
    </row>
    <row r="913" spans="1:20" x14ac:dyDescent="0.25">
      <c r="A913" s="2">
        <v>2012</v>
      </c>
      <c r="B913" s="1" t="s">
        <v>1259</v>
      </c>
      <c r="C913" s="1" t="s">
        <v>1260</v>
      </c>
      <c r="D913" s="1" t="s">
        <v>1261</v>
      </c>
      <c r="E913" s="1"/>
      <c r="F913" s="1" t="s">
        <v>20</v>
      </c>
      <c r="G913" s="1" t="s">
        <v>1478</v>
      </c>
      <c r="H913" s="1" t="s">
        <v>22</v>
      </c>
      <c r="I913" s="1">
        <v>47</v>
      </c>
      <c r="J913" s="1">
        <v>15452</v>
      </c>
      <c r="K913" s="1" t="s">
        <v>28</v>
      </c>
      <c r="L913" s="1" t="s">
        <v>34</v>
      </c>
      <c r="M913" s="1" t="s">
        <v>35</v>
      </c>
      <c r="N913" s="1">
        <v>42800</v>
      </c>
      <c r="O913" s="12">
        <v>41500</v>
      </c>
      <c r="P913" s="3" t="s">
        <v>46</v>
      </c>
      <c r="Q913" s="1" cm="1">
        <f t="array" ref="Q913">VALUE(INDEX(_xlfn.TEXTSPLIT(P913, " "), 4))</f>
        <v>2014</v>
      </c>
      <c r="R913" s="1" t="str">
        <f t="shared" si="14"/>
        <v>bmw 750i xdr 750i xdriv</v>
      </c>
      <c r="S913" s="1" t="str" cm="1">
        <f t="array" ref="S913">_xlfn.IFS(I913 &gt;= 40, "High", I913&gt;=20, "Medium", I913&lt;20, "Low")</f>
        <v>High</v>
      </c>
      <c r="T913" s="1" t="str" cm="1">
        <f t="array" ref="T913">_xlfn.IFS(O913&lt;18200, "Low", O913&lt;=50000, "Medium", O913&gt;50000, "High")</f>
        <v>Medium</v>
      </c>
    </row>
    <row r="914" spans="1:20" x14ac:dyDescent="0.25">
      <c r="A914" s="2">
        <v>2012</v>
      </c>
      <c r="B914" s="1" t="s">
        <v>1259</v>
      </c>
      <c r="C914" s="1" t="s">
        <v>1303</v>
      </c>
      <c r="D914" s="1" t="s">
        <v>1303</v>
      </c>
      <c r="E914" s="1"/>
      <c r="F914" s="1" t="s">
        <v>20</v>
      </c>
      <c r="G914" s="1" t="s">
        <v>1479</v>
      </c>
      <c r="H914" s="1" t="s">
        <v>22</v>
      </c>
      <c r="I914" s="1">
        <v>42</v>
      </c>
      <c r="J914" s="1">
        <v>43022</v>
      </c>
      <c r="K914" s="1" t="s">
        <v>23</v>
      </c>
      <c r="L914" s="1" t="s">
        <v>24</v>
      </c>
      <c r="M914" s="1" t="s">
        <v>35</v>
      </c>
      <c r="N914" s="1">
        <v>41800</v>
      </c>
      <c r="O914" s="12">
        <v>43750</v>
      </c>
      <c r="P914" s="3" t="s">
        <v>46</v>
      </c>
      <c r="Q914" s="1" cm="1">
        <f t="array" ref="Q914">VALUE(INDEX(_xlfn.TEXTSPLIT(P914, " "), 4))</f>
        <v>2014</v>
      </c>
      <c r="R914" s="1" t="str">
        <f t="shared" si="14"/>
        <v>bmw 750li 750li</v>
      </c>
      <c r="S914" s="1" t="str" cm="1">
        <f t="array" ref="S914">_xlfn.IFS(I914 &gt;= 40, "High", I914&gt;=20, "Medium", I914&lt;20, "Low")</f>
        <v>High</v>
      </c>
      <c r="T914" s="1" t="str" cm="1">
        <f t="array" ref="T914">_xlfn.IFS(O914&lt;18200, "Low", O914&lt;=50000, "Medium", O914&gt;50000, "High")</f>
        <v>Medium</v>
      </c>
    </row>
    <row r="915" spans="1:20" x14ac:dyDescent="0.25">
      <c r="A915" s="2">
        <v>2012</v>
      </c>
      <c r="B915" s="1" t="s">
        <v>184</v>
      </c>
      <c r="C915" s="1" t="s">
        <v>275</v>
      </c>
      <c r="D915" s="1" t="s">
        <v>1480</v>
      </c>
      <c r="E915" s="1" t="s">
        <v>19</v>
      </c>
      <c r="F915" s="1" t="s">
        <v>20</v>
      </c>
      <c r="G915" s="1" t="s">
        <v>1481</v>
      </c>
      <c r="H915" s="1" t="s">
        <v>22</v>
      </c>
      <c r="I915" s="1">
        <v>41</v>
      </c>
      <c r="J915" s="1">
        <v>37587</v>
      </c>
      <c r="K915" s="1" t="s">
        <v>23</v>
      </c>
      <c r="L915" s="1" t="s">
        <v>28</v>
      </c>
      <c r="M915" s="1" t="s">
        <v>855</v>
      </c>
      <c r="N915" s="1">
        <v>29200</v>
      </c>
      <c r="O915" s="12">
        <v>31000</v>
      </c>
      <c r="P915" s="3" t="s">
        <v>26</v>
      </c>
      <c r="Q915" s="1" cm="1">
        <f t="array" ref="Q915">VALUE(INDEX(_xlfn.TEXTSPLIT(P915, " "), 4))</f>
        <v>2014</v>
      </c>
      <c r="R915" s="1" t="str">
        <f t="shared" si="14"/>
        <v>Acura MDX Technology and Entertainment Packages</v>
      </c>
      <c r="S915" s="1" t="str" cm="1">
        <f t="array" ref="S915">_xlfn.IFS(I915 &gt;= 40, "High", I915&gt;=20, "Medium", I915&lt;20, "Low")</f>
        <v>High</v>
      </c>
      <c r="T915" s="1" t="str" cm="1">
        <f t="array" ref="T915">_xlfn.IFS(O915&lt;18200, "Low", O915&lt;=50000, "Medium", O915&gt;50000, "High")</f>
        <v>Medium</v>
      </c>
    </row>
    <row r="916" spans="1:20" x14ac:dyDescent="0.25">
      <c r="A916" s="2">
        <v>2012</v>
      </c>
      <c r="B916" s="1" t="s">
        <v>29</v>
      </c>
      <c r="C916" s="1" t="s">
        <v>1276</v>
      </c>
      <c r="D916" s="1" t="s">
        <v>1277</v>
      </c>
      <c r="E916" s="1" t="s">
        <v>32</v>
      </c>
      <c r="F916" s="1" t="s">
        <v>20</v>
      </c>
      <c r="G916" s="1" t="s">
        <v>1482</v>
      </c>
      <c r="H916" s="1" t="s">
        <v>22</v>
      </c>
      <c r="I916" s="1">
        <v>43</v>
      </c>
      <c r="J916" s="1">
        <v>47390</v>
      </c>
      <c r="K916" s="1" t="s">
        <v>24</v>
      </c>
      <c r="L916" s="1" t="s">
        <v>24</v>
      </c>
      <c r="M916" s="1" t="s">
        <v>35</v>
      </c>
      <c r="N916" s="1">
        <v>33100</v>
      </c>
      <c r="O916" s="12">
        <v>34250</v>
      </c>
      <c r="P916" s="3" t="s">
        <v>42</v>
      </c>
      <c r="Q916" s="1" cm="1">
        <f t="array" ref="Q916">VALUE(INDEX(_xlfn.TEXTSPLIT(P916, " "), 4))</f>
        <v>2015</v>
      </c>
      <c r="R916" s="1" t="str">
        <f t="shared" si="14"/>
        <v>BMW 7 Series 740i</v>
      </c>
      <c r="S916" s="1" t="str" cm="1">
        <f t="array" ref="S916">_xlfn.IFS(I916 &gt;= 40, "High", I916&gt;=20, "Medium", I916&lt;20, "Low")</f>
        <v>High</v>
      </c>
      <c r="T916" s="1" t="str" cm="1">
        <f t="array" ref="T916">_xlfn.IFS(O916&lt;18200, "Low", O916&lt;=50000, "Medium", O916&gt;50000, "High")</f>
        <v>Medium</v>
      </c>
    </row>
    <row r="917" spans="1:20" x14ac:dyDescent="0.25">
      <c r="A917" s="2">
        <v>2012</v>
      </c>
      <c r="B917" s="1" t="s">
        <v>29</v>
      </c>
      <c r="C917" s="1" t="s">
        <v>117</v>
      </c>
      <c r="D917" s="1" t="s">
        <v>1359</v>
      </c>
      <c r="E917" s="1" t="s">
        <v>32</v>
      </c>
      <c r="F917" s="1" t="s">
        <v>20</v>
      </c>
      <c r="G917" s="1" t="s">
        <v>1483</v>
      </c>
      <c r="H917" s="1" t="s">
        <v>22</v>
      </c>
      <c r="I917" s="1">
        <v>4</v>
      </c>
      <c r="J917" s="1">
        <v>43662</v>
      </c>
      <c r="K917" s="1" t="s">
        <v>34</v>
      </c>
      <c r="L917" s="1" t="s">
        <v>34</v>
      </c>
      <c r="M917" s="1" t="s">
        <v>35</v>
      </c>
      <c r="N917" s="1">
        <v>38400</v>
      </c>
      <c r="O917" s="12">
        <v>36500</v>
      </c>
      <c r="P917" s="3" t="s">
        <v>36</v>
      </c>
      <c r="Q917" s="1" cm="1">
        <f t="array" ref="Q917">VALUE(INDEX(_xlfn.TEXTSPLIT(P917, " "), 4))</f>
        <v>2015</v>
      </c>
      <c r="R917" s="1" t="str">
        <f t="shared" si="14"/>
        <v>BMW 5 Series 550i</v>
      </c>
      <c r="S917" s="1" t="str" cm="1">
        <f t="array" ref="S917">_xlfn.IFS(I917 &gt;= 40, "High", I917&gt;=20, "Medium", I917&lt;20, "Low")</f>
        <v>Low</v>
      </c>
      <c r="T917" s="1" t="str" cm="1">
        <f t="array" ref="T917">_xlfn.IFS(O917&lt;18200, "Low", O917&lt;=50000, "Medium", O917&gt;50000, "High")</f>
        <v>Medium</v>
      </c>
    </row>
    <row r="918" spans="1:20" x14ac:dyDescent="0.25">
      <c r="A918" s="2">
        <v>2012</v>
      </c>
      <c r="B918" s="1" t="s">
        <v>63</v>
      </c>
      <c r="C918" s="1" t="s">
        <v>76</v>
      </c>
      <c r="D918" s="1" t="s">
        <v>1269</v>
      </c>
      <c r="E918" s="1" t="s">
        <v>32</v>
      </c>
      <c r="F918" s="1" t="s">
        <v>20</v>
      </c>
      <c r="G918" s="1" t="s">
        <v>1484</v>
      </c>
      <c r="H918" s="1" t="s">
        <v>22</v>
      </c>
      <c r="I918" s="1">
        <v>41</v>
      </c>
      <c r="J918" s="1">
        <v>47513</v>
      </c>
      <c r="K918" s="1" t="s">
        <v>23</v>
      </c>
      <c r="L918" s="1" t="s">
        <v>132</v>
      </c>
      <c r="M918" s="1" t="s">
        <v>153</v>
      </c>
      <c r="N918" s="1">
        <v>28500</v>
      </c>
      <c r="O918" s="12">
        <v>28750</v>
      </c>
      <c r="P918" s="3" t="s">
        <v>68</v>
      </c>
      <c r="Q918" s="1" cm="1">
        <f t="array" ref="Q918">VALUE(INDEX(_xlfn.TEXTSPLIT(P918, " "), 4))</f>
        <v>2014</v>
      </c>
      <c r="R918" s="1" t="str">
        <f t="shared" si="14"/>
        <v>Audi A6 3.0T Premium quattro</v>
      </c>
      <c r="S918" s="1" t="str" cm="1">
        <f t="array" ref="S918">_xlfn.IFS(I918 &gt;= 40, "High", I918&gt;=20, "Medium", I918&lt;20, "Low")</f>
        <v>High</v>
      </c>
      <c r="T918" s="1" t="str" cm="1">
        <f t="array" ref="T918">_xlfn.IFS(O918&lt;18200, "Low", O918&lt;=50000, "Medium", O918&gt;50000, "High")</f>
        <v>Medium</v>
      </c>
    </row>
    <row r="919" spans="1:20" x14ac:dyDescent="0.25">
      <c r="A919" s="2">
        <v>2012</v>
      </c>
      <c r="B919" s="1" t="s">
        <v>1259</v>
      </c>
      <c r="C919" s="1" t="s">
        <v>1303</v>
      </c>
      <c r="D919" s="1" t="s">
        <v>1303</v>
      </c>
      <c r="E919" s="1"/>
      <c r="F919" s="1" t="s">
        <v>20</v>
      </c>
      <c r="G919" s="1" t="s">
        <v>1485</v>
      </c>
      <c r="H919" s="1" t="s">
        <v>22</v>
      </c>
      <c r="I919" s="1">
        <v>38</v>
      </c>
      <c r="J919" s="1">
        <v>43648</v>
      </c>
      <c r="K919" s="1" t="s">
        <v>94</v>
      </c>
      <c r="L919" s="1" t="s">
        <v>28</v>
      </c>
      <c r="M919" s="1" t="s">
        <v>1486</v>
      </c>
      <c r="N919" s="1">
        <v>41600</v>
      </c>
      <c r="O919" s="12">
        <v>40000</v>
      </c>
      <c r="P919" s="3" t="s">
        <v>46</v>
      </c>
      <c r="Q919" s="1" cm="1">
        <f t="array" ref="Q919">VALUE(INDEX(_xlfn.TEXTSPLIT(P919, " "), 4))</f>
        <v>2014</v>
      </c>
      <c r="R919" s="1" t="str">
        <f t="shared" si="14"/>
        <v>bmw 750li 750li</v>
      </c>
      <c r="S919" s="1" t="str" cm="1">
        <f t="array" ref="S919">_xlfn.IFS(I919 &gt;= 40, "High", I919&gt;=20, "Medium", I919&lt;20, "Low")</f>
        <v>Medium</v>
      </c>
      <c r="T919" s="1" t="str" cm="1">
        <f t="array" ref="T919">_xlfn.IFS(O919&lt;18200, "Low", O919&lt;=50000, "Medium", O919&gt;50000, "High")</f>
        <v>Medium</v>
      </c>
    </row>
    <row r="920" spans="1:20" x14ac:dyDescent="0.25">
      <c r="A920" s="2">
        <v>2012</v>
      </c>
      <c r="B920" s="1" t="s">
        <v>29</v>
      </c>
      <c r="C920" s="1" t="s">
        <v>1276</v>
      </c>
      <c r="D920" s="1" t="s">
        <v>1301</v>
      </c>
      <c r="E920" s="1" t="s">
        <v>32</v>
      </c>
      <c r="F920" s="1" t="s">
        <v>20</v>
      </c>
      <c r="G920" s="1" t="s">
        <v>1487</v>
      </c>
      <c r="H920" s="1" t="s">
        <v>22</v>
      </c>
      <c r="I920" s="1">
        <v>45</v>
      </c>
      <c r="J920" s="1">
        <v>29460</v>
      </c>
      <c r="K920" s="1" t="s">
        <v>24</v>
      </c>
      <c r="L920" s="1" t="s">
        <v>24</v>
      </c>
      <c r="M920" s="1" t="s">
        <v>35</v>
      </c>
      <c r="N920" s="1">
        <v>40700</v>
      </c>
      <c r="O920" s="12">
        <v>40500</v>
      </c>
      <c r="P920" s="3" t="s">
        <v>46</v>
      </c>
      <c r="Q920" s="1" cm="1">
        <f t="array" ref="Q920">VALUE(INDEX(_xlfn.TEXTSPLIT(P920, " "), 4))</f>
        <v>2014</v>
      </c>
      <c r="R920" s="1" t="str">
        <f t="shared" si="14"/>
        <v>BMW 7 Series 740Li</v>
      </c>
      <c r="S920" s="1" t="str" cm="1">
        <f t="array" ref="S920">_xlfn.IFS(I920 &gt;= 40, "High", I920&gt;=20, "Medium", I920&lt;20, "Low")</f>
        <v>High</v>
      </c>
      <c r="T920" s="1" t="str" cm="1">
        <f t="array" ref="T920">_xlfn.IFS(O920&lt;18200, "Low", O920&lt;=50000, "Medium", O920&gt;50000, "High")</f>
        <v>Medium</v>
      </c>
    </row>
    <row r="921" spans="1:20" x14ac:dyDescent="0.25">
      <c r="A921" s="2">
        <v>2012</v>
      </c>
      <c r="B921" s="1" t="s">
        <v>29</v>
      </c>
      <c r="C921" s="1" t="s">
        <v>117</v>
      </c>
      <c r="D921" s="1" t="s">
        <v>1292</v>
      </c>
      <c r="E921" s="1" t="s">
        <v>32</v>
      </c>
      <c r="F921" s="1" t="s">
        <v>20</v>
      </c>
      <c r="G921" s="1" t="s">
        <v>1488</v>
      </c>
      <c r="H921" s="1" t="s">
        <v>22</v>
      </c>
      <c r="I921" s="1">
        <v>44</v>
      </c>
      <c r="J921" s="1">
        <v>37915</v>
      </c>
      <c r="K921" s="1" t="s">
        <v>24</v>
      </c>
      <c r="L921" s="1" t="s">
        <v>24</v>
      </c>
      <c r="M921" s="1" t="s">
        <v>35</v>
      </c>
      <c r="N921" s="1">
        <v>33500</v>
      </c>
      <c r="O921" s="12">
        <v>34000</v>
      </c>
      <c r="P921" s="3" t="s">
        <v>46</v>
      </c>
      <c r="Q921" s="1" cm="1">
        <f t="array" ref="Q921">VALUE(INDEX(_xlfn.TEXTSPLIT(P921, " "), 4))</f>
        <v>2014</v>
      </c>
      <c r="R921" s="1" t="str">
        <f t="shared" si="14"/>
        <v>BMW 5 Series 535i</v>
      </c>
      <c r="S921" s="1" t="str" cm="1">
        <f t="array" ref="S921">_xlfn.IFS(I921 &gt;= 40, "High", I921&gt;=20, "Medium", I921&lt;20, "Low")</f>
        <v>High</v>
      </c>
      <c r="T921" s="1" t="str" cm="1">
        <f t="array" ref="T921">_xlfn.IFS(O921&lt;18200, "Low", O921&lt;=50000, "Medium", O921&gt;50000, "High")</f>
        <v>Medium</v>
      </c>
    </row>
    <row r="922" spans="1:20" x14ac:dyDescent="0.25">
      <c r="A922" s="2">
        <v>2012</v>
      </c>
      <c r="B922" s="1" t="s">
        <v>184</v>
      </c>
      <c r="C922" s="1" t="s">
        <v>1264</v>
      </c>
      <c r="D922" s="1" t="s">
        <v>1333</v>
      </c>
      <c r="E922" s="1" t="s">
        <v>32</v>
      </c>
      <c r="F922" s="1" t="s">
        <v>20</v>
      </c>
      <c r="G922" s="1" t="s">
        <v>1489</v>
      </c>
      <c r="H922" s="1" t="s">
        <v>22</v>
      </c>
      <c r="I922" s="1">
        <v>46</v>
      </c>
      <c r="J922" s="1">
        <v>91532</v>
      </c>
      <c r="K922" s="1" t="s">
        <v>24</v>
      </c>
      <c r="L922" s="1" t="s">
        <v>24</v>
      </c>
      <c r="M922" s="1" t="s">
        <v>625</v>
      </c>
      <c r="N922" s="1">
        <v>15650</v>
      </c>
      <c r="O922" s="12">
        <v>15000</v>
      </c>
      <c r="P922" s="3" t="s">
        <v>362</v>
      </c>
      <c r="Q922" s="1" cm="1">
        <f t="array" ref="Q922">VALUE(INDEX(_xlfn.TEXTSPLIT(P922, " "), 4))</f>
        <v>2014</v>
      </c>
      <c r="R922" s="1" t="str">
        <f t="shared" si="14"/>
        <v>Acura TSX Special Edition</v>
      </c>
      <c r="S922" s="1" t="str" cm="1">
        <f t="array" ref="S922">_xlfn.IFS(I922 &gt;= 40, "High", I922&gt;=20, "Medium", I922&lt;20, "Low")</f>
        <v>High</v>
      </c>
      <c r="T922" s="1" t="str" cm="1">
        <f t="array" ref="T922">_xlfn.IFS(O922&lt;18200, "Low", O922&lt;=50000, "Medium", O922&gt;50000, "High")</f>
        <v>Low</v>
      </c>
    </row>
    <row r="923" spans="1:20" x14ac:dyDescent="0.25">
      <c r="A923" s="2">
        <v>2012</v>
      </c>
      <c r="B923" s="1" t="s">
        <v>29</v>
      </c>
      <c r="C923" s="1" t="s">
        <v>30</v>
      </c>
      <c r="D923" s="1" t="s">
        <v>1282</v>
      </c>
      <c r="E923" s="1" t="s">
        <v>107</v>
      </c>
      <c r="F923" s="1" t="s">
        <v>20</v>
      </c>
      <c r="G923" s="1" t="s">
        <v>1490</v>
      </c>
      <c r="H923" s="1" t="s">
        <v>22</v>
      </c>
      <c r="I923" s="1">
        <v>39</v>
      </c>
      <c r="J923" s="1">
        <v>38166</v>
      </c>
      <c r="K923" s="1" t="s">
        <v>23</v>
      </c>
      <c r="L923" s="1" t="s">
        <v>101</v>
      </c>
      <c r="M923" s="1" t="s">
        <v>35</v>
      </c>
      <c r="N923" s="1">
        <v>21600</v>
      </c>
      <c r="O923" s="12">
        <v>22750</v>
      </c>
      <c r="P923" s="3" t="s">
        <v>46</v>
      </c>
      <c r="Q923" s="1" cm="1">
        <f t="array" ref="Q923">VALUE(INDEX(_xlfn.TEXTSPLIT(P923, " "), 4))</f>
        <v>2014</v>
      </c>
      <c r="R923" s="1" t="str">
        <f t="shared" si="14"/>
        <v>BMW 3 Series 328i</v>
      </c>
      <c r="S923" s="1" t="str" cm="1">
        <f t="array" ref="S923">_xlfn.IFS(I923 &gt;= 40, "High", I923&gt;=20, "Medium", I923&lt;20, "Low")</f>
        <v>Medium</v>
      </c>
      <c r="T923" s="1" t="str" cm="1">
        <f t="array" ref="T923">_xlfn.IFS(O923&lt;18200, "Low", O923&lt;=50000, "Medium", O923&gt;50000, "High")</f>
        <v>Medium</v>
      </c>
    </row>
    <row r="924" spans="1:20" x14ac:dyDescent="0.25">
      <c r="A924" s="2">
        <v>2012</v>
      </c>
      <c r="B924" s="1" t="s">
        <v>63</v>
      </c>
      <c r="C924" s="1" t="s">
        <v>64</v>
      </c>
      <c r="D924" s="1" t="s">
        <v>1321</v>
      </c>
      <c r="E924" s="1" t="s">
        <v>32</v>
      </c>
      <c r="F924" s="1" t="s">
        <v>20</v>
      </c>
      <c r="G924" s="1" t="s">
        <v>1491</v>
      </c>
      <c r="H924" s="1" t="s">
        <v>22</v>
      </c>
      <c r="I924" s="1">
        <v>38</v>
      </c>
      <c r="J924" s="1">
        <v>39272</v>
      </c>
      <c r="K924" s="1" t="s">
        <v>94</v>
      </c>
      <c r="L924" s="1" t="s">
        <v>24</v>
      </c>
      <c r="M924" s="1" t="s">
        <v>1235</v>
      </c>
      <c r="N924" s="1">
        <v>19500</v>
      </c>
      <c r="O924" s="12">
        <v>20250</v>
      </c>
      <c r="P924" s="3" t="s">
        <v>57</v>
      </c>
      <c r="Q924" s="1" cm="1">
        <f t="array" ref="Q924">VALUE(INDEX(_xlfn.TEXTSPLIT(P924, " "), 4))</f>
        <v>2014</v>
      </c>
      <c r="R924" s="1" t="str">
        <f t="shared" si="14"/>
        <v>Audi A4 2.0T Premium quattro</v>
      </c>
      <c r="S924" s="1" t="str" cm="1">
        <f t="array" ref="S924">_xlfn.IFS(I924 &gt;= 40, "High", I924&gt;=20, "Medium", I924&lt;20, "Low")</f>
        <v>Medium</v>
      </c>
      <c r="T924" s="1" t="str" cm="1">
        <f t="array" ref="T924">_xlfn.IFS(O924&lt;18200, "Low", O924&lt;=50000, "Medium", O924&gt;50000, "High")</f>
        <v>Medium</v>
      </c>
    </row>
    <row r="925" spans="1:20" x14ac:dyDescent="0.25">
      <c r="A925" s="2">
        <v>2012</v>
      </c>
      <c r="B925" s="1" t="s">
        <v>29</v>
      </c>
      <c r="C925" s="1" t="s">
        <v>30</v>
      </c>
      <c r="D925" s="1" t="s">
        <v>1282</v>
      </c>
      <c r="E925" s="1" t="s">
        <v>32</v>
      </c>
      <c r="F925" s="1" t="s">
        <v>20</v>
      </c>
      <c r="G925" s="1" t="s">
        <v>1492</v>
      </c>
      <c r="H925" s="1" t="s">
        <v>22</v>
      </c>
      <c r="I925" s="1">
        <v>41</v>
      </c>
      <c r="J925" s="1">
        <v>30875</v>
      </c>
      <c r="K925" s="1" t="s">
        <v>23</v>
      </c>
      <c r="L925" s="1" t="s">
        <v>101</v>
      </c>
      <c r="M925" s="1" t="s">
        <v>35</v>
      </c>
      <c r="N925" s="1">
        <v>25700</v>
      </c>
      <c r="O925" s="12">
        <v>41000</v>
      </c>
      <c r="P925" s="3" t="s">
        <v>36</v>
      </c>
      <c r="Q925" s="1" cm="1">
        <f t="array" ref="Q925">VALUE(INDEX(_xlfn.TEXTSPLIT(P925, " "), 4))</f>
        <v>2015</v>
      </c>
      <c r="R925" s="1" t="str">
        <f t="shared" si="14"/>
        <v>BMW 3 Series 328i</v>
      </c>
      <c r="S925" s="1" t="str" cm="1">
        <f t="array" ref="S925">_xlfn.IFS(I925 &gt;= 40, "High", I925&gt;=20, "Medium", I925&lt;20, "Low")</f>
        <v>High</v>
      </c>
      <c r="T925" s="1" t="str" cm="1">
        <f t="array" ref="T925">_xlfn.IFS(O925&lt;18200, "Low", O925&lt;=50000, "Medium", O925&gt;50000, "High")</f>
        <v>Medium</v>
      </c>
    </row>
    <row r="926" spans="1:20" x14ac:dyDescent="0.25">
      <c r="A926" s="2">
        <v>2012</v>
      </c>
      <c r="B926" s="1" t="s">
        <v>29</v>
      </c>
      <c r="C926" s="1" t="s">
        <v>30</v>
      </c>
      <c r="D926" s="1" t="s">
        <v>1282</v>
      </c>
      <c r="E926" s="1" t="s">
        <v>71</v>
      </c>
      <c r="F926" s="1" t="s">
        <v>20</v>
      </c>
      <c r="G926" s="1" t="s">
        <v>1493</v>
      </c>
      <c r="H926" s="1" t="s">
        <v>22</v>
      </c>
      <c r="I926" s="1">
        <v>27</v>
      </c>
      <c r="J926" s="1">
        <v>26285</v>
      </c>
      <c r="K926" s="1" t="s">
        <v>34</v>
      </c>
      <c r="L926" s="1" t="s">
        <v>34</v>
      </c>
      <c r="M926" s="1" t="s">
        <v>35</v>
      </c>
      <c r="N926" s="1">
        <v>28800</v>
      </c>
      <c r="O926" s="12">
        <v>26500</v>
      </c>
      <c r="P926" s="3" t="s">
        <v>36</v>
      </c>
      <c r="Q926" s="1" cm="1">
        <f t="array" ref="Q926">VALUE(INDEX(_xlfn.TEXTSPLIT(P926, " "), 4))</f>
        <v>2015</v>
      </c>
      <c r="R926" s="1" t="str">
        <f t="shared" si="14"/>
        <v>BMW 3 Series 328i</v>
      </c>
      <c r="S926" s="1" t="str" cm="1">
        <f t="array" ref="S926">_xlfn.IFS(I926 &gt;= 40, "High", I926&gt;=20, "Medium", I926&lt;20, "Low")</f>
        <v>Medium</v>
      </c>
      <c r="T926" s="1" t="str" cm="1">
        <f t="array" ref="T926">_xlfn.IFS(O926&lt;18200, "Low", O926&lt;=50000, "Medium", O926&gt;50000, "High")</f>
        <v>Medium</v>
      </c>
    </row>
    <row r="927" spans="1:20" x14ac:dyDescent="0.25">
      <c r="A927" s="2">
        <v>2012</v>
      </c>
      <c r="B927" s="1" t="s">
        <v>29</v>
      </c>
      <c r="C927" s="1" t="s">
        <v>111</v>
      </c>
      <c r="D927" s="1" t="s">
        <v>44</v>
      </c>
      <c r="E927" s="1" t="s">
        <v>71</v>
      </c>
      <c r="F927" s="1" t="s">
        <v>20</v>
      </c>
      <c r="G927" s="1" t="s">
        <v>1494</v>
      </c>
      <c r="H927" s="1" t="s">
        <v>22</v>
      </c>
      <c r="I927" s="1">
        <v>28</v>
      </c>
      <c r="J927" s="1">
        <v>36051</v>
      </c>
      <c r="K927" s="1" t="s">
        <v>34</v>
      </c>
      <c r="L927" s="1" t="s">
        <v>24</v>
      </c>
      <c r="M927" s="1" t="s">
        <v>35</v>
      </c>
      <c r="N927" s="1">
        <v>46400</v>
      </c>
      <c r="O927" s="12">
        <v>42900</v>
      </c>
      <c r="P927" s="3" t="s">
        <v>36</v>
      </c>
      <c r="Q927" s="1" cm="1">
        <f t="array" ref="Q927">VALUE(INDEX(_xlfn.TEXTSPLIT(P927, " "), 4))</f>
        <v>2015</v>
      </c>
      <c r="R927" s="1" t="str">
        <f t="shared" si="14"/>
        <v>BMW 6 Series 650i</v>
      </c>
      <c r="S927" s="1" t="str" cm="1">
        <f t="array" ref="S927">_xlfn.IFS(I927 &gt;= 40, "High", I927&gt;=20, "Medium", I927&lt;20, "Low")</f>
        <v>Medium</v>
      </c>
      <c r="T927" s="1" t="str" cm="1">
        <f t="array" ref="T927">_xlfn.IFS(O927&lt;18200, "Low", O927&lt;=50000, "Medium", O927&gt;50000, "High")</f>
        <v>Medium</v>
      </c>
    </row>
    <row r="928" spans="1:20" x14ac:dyDescent="0.25">
      <c r="A928" s="2">
        <v>2012</v>
      </c>
      <c r="B928" s="1" t="s">
        <v>184</v>
      </c>
      <c r="C928" s="1" t="s">
        <v>1410</v>
      </c>
      <c r="D928" s="1" t="s">
        <v>186</v>
      </c>
      <c r="E928" s="1" t="s">
        <v>227</v>
      </c>
      <c r="F928" s="1" t="s">
        <v>20</v>
      </c>
      <c r="G928" s="1" t="s">
        <v>1495</v>
      </c>
      <c r="H928" s="1" t="s">
        <v>22</v>
      </c>
      <c r="I928" s="1">
        <v>37</v>
      </c>
      <c r="J928" s="1">
        <v>48115</v>
      </c>
      <c r="K928" s="1" t="s">
        <v>24</v>
      </c>
      <c r="L928" s="1" t="s">
        <v>101</v>
      </c>
      <c r="M928" s="1" t="s">
        <v>625</v>
      </c>
      <c r="N928" s="1">
        <v>27000</v>
      </c>
      <c r="O928" s="12">
        <v>28000</v>
      </c>
      <c r="P928" s="3" t="s">
        <v>362</v>
      </c>
      <c r="Q928" s="1" cm="1">
        <f t="array" ref="Q928">VALUE(INDEX(_xlfn.TEXTSPLIT(P928, " "), 4))</f>
        <v>2014</v>
      </c>
      <c r="R928" s="1" t="str">
        <f t="shared" si="14"/>
        <v>Acura ZDX Technology Package</v>
      </c>
      <c r="S928" s="1" t="str" cm="1">
        <f t="array" ref="S928">_xlfn.IFS(I928 &gt;= 40, "High", I928&gt;=20, "Medium", I928&lt;20, "Low")</f>
        <v>Medium</v>
      </c>
      <c r="T928" s="1" t="str" cm="1">
        <f t="array" ref="T928">_xlfn.IFS(O928&lt;18200, "Low", O928&lt;=50000, "Medium", O928&gt;50000, "High")</f>
        <v>Medium</v>
      </c>
    </row>
    <row r="929" spans="1:20" x14ac:dyDescent="0.25">
      <c r="A929" s="2">
        <v>2012</v>
      </c>
      <c r="B929" s="1" t="s">
        <v>63</v>
      </c>
      <c r="C929" s="1" t="s">
        <v>64</v>
      </c>
      <c r="D929" s="1" t="s">
        <v>1321</v>
      </c>
      <c r="E929" s="1" t="s">
        <v>32</v>
      </c>
      <c r="F929" s="1" t="s">
        <v>20</v>
      </c>
      <c r="G929" s="1" t="s">
        <v>1496</v>
      </c>
      <c r="H929" s="1" t="s">
        <v>22</v>
      </c>
      <c r="I929" s="1">
        <v>38</v>
      </c>
      <c r="J929" s="1">
        <v>48158</v>
      </c>
      <c r="K929" s="1" t="s">
        <v>94</v>
      </c>
      <c r="L929" s="1" t="s">
        <v>34</v>
      </c>
      <c r="M929" s="1" t="s">
        <v>153</v>
      </c>
      <c r="N929" s="1">
        <v>18650</v>
      </c>
      <c r="O929" s="12">
        <v>19500</v>
      </c>
      <c r="P929" s="3" t="s">
        <v>68</v>
      </c>
      <c r="Q929" s="1" cm="1">
        <f t="array" ref="Q929">VALUE(INDEX(_xlfn.TEXTSPLIT(P929, " "), 4))</f>
        <v>2014</v>
      </c>
      <c r="R929" s="1" t="str">
        <f t="shared" si="14"/>
        <v>Audi A4 2.0T Premium quattro</v>
      </c>
      <c r="S929" s="1" t="str" cm="1">
        <f t="array" ref="S929">_xlfn.IFS(I929 &gt;= 40, "High", I929&gt;=20, "Medium", I929&lt;20, "Low")</f>
        <v>Medium</v>
      </c>
      <c r="T929" s="1" t="str" cm="1">
        <f t="array" ref="T929">_xlfn.IFS(O929&lt;18200, "Low", O929&lt;=50000, "Medium", O929&gt;50000, "High")</f>
        <v>Medium</v>
      </c>
    </row>
    <row r="930" spans="1:20" x14ac:dyDescent="0.25">
      <c r="A930" s="2">
        <v>2012</v>
      </c>
      <c r="B930" s="1" t="s">
        <v>29</v>
      </c>
      <c r="C930" s="1" t="s">
        <v>111</v>
      </c>
      <c r="D930" s="1" t="s">
        <v>1288</v>
      </c>
      <c r="E930" s="1" t="s">
        <v>71</v>
      </c>
      <c r="F930" s="1" t="s">
        <v>20</v>
      </c>
      <c r="G930" s="1" t="s">
        <v>1497</v>
      </c>
      <c r="H930" s="1" t="s">
        <v>22</v>
      </c>
      <c r="I930" s="1">
        <v>42</v>
      </c>
      <c r="J930" s="1">
        <v>37688</v>
      </c>
      <c r="K930" s="1" t="s">
        <v>23</v>
      </c>
      <c r="L930" s="1" t="s">
        <v>101</v>
      </c>
      <c r="M930" s="1" t="s">
        <v>35</v>
      </c>
      <c r="N930" s="1">
        <v>44200</v>
      </c>
      <c r="O930" s="12">
        <v>45500</v>
      </c>
      <c r="P930" s="3" t="s">
        <v>46</v>
      </c>
      <c r="Q930" s="1" cm="1">
        <f t="array" ref="Q930">VALUE(INDEX(_xlfn.TEXTSPLIT(P930, " "), 4))</f>
        <v>2014</v>
      </c>
      <c r="R930" s="1" t="str">
        <f t="shared" si="14"/>
        <v>BMW 6 Series 640i</v>
      </c>
      <c r="S930" s="1" t="str" cm="1">
        <f t="array" ref="S930">_xlfn.IFS(I930 &gt;= 40, "High", I930&gt;=20, "Medium", I930&lt;20, "Low")</f>
        <v>High</v>
      </c>
      <c r="T930" s="1" t="str" cm="1">
        <f t="array" ref="T930">_xlfn.IFS(O930&lt;18200, "Low", O930&lt;=50000, "Medium", O930&gt;50000, "High")</f>
        <v>Medium</v>
      </c>
    </row>
    <row r="931" spans="1:20" x14ac:dyDescent="0.25">
      <c r="A931" s="2">
        <v>2012</v>
      </c>
      <c r="B931" s="1" t="s">
        <v>29</v>
      </c>
      <c r="C931" s="1" t="s">
        <v>30</v>
      </c>
      <c r="D931" s="1" t="s">
        <v>1282</v>
      </c>
      <c r="E931" s="1" t="s">
        <v>71</v>
      </c>
      <c r="F931" s="1" t="s">
        <v>20</v>
      </c>
      <c r="G931" s="1" t="s">
        <v>1498</v>
      </c>
      <c r="H931" s="1" t="s">
        <v>22</v>
      </c>
      <c r="I931" s="1">
        <v>47</v>
      </c>
      <c r="J931" s="1">
        <v>35006</v>
      </c>
      <c r="K931" s="1" t="s">
        <v>23</v>
      </c>
      <c r="L931" s="1" t="s">
        <v>82</v>
      </c>
      <c r="M931" s="1" t="s">
        <v>35</v>
      </c>
      <c r="N931" s="1">
        <v>27800</v>
      </c>
      <c r="O931" s="12">
        <v>27300</v>
      </c>
      <c r="P931" s="3" t="s">
        <v>46</v>
      </c>
      <c r="Q931" s="1" cm="1">
        <f t="array" ref="Q931">VALUE(INDEX(_xlfn.TEXTSPLIT(P931, " "), 4))</f>
        <v>2014</v>
      </c>
      <c r="R931" s="1" t="str">
        <f t="shared" si="14"/>
        <v>BMW 3 Series 328i</v>
      </c>
      <c r="S931" s="1" t="str" cm="1">
        <f t="array" ref="S931">_xlfn.IFS(I931 &gt;= 40, "High", I931&gt;=20, "Medium", I931&lt;20, "Low")</f>
        <v>High</v>
      </c>
      <c r="T931" s="1" t="str" cm="1">
        <f t="array" ref="T931">_xlfn.IFS(O931&lt;18200, "Low", O931&lt;=50000, "Medium", O931&gt;50000, "High")</f>
        <v>Medium</v>
      </c>
    </row>
    <row r="932" spans="1:20" x14ac:dyDescent="0.25">
      <c r="A932" s="2">
        <v>2012</v>
      </c>
      <c r="B932" s="1" t="s">
        <v>29</v>
      </c>
      <c r="C932" s="1" t="s">
        <v>117</v>
      </c>
      <c r="D932" s="1" t="s">
        <v>118</v>
      </c>
      <c r="E932" s="1" t="s">
        <v>32</v>
      </c>
      <c r="F932" s="1" t="s">
        <v>20</v>
      </c>
      <c r="G932" s="1" t="s">
        <v>1499</v>
      </c>
      <c r="H932" s="1" t="s">
        <v>22</v>
      </c>
      <c r="I932" s="1">
        <v>46</v>
      </c>
      <c r="J932" s="1">
        <v>35638</v>
      </c>
      <c r="K932" s="1" t="s">
        <v>94</v>
      </c>
      <c r="L932" s="1" t="s">
        <v>34</v>
      </c>
      <c r="M932" s="1" t="s">
        <v>35</v>
      </c>
      <c r="N932" s="1">
        <v>31500</v>
      </c>
      <c r="O932" s="12">
        <v>31500</v>
      </c>
      <c r="P932" s="3" t="s">
        <v>46</v>
      </c>
      <c r="Q932" s="1" cm="1">
        <f t="array" ref="Q932">VALUE(INDEX(_xlfn.TEXTSPLIT(P932, " "), 4))</f>
        <v>2014</v>
      </c>
      <c r="R932" s="1" t="str">
        <f t="shared" si="14"/>
        <v>BMW 5 Series 528i</v>
      </c>
      <c r="S932" s="1" t="str" cm="1">
        <f t="array" ref="S932">_xlfn.IFS(I932 &gt;= 40, "High", I932&gt;=20, "Medium", I932&lt;20, "Low")</f>
        <v>High</v>
      </c>
      <c r="T932" s="1" t="str" cm="1">
        <f t="array" ref="T932">_xlfn.IFS(O932&lt;18200, "Low", O932&lt;=50000, "Medium", O932&gt;50000, "High")</f>
        <v>Medium</v>
      </c>
    </row>
    <row r="933" spans="1:20" x14ac:dyDescent="0.25">
      <c r="A933" s="2">
        <v>2012</v>
      </c>
      <c r="B933" s="1" t="s">
        <v>29</v>
      </c>
      <c r="C933" s="1" t="s">
        <v>117</v>
      </c>
      <c r="D933" s="1" t="s">
        <v>1500</v>
      </c>
      <c r="E933" s="1" t="s">
        <v>32</v>
      </c>
      <c r="F933" s="1" t="s">
        <v>20</v>
      </c>
      <c r="G933" s="1" t="s">
        <v>1501</v>
      </c>
      <c r="H933" s="1" t="s">
        <v>22</v>
      </c>
      <c r="I933" s="1">
        <v>33</v>
      </c>
      <c r="J933" s="1">
        <v>26936</v>
      </c>
      <c r="K933" s="1" t="s">
        <v>34</v>
      </c>
      <c r="L933" s="1" t="s">
        <v>34</v>
      </c>
      <c r="M933" s="1" t="s">
        <v>35</v>
      </c>
      <c r="N933" s="1">
        <v>35800</v>
      </c>
      <c r="O933" s="12">
        <v>34500</v>
      </c>
      <c r="P933" s="3" t="s">
        <v>46</v>
      </c>
      <c r="Q933" s="1" cm="1">
        <f t="array" ref="Q933">VALUE(INDEX(_xlfn.TEXTSPLIT(P933, " "), 4))</f>
        <v>2014</v>
      </c>
      <c r="R933" s="1" t="str">
        <f t="shared" si="14"/>
        <v>BMW 5 Series 535i xDrive</v>
      </c>
      <c r="S933" s="1" t="str" cm="1">
        <f t="array" ref="S933">_xlfn.IFS(I933 &gt;= 40, "High", I933&gt;=20, "Medium", I933&lt;20, "Low")</f>
        <v>Medium</v>
      </c>
      <c r="T933" s="1" t="str" cm="1">
        <f t="array" ref="T933">_xlfn.IFS(O933&lt;18200, "Low", O933&lt;=50000, "Medium", O933&gt;50000, "High")</f>
        <v>Medium</v>
      </c>
    </row>
    <row r="934" spans="1:20" x14ac:dyDescent="0.25">
      <c r="A934" s="2">
        <v>2012</v>
      </c>
      <c r="B934" s="1" t="s">
        <v>29</v>
      </c>
      <c r="C934" s="1" t="s">
        <v>111</v>
      </c>
      <c r="D934" s="1" t="s">
        <v>1288</v>
      </c>
      <c r="E934" s="1" t="s">
        <v>107</v>
      </c>
      <c r="F934" s="1" t="s">
        <v>20</v>
      </c>
      <c r="G934" s="1" t="s">
        <v>1502</v>
      </c>
      <c r="H934" s="1" t="s">
        <v>22</v>
      </c>
      <c r="I934" s="1">
        <v>41</v>
      </c>
      <c r="J934" s="1">
        <v>50362</v>
      </c>
      <c r="K934" s="1" t="s">
        <v>23</v>
      </c>
      <c r="L934" s="1" t="s">
        <v>23</v>
      </c>
      <c r="M934" s="1" t="s">
        <v>625</v>
      </c>
      <c r="N934" s="1">
        <v>40500</v>
      </c>
      <c r="O934" s="12">
        <v>42000</v>
      </c>
      <c r="P934" s="3" t="s">
        <v>68</v>
      </c>
      <c r="Q934" s="1" cm="1">
        <f t="array" ref="Q934">VALUE(INDEX(_xlfn.TEXTSPLIT(P934, " "), 4))</f>
        <v>2014</v>
      </c>
      <c r="R934" s="1" t="str">
        <f t="shared" si="14"/>
        <v>BMW 6 Series 640i</v>
      </c>
      <c r="S934" s="1" t="str" cm="1">
        <f t="array" ref="S934">_xlfn.IFS(I934 &gt;= 40, "High", I934&gt;=20, "Medium", I934&lt;20, "Low")</f>
        <v>High</v>
      </c>
      <c r="T934" s="1" t="str" cm="1">
        <f t="array" ref="T934">_xlfn.IFS(O934&lt;18200, "Low", O934&lt;=50000, "Medium", O934&gt;50000, "High")</f>
        <v>Medium</v>
      </c>
    </row>
    <row r="935" spans="1:20" x14ac:dyDescent="0.25">
      <c r="A935" s="2">
        <v>2012</v>
      </c>
      <c r="B935" s="1" t="s">
        <v>1259</v>
      </c>
      <c r="C935" s="1" t="s">
        <v>1303</v>
      </c>
      <c r="D935" s="1" t="s">
        <v>1303</v>
      </c>
      <c r="E935" s="1"/>
      <c r="F935" s="1" t="s">
        <v>20</v>
      </c>
      <c r="G935" s="1" t="s">
        <v>1503</v>
      </c>
      <c r="H935" s="1" t="s">
        <v>22</v>
      </c>
      <c r="I935" s="1">
        <v>49</v>
      </c>
      <c r="J935" s="1">
        <v>46501</v>
      </c>
      <c r="K935" s="1" t="s">
        <v>24</v>
      </c>
      <c r="L935" s="1" t="s">
        <v>24</v>
      </c>
      <c r="M935" s="1" t="s">
        <v>35</v>
      </c>
      <c r="N935" s="1">
        <v>40800</v>
      </c>
      <c r="O935" s="12">
        <v>42500</v>
      </c>
      <c r="P935" s="3" t="s">
        <v>46</v>
      </c>
      <c r="Q935" s="1" cm="1">
        <f t="array" ref="Q935">VALUE(INDEX(_xlfn.TEXTSPLIT(P935, " "), 4))</f>
        <v>2014</v>
      </c>
      <c r="R935" s="1" t="str">
        <f t="shared" si="14"/>
        <v>bmw 750li 750li</v>
      </c>
      <c r="S935" s="1" t="str" cm="1">
        <f t="array" ref="S935">_xlfn.IFS(I935 &gt;= 40, "High", I935&gt;=20, "Medium", I935&lt;20, "Low")</f>
        <v>High</v>
      </c>
      <c r="T935" s="1" t="str" cm="1">
        <f t="array" ref="T935">_xlfn.IFS(O935&lt;18200, "Low", O935&lt;=50000, "Medium", O935&gt;50000, "High")</f>
        <v>Medium</v>
      </c>
    </row>
    <row r="936" spans="1:20" x14ac:dyDescent="0.25">
      <c r="A936" s="2">
        <v>2012</v>
      </c>
      <c r="B936" s="1" t="s">
        <v>184</v>
      </c>
      <c r="C936" s="1" t="s">
        <v>275</v>
      </c>
      <c r="D936" s="1" t="s">
        <v>54</v>
      </c>
      <c r="E936" s="1" t="s">
        <v>19</v>
      </c>
      <c r="F936" s="1" t="s">
        <v>20</v>
      </c>
      <c r="G936" s="1" t="s">
        <v>1504</v>
      </c>
      <c r="H936" s="1" t="s">
        <v>22</v>
      </c>
      <c r="I936" s="1">
        <v>36</v>
      </c>
      <c r="J936" s="1">
        <v>34643</v>
      </c>
      <c r="K936" s="1" t="s">
        <v>34</v>
      </c>
      <c r="L936" s="1" t="s">
        <v>24</v>
      </c>
      <c r="M936" s="1" t="s">
        <v>1266</v>
      </c>
      <c r="N936" s="1">
        <v>26600</v>
      </c>
      <c r="O936" s="12">
        <v>27000</v>
      </c>
      <c r="P936" s="3" t="s">
        <v>68</v>
      </c>
      <c r="Q936" s="1" cm="1">
        <f t="array" ref="Q936">VALUE(INDEX(_xlfn.TEXTSPLIT(P936, " "), 4))</f>
        <v>2014</v>
      </c>
      <c r="R936" s="1" t="str">
        <f t="shared" si="14"/>
        <v>Acura MDX Base</v>
      </c>
      <c r="S936" s="1" t="str" cm="1">
        <f t="array" ref="S936">_xlfn.IFS(I936 &gt;= 40, "High", I936&gt;=20, "Medium", I936&lt;20, "Low")</f>
        <v>Medium</v>
      </c>
      <c r="T936" s="1" t="str" cm="1">
        <f t="array" ref="T936">_xlfn.IFS(O936&lt;18200, "Low", O936&lt;=50000, "Medium", O936&gt;50000, "High")</f>
        <v>Medium</v>
      </c>
    </row>
    <row r="937" spans="1:20" x14ac:dyDescent="0.25">
      <c r="A937" s="2">
        <v>2012</v>
      </c>
      <c r="B937" s="1" t="s">
        <v>29</v>
      </c>
      <c r="C937" s="1" t="s">
        <v>117</v>
      </c>
      <c r="D937" s="1" t="s">
        <v>1292</v>
      </c>
      <c r="E937" s="1" t="s">
        <v>32</v>
      </c>
      <c r="F937" s="1" t="s">
        <v>20</v>
      </c>
      <c r="G937" s="1" t="s">
        <v>1505</v>
      </c>
      <c r="H937" s="1" t="s">
        <v>22</v>
      </c>
      <c r="I937" s="1">
        <v>28</v>
      </c>
      <c r="J937" s="1">
        <v>36773</v>
      </c>
      <c r="K937" s="1" t="s">
        <v>24</v>
      </c>
      <c r="L937" s="1" t="s">
        <v>24</v>
      </c>
      <c r="M937" s="1" t="s">
        <v>35</v>
      </c>
      <c r="N937" s="1">
        <v>33700</v>
      </c>
      <c r="O937" s="12">
        <v>32500</v>
      </c>
      <c r="P937" s="3" t="s">
        <v>46</v>
      </c>
      <c r="Q937" s="1" cm="1">
        <f t="array" ref="Q937">VALUE(INDEX(_xlfn.TEXTSPLIT(P937, " "), 4))</f>
        <v>2014</v>
      </c>
      <c r="R937" s="1" t="str">
        <f t="shared" si="14"/>
        <v>BMW 5 Series 535i</v>
      </c>
      <c r="S937" s="1" t="str" cm="1">
        <f t="array" ref="S937">_xlfn.IFS(I937 &gt;= 40, "High", I937&gt;=20, "Medium", I937&lt;20, "Low")</f>
        <v>Medium</v>
      </c>
      <c r="T937" s="1" t="str" cm="1">
        <f t="array" ref="T937">_xlfn.IFS(O937&lt;18200, "Low", O937&lt;=50000, "Medium", O937&gt;50000, "High")</f>
        <v>Medium</v>
      </c>
    </row>
    <row r="938" spans="1:20" x14ac:dyDescent="0.25">
      <c r="A938" s="2">
        <v>2012</v>
      </c>
      <c r="B938" s="1" t="s">
        <v>29</v>
      </c>
      <c r="C938" s="1" t="s">
        <v>111</v>
      </c>
      <c r="D938" s="1" t="s">
        <v>44</v>
      </c>
      <c r="E938" s="1" t="s">
        <v>71</v>
      </c>
      <c r="F938" s="1" t="s">
        <v>20</v>
      </c>
      <c r="G938" s="1" t="s">
        <v>1506</v>
      </c>
      <c r="H938" s="1" t="s">
        <v>22</v>
      </c>
      <c r="I938" s="1">
        <v>48</v>
      </c>
      <c r="J938" s="1">
        <v>25070</v>
      </c>
      <c r="K938" s="1" t="s">
        <v>91</v>
      </c>
      <c r="L938" s="1" t="s">
        <v>101</v>
      </c>
      <c r="M938" s="1" t="s">
        <v>35</v>
      </c>
      <c r="N938" s="1">
        <v>49400</v>
      </c>
      <c r="O938" s="12">
        <v>50000</v>
      </c>
      <c r="P938" s="3" t="s">
        <v>46</v>
      </c>
      <c r="Q938" s="1" cm="1">
        <f t="array" ref="Q938">VALUE(INDEX(_xlfn.TEXTSPLIT(P938, " "), 4))</f>
        <v>2014</v>
      </c>
      <c r="R938" s="1" t="str">
        <f t="shared" si="14"/>
        <v>BMW 6 Series 650i</v>
      </c>
      <c r="S938" s="1" t="str" cm="1">
        <f t="array" ref="S938">_xlfn.IFS(I938 &gt;= 40, "High", I938&gt;=20, "Medium", I938&lt;20, "Low")</f>
        <v>High</v>
      </c>
      <c r="T938" s="1" t="str" cm="1">
        <f t="array" ref="T938">_xlfn.IFS(O938&lt;18200, "Low", O938&lt;=50000, "Medium", O938&gt;50000, "High")</f>
        <v>Medium</v>
      </c>
    </row>
    <row r="939" spans="1:20" x14ac:dyDescent="0.25">
      <c r="A939" s="2">
        <v>2012</v>
      </c>
      <c r="B939" s="1" t="s">
        <v>1507</v>
      </c>
      <c r="C939" s="1" t="s">
        <v>1508</v>
      </c>
      <c r="D939" s="1" t="s">
        <v>87</v>
      </c>
      <c r="E939" s="1" t="s">
        <v>32</v>
      </c>
      <c r="F939" s="1" t="s">
        <v>20</v>
      </c>
      <c r="G939" s="1" t="s">
        <v>1509</v>
      </c>
      <c r="H939" s="1" t="s">
        <v>22</v>
      </c>
      <c r="I939" s="1">
        <v>35</v>
      </c>
      <c r="J939" s="1">
        <v>65600</v>
      </c>
      <c r="K939" s="1" t="s">
        <v>34</v>
      </c>
      <c r="L939" s="1" t="s">
        <v>24</v>
      </c>
      <c r="M939" s="1" t="s">
        <v>431</v>
      </c>
      <c r="N939" s="1">
        <v>7875</v>
      </c>
      <c r="O939" s="12">
        <v>8300</v>
      </c>
      <c r="P939" s="3" t="s">
        <v>26</v>
      </c>
      <c r="Q939" s="1" cm="1">
        <f t="array" ref="Q939">VALUE(INDEX(_xlfn.TEXTSPLIT(P939, " "), 4))</f>
        <v>2014</v>
      </c>
      <c r="R939" s="1" t="str">
        <f t="shared" si="14"/>
        <v>Dodge Avenger SE</v>
      </c>
      <c r="S939" s="1" t="str" cm="1">
        <f t="array" ref="S939">_xlfn.IFS(I939 &gt;= 40, "High", I939&gt;=20, "Medium", I939&lt;20, "Low")</f>
        <v>Medium</v>
      </c>
      <c r="T939" s="1" t="str" cm="1">
        <f t="array" ref="T939">_xlfn.IFS(O939&lt;18200, "Low", O939&lt;=50000, "Medium", O939&gt;50000, "High")</f>
        <v>Low</v>
      </c>
    </row>
    <row r="940" spans="1:20" x14ac:dyDescent="0.25">
      <c r="A940" s="2">
        <v>2012</v>
      </c>
      <c r="B940" s="1" t="s">
        <v>85</v>
      </c>
      <c r="C940" s="1" t="s">
        <v>1510</v>
      </c>
      <c r="D940" s="1" t="s">
        <v>1511</v>
      </c>
      <c r="E940" s="1" t="s">
        <v>949</v>
      </c>
      <c r="F940" s="1"/>
      <c r="G940" s="1" t="s">
        <v>1512</v>
      </c>
      <c r="H940" s="1" t="s">
        <v>22</v>
      </c>
      <c r="I940" s="1">
        <v>2</v>
      </c>
      <c r="J940" s="1">
        <v>42804</v>
      </c>
      <c r="K940" s="1" t="s">
        <v>23</v>
      </c>
      <c r="L940" s="1" t="s">
        <v>34</v>
      </c>
      <c r="M940" s="1" t="s">
        <v>51</v>
      </c>
      <c r="N940" s="1">
        <v>16150</v>
      </c>
      <c r="O940" s="12">
        <v>16000</v>
      </c>
      <c r="P940" s="3" t="s">
        <v>270</v>
      </c>
      <c r="Q940" s="1" cm="1">
        <f t="array" ref="Q940">VALUE(INDEX(_xlfn.TEXTSPLIT(P940, " "), 4))</f>
        <v>2014</v>
      </c>
      <c r="R940" s="1" t="str">
        <f t="shared" si="14"/>
        <v>Ford E-Series Wagon E-350 Super Duty XL</v>
      </c>
      <c r="S940" s="1" t="str" cm="1">
        <f t="array" ref="S940">_xlfn.IFS(I940 &gt;= 40, "High", I940&gt;=20, "Medium", I940&lt;20, "Low")</f>
        <v>Low</v>
      </c>
      <c r="T940" s="1" t="str" cm="1">
        <f t="array" ref="T940">_xlfn.IFS(O940&lt;18200, "Low", O940&lt;=50000, "Medium", O940&gt;50000, "High")</f>
        <v>Low</v>
      </c>
    </row>
    <row r="941" spans="1:20" x14ac:dyDescent="0.25">
      <c r="A941" s="2">
        <v>2012</v>
      </c>
      <c r="B941" s="1" t="s">
        <v>85</v>
      </c>
      <c r="C941" s="1" t="s">
        <v>1513</v>
      </c>
      <c r="D941" s="1" t="s">
        <v>337</v>
      </c>
      <c r="E941" s="1" t="s">
        <v>19</v>
      </c>
      <c r="F941" s="1" t="s">
        <v>20</v>
      </c>
      <c r="G941" s="1" t="s">
        <v>1514</v>
      </c>
      <c r="H941" s="1" t="s">
        <v>22</v>
      </c>
      <c r="I941" s="1">
        <v>35</v>
      </c>
      <c r="J941" s="1">
        <v>45035</v>
      </c>
      <c r="K941" s="1" t="s">
        <v>34</v>
      </c>
      <c r="L941" s="1" t="s">
        <v>28</v>
      </c>
      <c r="M941" s="1" t="s">
        <v>1515</v>
      </c>
      <c r="N941" s="1">
        <v>15450</v>
      </c>
      <c r="O941" s="12">
        <v>14100</v>
      </c>
      <c r="P941" s="3" t="s">
        <v>68</v>
      </c>
      <c r="Q941" s="1" cm="1">
        <f t="array" ref="Q941">VALUE(INDEX(_xlfn.TEXTSPLIT(P941, " "), 4))</f>
        <v>2014</v>
      </c>
      <c r="R941" s="1" t="str">
        <f t="shared" si="14"/>
        <v>Ford Escape Limited</v>
      </c>
      <c r="S941" s="1" t="str" cm="1">
        <f t="array" ref="S941">_xlfn.IFS(I941 &gt;= 40, "High", I941&gt;=20, "Medium", I941&lt;20, "Low")</f>
        <v>Medium</v>
      </c>
      <c r="T941" s="1" t="str" cm="1">
        <f t="array" ref="T941">_xlfn.IFS(O941&lt;18200, "Low", O941&lt;=50000, "Medium", O941&gt;50000, "High")</f>
        <v>Low</v>
      </c>
    </row>
    <row r="942" spans="1:20" x14ac:dyDescent="0.25">
      <c r="A942" s="2">
        <v>2012</v>
      </c>
      <c r="B942" s="1" t="s">
        <v>1507</v>
      </c>
      <c r="C942" s="1" t="s">
        <v>1508</v>
      </c>
      <c r="D942" s="1" t="s">
        <v>87</v>
      </c>
      <c r="E942" s="1" t="s">
        <v>32</v>
      </c>
      <c r="F942" s="1" t="s">
        <v>20</v>
      </c>
      <c r="G942" s="1" t="s">
        <v>1516</v>
      </c>
      <c r="H942" s="1" t="s">
        <v>22</v>
      </c>
      <c r="I942" s="1">
        <v>35</v>
      </c>
      <c r="J942" s="1">
        <v>38669</v>
      </c>
      <c r="K942" s="1" t="s">
        <v>24</v>
      </c>
      <c r="L942" s="1" t="s">
        <v>24</v>
      </c>
      <c r="M942" s="1" t="s">
        <v>431</v>
      </c>
      <c r="N942" s="1">
        <v>8975</v>
      </c>
      <c r="O942" s="12">
        <v>9400</v>
      </c>
      <c r="P942" s="3" t="s">
        <v>270</v>
      </c>
      <c r="Q942" s="1" cm="1">
        <f t="array" ref="Q942">VALUE(INDEX(_xlfn.TEXTSPLIT(P942, " "), 4))</f>
        <v>2014</v>
      </c>
      <c r="R942" s="1" t="str">
        <f t="shared" si="14"/>
        <v>Dodge Avenger SE</v>
      </c>
      <c r="S942" s="1" t="str" cm="1">
        <f t="array" ref="S942">_xlfn.IFS(I942 &gt;= 40, "High", I942&gt;=20, "Medium", I942&lt;20, "Low")</f>
        <v>Medium</v>
      </c>
      <c r="T942" s="1" t="str" cm="1">
        <f t="array" ref="T942">_xlfn.IFS(O942&lt;18200, "Low", O942&lt;=50000, "Medium", O942&gt;50000, "High")</f>
        <v>Low</v>
      </c>
    </row>
    <row r="943" spans="1:20" x14ac:dyDescent="0.25">
      <c r="A943" s="2">
        <v>2012</v>
      </c>
      <c r="B943" s="1" t="s">
        <v>85</v>
      </c>
      <c r="C943" s="1" t="s">
        <v>1517</v>
      </c>
      <c r="D943" s="1" t="s">
        <v>1518</v>
      </c>
      <c r="E943" s="1" t="s">
        <v>19</v>
      </c>
      <c r="F943" s="1" t="s">
        <v>20</v>
      </c>
      <c r="G943" s="1" t="s">
        <v>1519</v>
      </c>
      <c r="H943" s="1" t="s">
        <v>22</v>
      </c>
      <c r="I943" s="1">
        <v>46</v>
      </c>
      <c r="J943" s="1">
        <v>20035</v>
      </c>
      <c r="K943" s="1" t="s">
        <v>34</v>
      </c>
      <c r="L943" s="1" t="s">
        <v>24</v>
      </c>
      <c r="M943" s="1" t="s">
        <v>1515</v>
      </c>
      <c r="N943" s="1">
        <v>20700</v>
      </c>
      <c r="O943" s="12">
        <v>20800</v>
      </c>
      <c r="P943" s="3" t="s">
        <v>68</v>
      </c>
      <c r="Q943" s="1" cm="1">
        <f t="array" ref="Q943">VALUE(INDEX(_xlfn.TEXTSPLIT(P943, " "), 4))</f>
        <v>2014</v>
      </c>
      <c r="R943" s="1" t="str">
        <f t="shared" si="14"/>
        <v>Ford Edge SEL</v>
      </c>
      <c r="S943" s="1" t="str" cm="1">
        <f t="array" ref="S943">_xlfn.IFS(I943 &gt;= 40, "High", I943&gt;=20, "Medium", I943&lt;20, "Low")</f>
        <v>High</v>
      </c>
      <c r="T943" s="1" t="str" cm="1">
        <f t="array" ref="T943">_xlfn.IFS(O943&lt;18200, "Low", O943&lt;=50000, "Medium", O943&gt;50000, "High")</f>
        <v>Medium</v>
      </c>
    </row>
    <row r="944" spans="1:20" x14ac:dyDescent="0.25">
      <c r="A944" s="2">
        <v>2012</v>
      </c>
      <c r="B944" s="1" t="s">
        <v>29</v>
      </c>
      <c r="C944" s="1" t="s">
        <v>136</v>
      </c>
      <c r="D944" s="1" t="s">
        <v>1520</v>
      </c>
      <c r="E944" s="1" t="s">
        <v>19</v>
      </c>
      <c r="F944" s="1" t="s">
        <v>20</v>
      </c>
      <c r="G944" s="1" t="s">
        <v>1521</v>
      </c>
      <c r="H944" s="1" t="s">
        <v>22</v>
      </c>
      <c r="I944" s="1">
        <v>38</v>
      </c>
      <c r="J944" s="1">
        <v>39302</v>
      </c>
      <c r="K944" s="1" t="s">
        <v>24</v>
      </c>
      <c r="L944" s="1" t="s">
        <v>34</v>
      </c>
      <c r="M944" s="1" t="s">
        <v>35</v>
      </c>
      <c r="N944" s="1">
        <v>36100</v>
      </c>
      <c r="O944" s="12">
        <v>39750</v>
      </c>
      <c r="P944" s="3" t="s">
        <v>46</v>
      </c>
      <c r="Q944" s="1" cm="1">
        <f t="array" ref="Q944">VALUE(INDEX(_xlfn.TEXTSPLIT(P944, " "), 4))</f>
        <v>2014</v>
      </c>
      <c r="R944" s="1" t="str">
        <f t="shared" si="14"/>
        <v>BMW X5 xDrive35i Premium</v>
      </c>
      <c r="S944" s="1" t="str" cm="1">
        <f t="array" ref="S944">_xlfn.IFS(I944 &gt;= 40, "High", I944&gt;=20, "Medium", I944&lt;20, "Low")</f>
        <v>Medium</v>
      </c>
      <c r="T944" s="1" t="str" cm="1">
        <f t="array" ref="T944">_xlfn.IFS(O944&lt;18200, "Low", O944&lt;=50000, "Medium", O944&gt;50000, "High")</f>
        <v>Medium</v>
      </c>
    </row>
    <row r="945" spans="1:20" x14ac:dyDescent="0.25">
      <c r="A945" s="2">
        <v>2012</v>
      </c>
      <c r="B945" s="1" t="s">
        <v>166</v>
      </c>
      <c r="C945" s="1" t="s">
        <v>301</v>
      </c>
      <c r="D945" s="1" t="s">
        <v>54</v>
      </c>
      <c r="E945" s="1" t="s">
        <v>19</v>
      </c>
      <c r="F945" s="1" t="s">
        <v>20</v>
      </c>
      <c r="G945" s="1" t="s">
        <v>1522</v>
      </c>
      <c r="H945" s="1" t="s">
        <v>22</v>
      </c>
      <c r="I945" s="1">
        <v>35</v>
      </c>
      <c r="J945" s="1">
        <v>64568</v>
      </c>
      <c r="K945" s="1" t="s">
        <v>24</v>
      </c>
      <c r="L945" s="1" t="s">
        <v>34</v>
      </c>
      <c r="M945" s="1" t="s">
        <v>849</v>
      </c>
      <c r="N945" s="1">
        <v>16350</v>
      </c>
      <c r="O945" s="12">
        <v>15750</v>
      </c>
      <c r="P945" s="3" t="s">
        <v>46</v>
      </c>
      <c r="Q945" s="1" cm="1">
        <f t="array" ref="Q945">VALUE(INDEX(_xlfn.TEXTSPLIT(P945, " "), 4))</f>
        <v>2014</v>
      </c>
      <c r="R945" s="1" t="str">
        <f t="shared" si="14"/>
        <v>Cadillac SRX Base</v>
      </c>
      <c r="S945" s="1" t="str" cm="1">
        <f t="array" ref="S945">_xlfn.IFS(I945 &gt;= 40, "High", I945&gt;=20, "Medium", I945&lt;20, "Low")</f>
        <v>Medium</v>
      </c>
      <c r="T945" s="1" t="str" cm="1">
        <f t="array" ref="T945">_xlfn.IFS(O945&lt;18200, "Low", O945&lt;=50000, "Medium", O945&gt;50000, "High")</f>
        <v>Low</v>
      </c>
    </row>
    <row r="946" spans="1:20" x14ac:dyDescent="0.25">
      <c r="A946" s="2">
        <v>2012</v>
      </c>
      <c r="B946" s="1" t="s">
        <v>58</v>
      </c>
      <c r="C946" s="1" t="s">
        <v>283</v>
      </c>
      <c r="D946" s="1" t="s">
        <v>70</v>
      </c>
      <c r="E946" s="1" t="s">
        <v>267</v>
      </c>
      <c r="F946" s="1" t="s">
        <v>20</v>
      </c>
      <c r="G946" s="1" t="s">
        <v>1523</v>
      </c>
      <c r="H946" s="1" t="s">
        <v>22</v>
      </c>
      <c r="I946" s="1">
        <v>28</v>
      </c>
      <c r="J946" s="1">
        <v>32104</v>
      </c>
      <c r="K946" s="1" t="s">
        <v>91</v>
      </c>
      <c r="L946" s="1" t="s">
        <v>24</v>
      </c>
      <c r="M946" s="1" t="s">
        <v>680</v>
      </c>
      <c r="N946" s="1">
        <v>23300</v>
      </c>
      <c r="O946" s="12">
        <v>23000</v>
      </c>
      <c r="P946" s="3" t="s">
        <v>57</v>
      </c>
      <c r="Q946" s="1" cm="1">
        <f t="array" ref="Q946">VALUE(INDEX(_xlfn.TEXTSPLIT(P946, " "), 4))</f>
        <v>2014</v>
      </c>
      <c r="R946" s="1" t="str">
        <f t="shared" si="14"/>
        <v>Chevrolet Silverado 1500 LT</v>
      </c>
      <c r="S946" s="1" t="str" cm="1">
        <f t="array" ref="S946">_xlfn.IFS(I946 &gt;= 40, "High", I946&gt;=20, "Medium", I946&lt;20, "Low")</f>
        <v>Medium</v>
      </c>
      <c r="T946" s="1" t="str" cm="1">
        <f t="array" ref="T946">_xlfn.IFS(O946&lt;18200, "Low", O946&lt;=50000, "Medium", O946&gt;50000, "High")</f>
        <v>Medium</v>
      </c>
    </row>
    <row r="947" spans="1:20" x14ac:dyDescent="0.25">
      <c r="A947" s="2">
        <v>2012</v>
      </c>
      <c r="B947" s="1" t="s">
        <v>85</v>
      </c>
      <c r="C947" s="1" t="s">
        <v>1517</v>
      </c>
      <c r="D947" s="1" t="s">
        <v>1518</v>
      </c>
      <c r="E947" s="1" t="s">
        <v>19</v>
      </c>
      <c r="F947" s="1" t="s">
        <v>20</v>
      </c>
      <c r="G947" s="1" t="s">
        <v>1524</v>
      </c>
      <c r="H947" s="1" t="s">
        <v>22</v>
      </c>
      <c r="I947" s="1">
        <v>46</v>
      </c>
      <c r="J947" s="1">
        <v>41115</v>
      </c>
      <c r="K947" s="1" t="s">
        <v>23</v>
      </c>
      <c r="L947" s="1" t="s">
        <v>34</v>
      </c>
      <c r="M947" s="1" t="s">
        <v>1515</v>
      </c>
      <c r="N947" s="1">
        <v>19800</v>
      </c>
      <c r="O947" s="12">
        <v>22100</v>
      </c>
      <c r="P947" s="3" t="s">
        <v>68</v>
      </c>
      <c r="Q947" s="1" cm="1">
        <f t="array" ref="Q947">VALUE(INDEX(_xlfn.TEXTSPLIT(P947, " "), 4))</f>
        <v>2014</v>
      </c>
      <c r="R947" s="1" t="str">
        <f t="shared" si="14"/>
        <v>Ford Edge SEL</v>
      </c>
      <c r="S947" s="1" t="str" cm="1">
        <f t="array" ref="S947">_xlfn.IFS(I947 &gt;= 40, "High", I947&gt;=20, "Medium", I947&lt;20, "Low")</f>
        <v>High</v>
      </c>
      <c r="T947" s="1" t="str" cm="1">
        <f t="array" ref="T947">_xlfn.IFS(O947&lt;18200, "Low", O947&lt;=50000, "Medium", O947&gt;50000, "High")</f>
        <v>Medium</v>
      </c>
    </row>
    <row r="948" spans="1:20" x14ac:dyDescent="0.25">
      <c r="A948" s="2">
        <v>2012</v>
      </c>
      <c r="B948" s="1" t="s">
        <v>85</v>
      </c>
      <c r="C948" s="1" t="s">
        <v>1525</v>
      </c>
      <c r="D948" s="1" t="s">
        <v>1526</v>
      </c>
      <c r="E948" s="1" t="s">
        <v>227</v>
      </c>
      <c r="F948" s="1" t="s">
        <v>20</v>
      </c>
      <c r="G948" s="1" t="s">
        <v>1527</v>
      </c>
      <c r="H948" s="1" t="s">
        <v>22</v>
      </c>
      <c r="I948" s="1">
        <v>3</v>
      </c>
      <c r="J948" s="1">
        <v>26747</v>
      </c>
      <c r="K948" s="1" t="s">
        <v>73</v>
      </c>
      <c r="L948" s="1" t="s">
        <v>24</v>
      </c>
      <c r="M948" s="1" t="s">
        <v>1528</v>
      </c>
      <c r="N948" s="1">
        <v>12900</v>
      </c>
      <c r="O948" s="12">
        <v>14000</v>
      </c>
      <c r="P948" s="3" t="s">
        <v>57</v>
      </c>
      <c r="Q948" s="1" cm="1">
        <f t="array" ref="Q948">VALUE(INDEX(_xlfn.TEXTSPLIT(P948, " "), 4))</f>
        <v>2014</v>
      </c>
      <c r="R948" s="1" t="str">
        <f t="shared" si="14"/>
        <v>Ford Focus Titanium</v>
      </c>
      <c r="S948" s="1" t="str" cm="1">
        <f t="array" ref="S948">_xlfn.IFS(I948 &gt;= 40, "High", I948&gt;=20, "Medium", I948&lt;20, "Low")</f>
        <v>Low</v>
      </c>
      <c r="T948" s="1" t="str" cm="1">
        <f t="array" ref="T948">_xlfn.IFS(O948&lt;18200, "Low", O948&lt;=50000, "Medium", O948&gt;50000, "High")</f>
        <v>Low</v>
      </c>
    </row>
    <row r="949" spans="1:20" x14ac:dyDescent="0.25">
      <c r="A949" s="2">
        <v>2012</v>
      </c>
      <c r="B949" s="1" t="s">
        <v>85</v>
      </c>
      <c r="C949" s="1" t="s">
        <v>1529</v>
      </c>
      <c r="D949" s="1" t="s">
        <v>337</v>
      </c>
      <c r="E949" s="1" t="s">
        <v>130</v>
      </c>
      <c r="F949" s="1"/>
      <c r="G949" s="1" t="s">
        <v>1530</v>
      </c>
      <c r="H949" s="1" t="s">
        <v>22</v>
      </c>
      <c r="I949" s="1"/>
      <c r="J949" s="1">
        <v>53527</v>
      </c>
      <c r="K949" s="1" t="s">
        <v>91</v>
      </c>
      <c r="L949" s="1" t="s">
        <v>101</v>
      </c>
      <c r="M949" s="1" t="s">
        <v>1531</v>
      </c>
      <c r="N949" s="1">
        <v>19350</v>
      </c>
      <c r="O949" s="12">
        <v>16750</v>
      </c>
      <c r="P949" s="3" t="s">
        <v>68</v>
      </c>
      <c r="Q949" s="1" cm="1">
        <f t="array" ref="Q949">VALUE(INDEX(_xlfn.TEXTSPLIT(P949, " "), 4))</f>
        <v>2014</v>
      </c>
      <c r="R949" s="1" t="str">
        <f t="shared" si="14"/>
        <v>Ford Flex Limited</v>
      </c>
      <c r="S949" s="1" t="str" cm="1">
        <f t="array" ref="S949">_xlfn.IFS(I949 &gt;= 40, "High", I949&gt;=20, "Medium", I949&lt;20, "Low")</f>
        <v>Low</v>
      </c>
      <c r="T949" s="1" t="str" cm="1">
        <f t="array" ref="T949">_xlfn.IFS(O949&lt;18200, "Low", O949&lt;=50000, "Medium", O949&gt;50000, "High")</f>
        <v>Low</v>
      </c>
    </row>
    <row r="950" spans="1:20" x14ac:dyDescent="0.25">
      <c r="A950" s="2">
        <v>2012</v>
      </c>
      <c r="B950" s="1" t="s">
        <v>29</v>
      </c>
      <c r="C950" s="1" t="s">
        <v>1532</v>
      </c>
      <c r="D950" s="1" t="s">
        <v>234</v>
      </c>
      <c r="E950" s="1" t="s">
        <v>71</v>
      </c>
      <c r="F950" s="1" t="s">
        <v>20</v>
      </c>
      <c r="G950" s="1" t="s">
        <v>1533</v>
      </c>
      <c r="H950" s="1" t="s">
        <v>22</v>
      </c>
      <c r="I950" s="1">
        <v>45</v>
      </c>
      <c r="J950" s="1">
        <v>19767</v>
      </c>
      <c r="K950" s="1" t="s">
        <v>24</v>
      </c>
      <c r="L950" s="1" t="s">
        <v>24</v>
      </c>
      <c r="M950" s="1" t="s">
        <v>35</v>
      </c>
      <c r="N950" s="1">
        <v>31000</v>
      </c>
      <c r="O950" s="12">
        <v>32000</v>
      </c>
      <c r="P950" s="3" t="s">
        <v>36</v>
      </c>
      <c r="Q950" s="1" cm="1">
        <f t="array" ref="Q950">VALUE(INDEX(_xlfn.TEXTSPLIT(P950, " "), 4))</f>
        <v>2015</v>
      </c>
      <c r="R950" s="1" t="str">
        <f t="shared" si="14"/>
        <v>BMW Z4 sDrive28i</v>
      </c>
      <c r="S950" s="1" t="str" cm="1">
        <f t="array" ref="S950">_xlfn.IFS(I950 &gt;= 40, "High", I950&gt;=20, "Medium", I950&lt;20, "Low")</f>
        <v>High</v>
      </c>
      <c r="T950" s="1" t="str" cm="1">
        <f t="array" ref="T950">_xlfn.IFS(O950&lt;18200, "Low", O950&lt;=50000, "Medium", O950&gt;50000, "High")</f>
        <v>Medium</v>
      </c>
    </row>
    <row r="951" spans="1:20" x14ac:dyDescent="0.25">
      <c r="A951" s="2">
        <v>2012</v>
      </c>
      <c r="B951" s="1" t="s">
        <v>29</v>
      </c>
      <c r="C951" s="1" t="s">
        <v>136</v>
      </c>
      <c r="D951" s="1" t="s">
        <v>1534</v>
      </c>
      <c r="E951" s="1" t="s">
        <v>19</v>
      </c>
      <c r="F951" s="1" t="s">
        <v>20</v>
      </c>
      <c r="G951" s="1" t="s">
        <v>1535</v>
      </c>
      <c r="H951" s="1" t="s">
        <v>22</v>
      </c>
      <c r="I951" s="1">
        <v>36</v>
      </c>
      <c r="J951" s="1">
        <v>38715</v>
      </c>
      <c r="K951" s="1" t="s">
        <v>24</v>
      </c>
      <c r="L951" s="1" t="s">
        <v>28</v>
      </c>
      <c r="M951" s="1" t="s">
        <v>35</v>
      </c>
      <c r="N951" s="1">
        <v>36400</v>
      </c>
      <c r="O951" s="12">
        <v>34000</v>
      </c>
      <c r="P951" s="3" t="s">
        <v>42</v>
      </c>
      <c r="Q951" s="1" cm="1">
        <f t="array" ref="Q951">VALUE(INDEX(_xlfn.TEXTSPLIT(P951, " "), 4))</f>
        <v>2015</v>
      </c>
      <c r="R951" s="1" t="str">
        <f t="shared" si="14"/>
        <v>BMW X5 xDrive35d</v>
      </c>
      <c r="S951" s="1" t="str" cm="1">
        <f t="array" ref="S951">_xlfn.IFS(I951 &gt;= 40, "High", I951&gt;=20, "Medium", I951&lt;20, "Low")</f>
        <v>Medium</v>
      </c>
      <c r="T951" s="1" t="str" cm="1">
        <f t="array" ref="T951">_xlfn.IFS(O951&lt;18200, "Low", O951&lt;=50000, "Medium", O951&gt;50000, "High")</f>
        <v>Medium</v>
      </c>
    </row>
    <row r="952" spans="1:20" x14ac:dyDescent="0.25">
      <c r="A952" s="2">
        <v>2012</v>
      </c>
      <c r="B952" s="1" t="s">
        <v>58</v>
      </c>
      <c r="C952" s="1" t="s">
        <v>59</v>
      </c>
      <c r="D952" s="1" t="s">
        <v>1536</v>
      </c>
      <c r="E952" s="1" t="s">
        <v>32</v>
      </c>
      <c r="F952" s="1" t="s">
        <v>20</v>
      </c>
      <c r="G952" s="1" t="s">
        <v>1537</v>
      </c>
      <c r="H952" s="1" t="s">
        <v>22</v>
      </c>
      <c r="I952" s="1">
        <v>39</v>
      </c>
      <c r="J952" s="1">
        <v>69407</v>
      </c>
      <c r="K952" s="1" t="s">
        <v>23</v>
      </c>
      <c r="L952" s="1" t="s">
        <v>34</v>
      </c>
      <c r="M952" s="1" t="s">
        <v>1538</v>
      </c>
      <c r="N952" s="1">
        <v>7950</v>
      </c>
      <c r="O952" s="12">
        <v>9000</v>
      </c>
      <c r="P952" s="3" t="s">
        <v>57</v>
      </c>
      <c r="Q952" s="1" cm="1">
        <f t="array" ref="Q952">VALUE(INDEX(_xlfn.TEXTSPLIT(P952, " "), 4))</f>
        <v>2014</v>
      </c>
      <c r="R952" s="1" t="str">
        <f t="shared" si="14"/>
        <v>Chevrolet Cruze LT Fleet</v>
      </c>
      <c r="S952" s="1" t="str" cm="1">
        <f t="array" ref="S952">_xlfn.IFS(I952 &gt;= 40, "High", I952&gt;=20, "Medium", I952&lt;20, "Low")</f>
        <v>Medium</v>
      </c>
      <c r="T952" s="1" t="str" cm="1">
        <f t="array" ref="T952">_xlfn.IFS(O952&lt;18200, "Low", O952&lt;=50000, "Medium", O952&gt;50000, "High")</f>
        <v>Low</v>
      </c>
    </row>
    <row r="953" spans="1:20" x14ac:dyDescent="0.25">
      <c r="A953" s="2">
        <v>2012</v>
      </c>
      <c r="B953" s="1" t="s">
        <v>58</v>
      </c>
      <c r="C953" s="1" t="s">
        <v>1539</v>
      </c>
      <c r="D953" s="1" t="s">
        <v>106</v>
      </c>
      <c r="E953" s="1" t="s">
        <v>19</v>
      </c>
      <c r="F953" s="1" t="s">
        <v>20</v>
      </c>
      <c r="G953" s="1" t="s">
        <v>1540</v>
      </c>
      <c r="H953" s="1" t="s">
        <v>22</v>
      </c>
      <c r="I953" s="1">
        <v>4</v>
      </c>
      <c r="J953" s="1">
        <v>41873</v>
      </c>
      <c r="K953" s="1" t="s">
        <v>23</v>
      </c>
      <c r="L953" s="1" t="s">
        <v>34</v>
      </c>
      <c r="M953" s="1" t="s">
        <v>728</v>
      </c>
      <c r="N953" s="1">
        <v>16600</v>
      </c>
      <c r="O953" s="12">
        <v>18200</v>
      </c>
      <c r="P953" s="3" t="s">
        <v>57</v>
      </c>
      <c r="Q953" s="1" cm="1">
        <f t="array" ref="Q953">VALUE(INDEX(_xlfn.TEXTSPLIT(P953, " "), 4))</f>
        <v>2014</v>
      </c>
      <c r="R953" s="1" t="str">
        <f t="shared" si="14"/>
        <v>Chevrolet Traverse LS</v>
      </c>
      <c r="S953" s="1" t="str" cm="1">
        <f t="array" ref="S953">_xlfn.IFS(I953 &gt;= 40, "High", I953&gt;=20, "Medium", I953&lt;20, "Low")</f>
        <v>Low</v>
      </c>
      <c r="T953" s="1" t="str" cm="1">
        <f t="array" ref="T953">_xlfn.IFS(O953&lt;18200, "Low", O953&lt;=50000, "Medium", O953&gt;50000, "High")</f>
        <v>Medium</v>
      </c>
    </row>
    <row r="954" spans="1:20" x14ac:dyDescent="0.25">
      <c r="A954" s="2">
        <v>2012</v>
      </c>
      <c r="B954" s="1" t="s">
        <v>58</v>
      </c>
      <c r="C954" s="1" t="s">
        <v>199</v>
      </c>
      <c r="D954" s="1" t="s">
        <v>1541</v>
      </c>
      <c r="E954" s="1" t="s">
        <v>32</v>
      </c>
      <c r="F954" s="1" t="s">
        <v>20</v>
      </c>
      <c r="G954" s="1" t="s">
        <v>1542</v>
      </c>
      <c r="H954" s="1" t="s">
        <v>22</v>
      </c>
      <c r="I954" s="1">
        <v>29</v>
      </c>
      <c r="J954" s="1">
        <v>67196</v>
      </c>
      <c r="K954" s="1" t="s">
        <v>24</v>
      </c>
      <c r="L954" s="1" t="s">
        <v>34</v>
      </c>
      <c r="M954" s="1" t="s">
        <v>56</v>
      </c>
      <c r="N954" s="1">
        <v>8425</v>
      </c>
      <c r="O954" s="12">
        <v>9300</v>
      </c>
      <c r="P954" s="3" t="s">
        <v>26</v>
      </c>
      <c r="Q954" s="1" cm="1">
        <f t="array" ref="Q954">VALUE(INDEX(_xlfn.TEXTSPLIT(P954, " "), 4))</f>
        <v>2014</v>
      </c>
      <c r="R954" s="1" t="str">
        <f t="shared" si="14"/>
        <v>Chevrolet Malibu LS Fleet</v>
      </c>
      <c r="S954" s="1" t="str" cm="1">
        <f t="array" ref="S954">_xlfn.IFS(I954 &gt;= 40, "High", I954&gt;=20, "Medium", I954&lt;20, "Low")</f>
        <v>Medium</v>
      </c>
      <c r="T954" s="1" t="str" cm="1">
        <f t="array" ref="T954">_xlfn.IFS(O954&lt;18200, "Low", O954&lt;=50000, "Medium", O954&gt;50000, "High")</f>
        <v>Low</v>
      </c>
    </row>
    <row r="955" spans="1:20" x14ac:dyDescent="0.25">
      <c r="A955" s="2">
        <v>2012</v>
      </c>
      <c r="B955" s="1" t="s">
        <v>85</v>
      </c>
      <c r="C955" s="1" t="s">
        <v>1525</v>
      </c>
      <c r="D955" s="1" t="s">
        <v>1526</v>
      </c>
      <c r="E955" s="1" t="s">
        <v>227</v>
      </c>
      <c r="F955" s="1" t="s">
        <v>20</v>
      </c>
      <c r="G955" s="1" t="s">
        <v>1543</v>
      </c>
      <c r="H955" s="1" t="s">
        <v>22</v>
      </c>
      <c r="I955" s="1">
        <v>39</v>
      </c>
      <c r="J955" s="1">
        <v>29499</v>
      </c>
      <c r="K955" s="1" t="s">
        <v>24</v>
      </c>
      <c r="L955" s="1" t="s">
        <v>24</v>
      </c>
      <c r="M955" s="1" t="s">
        <v>1515</v>
      </c>
      <c r="N955" s="1">
        <v>12900</v>
      </c>
      <c r="O955" s="12">
        <v>14900</v>
      </c>
      <c r="P955" s="3" t="s">
        <v>68</v>
      </c>
      <c r="Q955" s="1" cm="1">
        <f t="array" ref="Q955">VALUE(INDEX(_xlfn.TEXTSPLIT(P955, " "), 4))</f>
        <v>2014</v>
      </c>
      <c r="R955" s="1" t="str">
        <f t="shared" si="14"/>
        <v>Ford Focus Titanium</v>
      </c>
      <c r="S955" s="1" t="str" cm="1">
        <f t="array" ref="S955">_xlfn.IFS(I955 &gt;= 40, "High", I955&gt;=20, "Medium", I955&lt;20, "Low")</f>
        <v>Medium</v>
      </c>
      <c r="T955" s="1" t="str" cm="1">
        <f t="array" ref="T955">_xlfn.IFS(O955&lt;18200, "Low", O955&lt;=50000, "Medium", O955&gt;50000, "High")</f>
        <v>Low</v>
      </c>
    </row>
    <row r="956" spans="1:20" x14ac:dyDescent="0.25">
      <c r="A956" s="2">
        <v>2012</v>
      </c>
      <c r="B956" s="1" t="s">
        <v>85</v>
      </c>
      <c r="C956" s="1" t="s">
        <v>1525</v>
      </c>
      <c r="D956" s="1" t="s">
        <v>87</v>
      </c>
      <c r="E956" s="1" t="s">
        <v>32</v>
      </c>
      <c r="F956" s="1" t="s">
        <v>20</v>
      </c>
      <c r="G956" s="1" t="s">
        <v>1544</v>
      </c>
      <c r="H956" s="1" t="s">
        <v>22</v>
      </c>
      <c r="I956" s="1">
        <v>3</v>
      </c>
      <c r="J956" s="1">
        <v>64750</v>
      </c>
      <c r="K956" s="1" t="s">
        <v>73</v>
      </c>
      <c r="L956" s="1" t="s">
        <v>24</v>
      </c>
      <c r="M956" s="1" t="s">
        <v>1528</v>
      </c>
      <c r="N956" s="1">
        <v>8150</v>
      </c>
      <c r="O956" s="12">
        <v>8500</v>
      </c>
      <c r="P956" s="3" t="s">
        <v>57</v>
      </c>
      <c r="Q956" s="1" cm="1">
        <f t="array" ref="Q956">VALUE(INDEX(_xlfn.TEXTSPLIT(P956, " "), 4))</f>
        <v>2014</v>
      </c>
      <c r="R956" s="1" t="str">
        <f t="shared" si="14"/>
        <v>Ford Focus SE</v>
      </c>
      <c r="S956" s="1" t="str" cm="1">
        <f t="array" ref="S956">_xlfn.IFS(I956 &gt;= 40, "High", I956&gt;=20, "Medium", I956&lt;20, "Low")</f>
        <v>Low</v>
      </c>
      <c r="T956" s="1" t="str" cm="1">
        <f t="array" ref="T956">_xlfn.IFS(O956&lt;18200, "Low", O956&lt;=50000, "Medium", O956&gt;50000, "High")</f>
        <v>Low</v>
      </c>
    </row>
    <row r="957" spans="1:20" x14ac:dyDescent="0.25">
      <c r="A957" s="2">
        <v>2012</v>
      </c>
      <c r="B957" s="1" t="s">
        <v>58</v>
      </c>
      <c r="C957" s="1" t="s">
        <v>265</v>
      </c>
      <c r="D957" s="1" t="s">
        <v>266</v>
      </c>
      <c r="E957" s="1" t="s">
        <v>267</v>
      </c>
      <c r="F957" s="1" t="s">
        <v>20</v>
      </c>
      <c r="G957" s="1" t="s">
        <v>1545</v>
      </c>
      <c r="H957" s="1" t="s">
        <v>22</v>
      </c>
      <c r="I957" s="1">
        <v>29</v>
      </c>
      <c r="J957" s="1">
        <v>38079</v>
      </c>
      <c r="K957" s="1" t="s">
        <v>23</v>
      </c>
      <c r="L957" s="1" t="s">
        <v>101</v>
      </c>
      <c r="M957" s="1" t="s">
        <v>728</v>
      </c>
      <c r="N957" s="1">
        <v>24900</v>
      </c>
      <c r="O957" s="12">
        <v>24750</v>
      </c>
      <c r="P957" s="3" t="s">
        <v>57</v>
      </c>
      <c r="Q957" s="1" cm="1">
        <f t="array" ref="Q957">VALUE(INDEX(_xlfn.TEXTSPLIT(P957, " "), 4))</f>
        <v>2014</v>
      </c>
      <c r="R957" s="1" t="str">
        <f t="shared" si="14"/>
        <v>Chevrolet Silverado 2500HD Work Truck</v>
      </c>
      <c r="S957" s="1" t="str" cm="1">
        <f t="array" ref="S957">_xlfn.IFS(I957 &gt;= 40, "High", I957&gt;=20, "Medium", I957&lt;20, "Low")</f>
        <v>Medium</v>
      </c>
      <c r="T957" s="1" t="str" cm="1">
        <f t="array" ref="T957">_xlfn.IFS(O957&lt;18200, "Low", O957&lt;=50000, "Medium", O957&gt;50000, "High")</f>
        <v>Medium</v>
      </c>
    </row>
    <row r="958" spans="1:20" x14ac:dyDescent="0.25">
      <c r="A958" s="2">
        <v>2012</v>
      </c>
      <c r="B958" s="1" t="s">
        <v>85</v>
      </c>
      <c r="C958" s="1" t="s">
        <v>1546</v>
      </c>
      <c r="D958" s="1" t="s">
        <v>1547</v>
      </c>
      <c r="E958" s="1" t="s">
        <v>267</v>
      </c>
      <c r="F958" s="1" t="s">
        <v>20</v>
      </c>
      <c r="G958" s="1" t="s">
        <v>1548</v>
      </c>
      <c r="H958" s="1" t="s">
        <v>22</v>
      </c>
      <c r="I958" s="1">
        <v>42</v>
      </c>
      <c r="J958" s="1">
        <v>31076</v>
      </c>
      <c r="K958" s="1" t="s">
        <v>34</v>
      </c>
      <c r="L958" s="1" t="s">
        <v>24</v>
      </c>
      <c r="M958" s="1" t="s">
        <v>849</v>
      </c>
      <c r="N958" s="1">
        <v>41800</v>
      </c>
      <c r="O958" s="12">
        <v>44750</v>
      </c>
      <c r="P958" s="3" t="s">
        <v>26</v>
      </c>
      <c r="Q958" s="1" cm="1">
        <f t="array" ref="Q958">VALUE(INDEX(_xlfn.TEXTSPLIT(P958, " "), 4))</f>
        <v>2014</v>
      </c>
      <c r="R958" s="1" t="str">
        <f t="shared" si="14"/>
        <v>Ford F-350 Super Duty Lariat</v>
      </c>
      <c r="S958" s="1" t="str" cm="1">
        <f t="array" ref="S958">_xlfn.IFS(I958 &gt;= 40, "High", I958&gt;=20, "Medium", I958&lt;20, "Low")</f>
        <v>High</v>
      </c>
      <c r="T958" s="1" t="str" cm="1">
        <f t="array" ref="T958">_xlfn.IFS(O958&lt;18200, "Low", O958&lt;=50000, "Medium", O958&gt;50000, "High")</f>
        <v>Medium</v>
      </c>
    </row>
    <row r="959" spans="1:20" x14ac:dyDescent="0.25">
      <c r="A959" s="2">
        <v>2012</v>
      </c>
      <c r="B959" s="1" t="s">
        <v>155</v>
      </c>
      <c r="C959" s="1" t="s">
        <v>246</v>
      </c>
      <c r="D959" s="1" t="s">
        <v>247</v>
      </c>
      <c r="E959" s="1" t="s">
        <v>19</v>
      </c>
      <c r="F959" s="1" t="s">
        <v>20</v>
      </c>
      <c r="G959" s="1" t="s">
        <v>1549</v>
      </c>
      <c r="H959" s="1" t="s">
        <v>22</v>
      </c>
      <c r="I959" s="1">
        <v>37</v>
      </c>
      <c r="J959" s="1">
        <v>21147</v>
      </c>
      <c r="K959" s="1" t="s">
        <v>91</v>
      </c>
      <c r="L959" s="1" t="s">
        <v>24</v>
      </c>
      <c r="M959" s="1" t="s">
        <v>1550</v>
      </c>
      <c r="N959" s="1">
        <v>25800</v>
      </c>
      <c r="O959" s="12">
        <v>24500</v>
      </c>
      <c r="P959" s="3" t="s">
        <v>26</v>
      </c>
      <c r="Q959" s="1" cm="1">
        <f t="array" ref="Q959">VALUE(INDEX(_xlfn.TEXTSPLIT(P959, " "), 4))</f>
        <v>2014</v>
      </c>
      <c r="R959" s="1" t="str">
        <f t="shared" si="14"/>
        <v>Buick Enclave Leather Group</v>
      </c>
      <c r="S959" s="1" t="str" cm="1">
        <f t="array" ref="S959">_xlfn.IFS(I959 &gt;= 40, "High", I959&gt;=20, "Medium", I959&lt;20, "Low")</f>
        <v>Medium</v>
      </c>
      <c r="T959" s="1" t="str" cm="1">
        <f t="array" ref="T959">_xlfn.IFS(O959&lt;18200, "Low", O959&lt;=50000, "Medium", O959&gt;50000, "High")</f>
        <v>Medium</v>
      </c>
    </row>
    <row r="960" spans="1:20" x14ac:dyDescent="0.25">
      <c r="A960" s="2">
        <v>2012</v>
      </c>
      <c r="B960" s="1" t="s">
        <v>85</v>
      </c>
      <c r="C960" s="1" t="s">
        <v>1551</v>
      </c>
      <c r="D960" s="1" t="s">
        <v>1552</v>
      </c>
      <c r="E960" s="1" t="s">
        <v>227</v>
      </c>
      <c r="F960" s="1" t="s">
        <v>20</v>
      </c>
      <c r="G960" s="1" t="s">
        <v>1553</v>
      </c>
      <c r="H960" s="1" t="s">
        <v>22</v>
      </c>
      <c r="I960" s="1">
        <v>25</v>
      </c>
      <c r="J960" s="1">
        <v>38159</v>
      </c>
      <c r="K960" s="1" t="s">
        <v>23</v>
      </c>
      <c r="L960" s="1" t="s">
        <v>24</v>
      </c>
      <c r="M960" s="1" t="s">
        <v>1554</v>
      </c>
      <c r="N960" s="1">
        <v>9250</v>
      </c>
      <c r="O960" s="12">
        <v>5500</v>
      </c>
      <c r="P960" s="3" t="s">
        <v>26</v>
      </c>
      <c r="Q960" s="1" cm="1">
        <f t="array" ref="Q960">VALUE(INDEX(_xlfn.TEXTSPLIT(P960, " "), 4))</f>
        <v>2014</v>
      </c>
      <c r="R960" s="1" t="str">
        <f t="shared" si="14"/>
        <v>Ford Fiesta SES</v>
      </c>
      <c r="S960" s="1" t="str" cm="1">
        <f t="array" ref="S960">_xlfn.IFS(I960 &gt;= 40, "High", I960&gt;=20, "Medium", I960&lt;20, "Low")</f>
        <v>Medium</v>
      </c>
      <c r="T960" s="1" t="str" cm="1">
        <f t="array" ref="T960">_xlfn.IFS(O960&lt;18200, "Low", O960&lt;=50000, "Medium", O960&gt;50000, "High")</f>
        <v>Low</v>
      </c>
    </row>
    <row r="961" spans="1:20" x14ac:dyDescent="0.25">
      <c r="A961" s="2">
        <v>2012</v>
      </c>
      <c r="B961" s="1" t="s">
        <v>58</v>
      </c>
      <c r="C961" s="1" t="s">
        <v>59</v>
      </c>
      <c r="D961" s="1" t="s">
        <v>1536</v>
      </c>
      <c r="E961" s="1" t="s">
        <v>32</v>
      </c>
      <c r="F961" s="1" t="s">
        <v>20</v>
      </c>
      <c r="G961" s="1" t="s">
        <v>1555</v>
      </c>
      <c r="H961" s="1" t="s">
        <v>22</v>
      </c>
      <c r="I961" s="1">
        <v>27</v>
      </c>
      <c r="J961" s="1">
        <v>60360</v>
      </c>
      <c r="K961" s="1" t="s">
        <v>23</v>
      </c>
      <c r="L961" s="1" t="s">
        <v>24</v>
      </c>
      <c r="M961" s="1" t="s">
        <v>555</v>
      </c>
      <c r="N961" s="1">
        <v>8300</v>
      </c>
      <c r="O961" s="12">
        <v>8800</v>
      </c>
      <c r="P961" s="3" t="s">
        <v>68</v>
      </c>
      <c r="Q961" s="1" cm="1">
        <f t="array" ref="Q961">VALUE(INDEX(_xlfn.TEXTSPLIT(P961, " "), 4))</f>
        <v>2014</v>
      </c>
      <c r="R961" s="1" t="str">
        <f t="shared" si="14"/>
        <v>Chevrolet Cruze LT Fleet</v>
      </c>
      <c r="S961" s="1" t="str" cm="1">
        <f t="array" ref="S961">_xlfn.IFS(I961 &gt;= 40, "High", I961&gt;=20, "Medium", I961&lt;20, "Low")</f>
        <v>Medium</v>
      </c>
      <c r="T961" s="1" t="str" cm="1">
        <f t="array" ref="T961">_xlfn.IFS(O961&lt;18200, "Low", O961&lt;=50000, "Medium", O961&gt;50000, "High")</f>
        <v>Low</v>
      </c>
    </row>
    <row r="962" spans="1:20" x14ac:dyDescent="0.25">
      <c r="A962" s="2">
        <v>2012</v>
      </c>
      <c r="B962" s="1" t="s">
        <v>85</v>
      </c>
      <c r="C962" s="1" t="s">
        <v>1513</v>
      </c>
      <c r="D962" s="1" t="s">
        <v>337</v>
      </c>
      <c r="E962" s="1" t="s">
        <v>19</v>
      </c>
      <c r="F962" s="1"/>
      <c r="G962" s="1" t="s">
        <v>1556</v>
      </c>
      <c r="H962" s="1" t="s">
        <v>22</v>
      </c>
      <c r="I962" s="1">
        <v>2</v>
      </c>
      <c r="J962" s="1">
        <v>65503</v>
      </c>
      <c r="K962" s="1" t="s">
        <v>23</v>
      </c>
      <c r="L962" s="1" t="s">
        <v>28</v>
      </c>
      <c r="M962" s="1" t="s">
        <v>1192</v>
      </c>
      <c r="N962" s="1">
        <v>15200</v>
      </c>
      <c r="O962" s="12">
        <v>6000</v>
      </c>
      <c r="P962" s="3" t="s">
        <v>693</v>
      </c>
      <c r="Q962" s="1" cm="1">
        <f t="array" ref="Q962">VALUE(INDEX(_xlfn.TEXTSPLIT(P962, " "), 4))</f>
        <v>2014</v>
      </c>
      <c r="R962" s="1" t="str">
        <f t="shared" si="14"/>
        <v>Ford Escape Limited</v>
      </c>
      <c r="S962" s="1" t="str" cm="1">
        <f t="array" ref="S962">_xlfn.IFS(I962 &gt;= 40, "High", I962&gt;=20, "Medium", I962&lt;20, "Low")</f>
        <v>Low</v>
      </c>
      <c r="T962" s="1" t="str" cm="1">
        <f t="array" ref="T962">_xlfn.IFS(O962&lt;18200, "Low", O962&lt;=50000, "Medium", O962&gt;50000, "High")</f>
        <v>Low</v>
      </c>
    </row>
    <row r="963" spans="1:20" x14ac:dyDescent="0.25">
      <c r="A963" s="2">
        <v>2012</v>
      </c>
      <c r="B963" s="1" t="s">
        <v>1557</v>
      </c>
      <c r="C963" s="1">
        <v>500</v>
      </c>
      <c r="D963" s="1" t="s">
        <v>368</v>
      </c>
      <c r="E963" s="1" t="s">
        <v>227</v>
      </c>
      <c r="F963" s="1" t="s">
        <v>214</v>
      </c>
      <c r="G963" s="1" t="s">
        <v>1558</v>
      </c>
      <c r="H963" s="1" t="s">
        <v>22</v>
      </c>
      <c r="I963" s="1">
        <v>28</v>
      </c>
      <c r="J963" s="1">
        <v>37547</v>
      </c>
      <c r="K963" s="1" t="s">
        <v>24</v>
      </c>
      <c r="L963" s="1" t="s">
        <v>24</v>
      </c>
      <c r="M963" s="1" t="s">
        <v>1559</v>
      </c>
      <c r="N963" s="1">
        <v>8575</v>
      </c>
      <c r="O963" s="12">
        <v>8000</v>
      </c>
      <c r="P963" s="3" t="s">
        <v>84</v>
      </c>
      <c r="Q963" s="1" cm="1">
        <f t="array" ref="Q963">VALUE(INDEX(_xlfn.TEXTSPLIT(P963, " "), 4))</f>
        <v>2014</v>
      </c>
      <c r="R963" s="1" t="str">
        <f t="shared" ref="R963:R1026" si="15">_xlfn.TEXTJOIN(" ", TRUE, B963, C963, D963)</f>
        <v>FIAT 500 Sport</v>
      </c>
      <c r="S963" s="1" t="str" cm="1">
        <f t="array" ref="S963">_xlfn.IFS(I963 &gt;= 40, "High", I963&gt;=20, "Medium", I963&lt;20, "Low")</f>
        <v>Medium</v>
      </c>
      <c r="T963" s="1" t="str" cm="1">
        <f t="array" ref="T963">_xlfn.IFS(O963&lt;18200, "Low", O963&lt;=50000, "Medium", O963&gt;50000, "High")</f>
        <v>Low</v>
      </c>
    </row>
    <row r="964" spans="1:20" x14ac:dyDescent="0.25">
      <c r="A964" s="2">
        <v>2012</v>
      </c>
      <c r="B964" s="1" t="s">
        <v>29</v>
      </c>
      <c r="C964" s="1" t="s">
        <v>136</v>
      </c>
      <c r="D964" s="1" t="s">
        <v>1520</v>
      </c>
      <c r="E964" s="1" t="s">
        <v>19</v>
      </c>
      <c r="F964" s="1" t="s">
        <v>20</v>
      </c>
      <c r="G964" s="1" t="s">
        <v>1560</v>
      </c>
      <c r="H964" s="1" t="s">
        <v>22</v>
      </c>
      <c r="I964" s="1">
        <v>33</v>
      </c>
      <c r="J964" s="1">
        <v>56780</v>
      </c>
      <c r="K964" s="1" t="s">
        <v>24</v>
      </c>
      <c r="L964" s="1" t="s">
        <v>24</v>
      </c>
      <c r="M964" s="1" t="s">
        <v>1561</v>
      </c>
      <c r="N964" s="1">
        <v>30200</v>
      </c>
      <c r="O964" s="12">
        <v>30000</v>
      </c>
      <c r="P964" s="3" t="s">
        <v>46</v>
      </c>
      <c r="Q964" s="1" cm="1">
        <f t="array" ref="Q964">VALUE(INDEX(_xlfn.TEXTSPLIT(P964, " "), 4))</f>
        <v>2014</v>
      </c>
      <c r="R964" s="1" t="str">
        <f t="shared" si="15"/>
        <v>BMW X5 xDrive35i Premium</v>
      </c>
      <c r="S964" s="1" t="str" cm="1">
        <f t="array" ref="S964">_xlfn.IFS(I964 &gt;= 40, "High", I964&gt;=20, "Medium", I964&lt;20, "Low")</f>
        <v>Medium</v>
      </c>
      <c r="T964" s="1" t="str" cm="1">
        <f t="array" ref="T964">_xlfn.IFS(O964&lt;18200, "Low", O964&lt;=50000, "Medium", O964&gt;50000, "High")</f>
        <v>Medium</v>
      </c>
    </row>
    <row r="965" spans="1:20" x14ac:dyDescent="0.25">
      <c r="A965" s="2">
        <v>2012</v>
      </c>
      <c r="B965" s="1" t="s">
        <v>1562</v>
      </c>
      <c r="C965" s="1">
        <v>200</v>
      </c>
      <c r="D965" s="1" t="s">
        <v>18</v>
      </c>
      <c r="E965" s="1" t="s">
        <v>32</v>
      </c>
      <c r="F965" s="1" t="s">
        <v>20</v>
      </c>
      <c r="G965" s="1" t="s">
        <v>1563</v>
      </c>
      <c r="H965" s="1" t="s">
        <v>22</v>
      </c>
      <c r="I965" s="1">
        <v>21</v>
      </c>
      <c r="J965" s="1">
        <v>55277</v>
      </c>
      <c r="K965" s="1" t="s">
        <v>24</v>
      </c>
      <c r="L965" s="1" t="s">
        <v>24</v>
      </c>
      <c r="M965" s="1" t="s">
        <v>431</v>
      </c>
      <c r="N965" s="1">
        <v>8750</v>
      </c>
      <c r="O965" s="12">
        <v>6900</v>
      </c>
      <c r="P965" s="3" t="s">
        <v>26</v>
      </c>
      <c r="Q965" s="1" cm="1">
        <f t="array" ref="Q965">VALUE(INDEX(_xlfn.TEXTSPLIT(P965, " "), 4))</f>
        <v>2014</v>
      </c>
      <c r="R965" s="1" t="str">
        <f t="shared" si="15"/>
        <v>Chrysler 200 LX</v>
      </c>
      <c r="S965" s="1" t="str" cm="1">
        <f t="array" ref="S965">_xlfn.IFS(I965 &gt;= 40, "High", I965&gt;=20, "Medium", I965&lt;20, "Low")</f>
        <v>Medium</v>
      </c>
      <c r="T965" s="1" t="str" cm="1">
        <f t="array" ref="T965">_xlfn.IFS(O965&lt;18200, "Low", O965&lt;=50000, "Medium", O965&gt;50000, "High")</f>
        <v>Low</v>
      </c>
    </row>
    <row r="966" spans="1:20" x14ac:dyDescent="0.25">
      <c r="A966" s="2">
        <v>2012</v>
      </c>
      <c r="B966" s="1" t="s">
        <v>85</v>
      </c>
      <c r="C966" s="1" t="s">
        <v>1525</v>
      </c>
      <c r="D966" s="1" t="s">
        <v>1518</v>
      </c>
      <c r="E966" s="1" t="s">
        <v>227</v>
      </c>
      <c r="F966" s="1" t="s">
        <v>20</v>
      </c>
      <c r="G966" s="1" t="s">
        <v>1564</v>
      </c>
      <c r="H966" s="1" t="s">
        <v>22</v>
      </c>
      <c r="I966" s="1">
        <v>39</v>
      </c>
      <c r="J966" s="1">
        <v>68306</v>
      </c>
      <c r="K966" s="1" t="s">
        <v>23</v>
      </c>
      <c r="L966" s="1" t="s">
        <v>24</v>
      </c>
      <c r="M966" s="1" t="s">
        <v>1565</v>
      </c>
      <c r="N966" s="1">
        <v>8700</v>
      </c>
      <c r="O966" s="12">
        <v>8200</v>
      </c>
      <c r="P966" s="3" t="s">
        <v>26</v>
      </c>
      <c r="Q966" s="1" cm="1">
        <f t="array" ref="Q966">VALUE(INDEX(_xlfn.TEXTSPLIT(P966, " "), 4))</f>
        <v>2014</v>
      </c>
      <c r="R966" s="1" t="str">
        <f t="shared" si="15"/>
        <v>Ford Focus SEL</v>
      </c>
      <c r="S966" s="1" t="str" cm="1">
        <f t="array" ref="S966">_xlfn.IFS(I966 &gt;= 40, "High", I966&gt;=20, "Medium", I966&lt;20, "Low")</f>
        <v>Medium</v>
      </c>
      <c r="T966" s="1" t="str" cm="1">
        <f t="array" ref="T966">_xlfn.IFS(O966&lt;18200, "Low", O966&lt;=50000, "Medium", O966&gt;50000, "High")</f>
        <v>Low</v>
      </c>
    </row>
    <row r="967" spans="1:20" x14ac:dyDescent="0.25">
      <c r="A967" s="2">
        <v>2012</v>
      </c>
      <c r="B967" s="1" t="s">
        <v>85</v>
      </c>
      <c r="C967" s="1" t="s">
        <v>1551</v>
      </c>
      <c r="D967" s="1" t="s">
        <v>87</v>
      </c>
      <c r="E967" s="1" t="s">
        <v>227</v>
      </c>
      <c r="F967" s="1" t="s">
        <v>214</v>
      </c>
      <c r="G967" s="1" t="s">
        <v>1566</v>
      </c>
      <c r="H967" s="1" t="s">
        <v>22</v>
      </c>
      <c r="I967" s="1">
        <v>37</v>
      </c>
      <c r="J967" s="1">
        <v>36404</v>
      </c>
      <c r="K967" s="1" t="s">
        <v>73</v>
      </c>
      <c r="L967" s="1" t="s">
        <v>24</v>
      </c>
      <c r="M967" s="1" t="s">
        <v>1515</v>
      </c>
      <c r="N967" s="1">
        <v>8700</v>
      </c>
      <c r="O967" s="12">
        <v>8200</v>
      </c>
      <c r="P967" s="3" t="s">
        <v>68</v>
      </c>
      <c r="Q967" s="1" cm="1">
        <f t="array" ref="Q967">VALUE(INDEX(_xlfn.TEXTSPLIT(P967, " "), 4))</f>
        <v>2014</v>
      </c>
      <c r="R967" s="1" t="str">
        <f t="shared" si="15"/>
        <v>Ford Fiesta SE</v>
      </c>
      <c r="S967" s="1" t="str" cm="1">
        <f t="array" ref="S967">_xlfn.IFS(I967 &gt;= 40, "High", I967&gt;=20, "Medium", I967&lt;20, "Low")</f>
        <v>Medium</v>
      </c>
      <c r="T967" s="1" t="str" cm="1">
        <f t="array" ref="T967">_xlfn.IFS(O967&lt;18200, "Low", O967&lt;=50000, "Medium", O967&gt;50000, "High")</f>
        <v>Low</v>
      </c>
    </row>
    <row r="968" spans="1:20" x14ac:dyDescent="0.25">
      <c r="A968" s="2">
        <v>2012</v>
      </c>
      <c r="B968" s="1" t="s">
        <v>85</v>
      </c>
      <c r="C968" s="1" t="s">
        <v>1517</v>
      </c>
      <c r="D968" s="1" t="s">
        <v>1518</v>
      </c>
      <c r="E968" s="1" t="s">
        <v>19</v>
      </c>
      <c r="F968" s="1" t="s">
        <v>20</v>
      </c>
      <c r="G968" s="1" t="s">
        <v>1567</v>
      </c>
      <c r="H968" s="1" t="s">
        <v>22</v>
      </c>
      <c r="I968" s="1">
        <v>48</v>
      </c>
      <c r="J968" s="1">
        <v>27952</v>
      </c>
      <c r="K968" s="1" t="s">
        <v>288</v>
      </c>
      <c r="L968" s="1" t="s">
        <v>101</v>
      </c>
      <c r="M968" s="1" t="s">
        <v>1297</v>
      </c>
      <c r="N968" s="1">
        <v>19850</v>
      </c>
      <c r="O968" s="12">
        <v>20000</v>
      </c>
      <c r="P968" s="3" t="s">
        <v>251</v>
      </c>
      <c r="Q968" s="1" cm="1">
        <f t="array" ref="Q968">VALUE(INDEX(_xlfn.TEXTSPLIT(P968, " "), 4))</f>
        <v>2014</v>
      </c>
      <c r="R968" s="1" t="str">
        <f t="shared" si="15"/>
        <v>Ford Edge SEL</v>
      </c>
      <c r="S968" s="1" t="str" cm="1">
        <f t="array" ref="S968">_xlfn.IFS(I968 &gt;= 40, "High", I968&gt;=20, "Medium", I968&lt;20, "Low")</f>
        <v>High</v>
      </c>
      <c r="T968" s="1" t="str" cm="1">
        <f t="array" ref="T968">_xlfn.IFS(O968&lt;18200, "Low", O968&lt;=50000, "Medium", O968&gt;50000, "High")</f>
        <v>Medium</v>
      </c>
    </row>
    <row r="969" spans="1:20" x14ac:dyDescent="0.25">
      <c r="A969" s="2">
        <v>2012</v>
      </c>
      <c r="B969" s="1" t="s">
        <v>85</v>
      </c>
      <c r="C969" s="1" t="s">
        <v>1517</v>
      </c>
      <c r="D969" s="1" t="s">
        <v>1518</v>
      </c>
      <c r="E969" s="1" t="s">
        <v>19</v>
      </c>
      <c r="F969" s="1" t="s">
        <v>20</v>
      </c>
      <c r="G969" s="1" t="s">
        <v>1568</v>
      </c>
      <c r="H969" s="1" t="s">
        <v>22</v>
      </c>
      <c r="I969" s="1">
        <v>41</v>
      </c>
      <c r="J969" s="1">
        <v>31495</v>
      </c>
      <c r="K969" s="1" t="s">
        <v>94</v>
      </c>
      <c r="L969" s="1" t="s">
        <v>24</v>
      </c>
      <c r="M969" s="1" t="s">
        <v>1515</v>
      </c>
      <c r="N969" s="1">
        <v>19550</v>
      </c>
      <c r="O969" s="12">
        <v>18300</v>
      </c>
      <c r="P969" s="3" t="s">
        <v>68</v>
      </c>
      <c r="Q969" s="1" cm="1">
        <f t="array" ref="Q969">VALUE(INDEX(_xlfn.TEXTSPLIT(P969, " "), 4))</f>
        <v>2014</v>
      </c>
      <c r="R969" s="1" t="str">
        <f t="shared" si="15"/>
        <v>Ford Edge SEL</v>
      </c>
      <c r="S969" s="1" t="str" cm="1">
        <f t="array" ref="S969">_xlfn.IFS(I969 &gt;= 40, "High", I969&gt;=20, "Medium", I969&lt;20, "Low")</f>
        <v>High</v>
      </c>
      <c r="T969" s="1" t="str" cm="1">
        <f t="array" ref="T969">_xlfn.IFS(O969&lt;18200, "Low", O969&lt;=50000, "Medium", O969&gt;50000, "High")</f>
        <v>Medium</v>
      </c>
    </row>
    <row r="970" spans="1:20" x14ac:dyDescent="0.25">
      <c r="A970" s="2">
        <v>2012</v>
      </c>
      <c r="B970" s="1" t="s">
        <v>85</v>
      </c>
      <c r="C970" s="1" t="s">
        <v>1513</v>
      </c>
      <c r="D970" s="1" t="s">
        <v>1569</v>
      </c>
      <c r="E970" s="1" t="s">
        <v>19</v>
      </c>
      <c r="F970" s="1" t="s">
        <v>20</v>
      </c>
      <c r="G970" s="1" t="s">
        <v>1570</v>
      </c>
      <c r="H970" s="1" t="s">
        <v>22</v>
      </c>
      <c r="I970" s="1">
        <v>45</v>
      </c>
      <c r="J970" s="1">
        <v>84062</v>
      </c>
      <c r="K970" s="1" t="s">
        <v>94</v>
      </c>
      <c r="L970" s="1" t="s">
        <v>34</v>
      </c>
      <c r="M970" s="1" t="s">
        <v>1515</v>
      </c>
      <c r="N970" s="1">
        <v>9250</v>
      </c>
      <c r="O970" s="12">
        <v>9900</v>
      </c>
      <c r="P970" s="3" t="s">
        <v>68</v>
      </c>
      <c r="Q970" s="1" cm="1">
        <f t="array" ref="Q970">VALUE(INDEX(_xlfn.TEXTSPLIT(P970, " "), 4))</f>
        <v>2014</v>
      </c>
      <c r="R970" s="1" t="str">
        <f t="shared" si="15"/>
        <v>Ford Escape XLS</v>
      </c>
      <c r="S970" s="1" t="str" cm="1">
        <f t="array" ref="S970">_xlfn.IFS(I970 &gt;= 40, "High", I970&gt;=20, "Medium", I970&lt;20, "Low")</f>
        <v>High</v>
      </c>
      <c r="T970" s="1" t="str" cm="1">
        <f t="array" ref="T970">_xlfn.IFS(O970&lt;18200, "Low", O970&lt;=50000, "Medium", O970&gt;50000, "High")</f>
        <v>Low</v>
      </c>
    </row>
    <row r="971" spans="1:20" x14ac:dyDescent="0.25">
      <c r="A971" s="2">
        <v>2012</v>
      </c>
      <c r="B971" s="1" t="s">
        <v>1507</v>
      </c>
      <c r="C971" s="1" t="s">
        <v>1571</v>
      </c>
      <c r="D971" s="1" t="s">
        <v>1572</v>
      </c>
      <c r="E971" s="1" t="s">
        <v>19</v>
      </c>
      <c r="F971" s="1" t="s">
        <v>20</v>
      </c>
      <c r="G971" s="1" t="s">
        <v>1573</v>
      </c>
      <c r="H971" s="1" t="s">
        <v>22</v>
      </c>
      <c r="I971" s="1">
        <v>19</v>
      </c>
      <c r="J971" s="1">
        <v>46816</v>
      </c>
      <c r="K971" s="1" t="s">
        <v>91</v>
      </c>
      <c r="L971" s="1" t="s">
        <v>24</v>
      </c>
      <c r="M971" s="1" t="s">
        <v>742</v>
      </c>
      <c r="N971" s="1">
        <v>12350</v>
      </c>
      <c r="O971" s="12">
        <v>14400</v>
      </c>
      <c r="P971" s="3" t="s">
        <v>783</v>
      </c>
      <c r="Q971" s="1" cm="1">
        <f t="array" ref="Q971">VALUE(INDEX(_xlfn.TEXTSPLIT(P971, " "), 4))</f>
        <v>2015</v>
      </c>
      <c r="R971" s="1" t="str">
        <f t="shared" si="15"/>
        <v>Dodge Journey SXT</v>
      </c>
      <c r="S971" s="1" t="str" cm="1">
        <f t="array" ref="S971">_xlfn.IFS(I971 &gt;= 40, "High", I971&gt;=20, "Medium", I971&lt;20, "Low")</f>
        <v>Low</v>
      </c>
      <c r="T971" s="1" t="str" cm="1">
        <f t="array" ref="T971">_xlfn.IFS(O971&lt;18200, "Low", O971&lt;=50000, "Medium", O971&gt;50000, "High")</f>
        <v>Low</v>
      </c>
    </row>
    <row r="972" spans="1:20" x14ac:dyDescent="0.25">
      <c r="A972" s="2">
        <v>2012</v>
      </c>
      <c r="B972" s="1" t="s">
        <v>85</v>
      </c>
      <c r="C972" s="1" t="s">
        <v>1517</v>
      </c>
      <c r="D972" s="1" t="s">
        <v>87</v>
      </c>
      <c r="E972" s="1" t="s">
        <v>19</v>
      </c>
      <c r="F972" s="1" t="s">
        <v>20</v>
      </c>
      <c r="G972" s="1" t="s">
        <v>1574</v>
      </c>
      <c r="H972" s="1" t="s">
        <v>22</v>
      </c>
      <c r="I972" s="1">
        <v>45</v>
      </c>
      <c r="J972" s="1">
        <v>67529</v>
      </c>
      <c r="K972" s="1" t="s">
        <v>91</v>
      </c>
      <c r="L972" s="1" t="s">
        <v>24</v>
      </c>
      <c r="M972" s="1" t="s">
        <v>1515</v>
      </c>
      <c r="N972" s="1">
        <v>12900</v>
      </c>
      <c r="O972" s="12">
        <v>10800</v>
      </c>
      <c r="P972" s="3" t="s">
        <v>68</v>
      </c>
      <c r="Q972" s="1" cm="1">
        <f t="array" ref="Q972">VALUE(INDEX(_xlfn.TEXTSPLIT(P972, " "), 4))</f>
        <v>2014</v>
      </c>
      <c r="R972" s="1" t="str">
        <f t="shared" si="15"/>
        <v>Ford Edge SE</v>
      </c>
      <c r="S972" s="1" t="str" cm="1">
        <f t="array" ref="S972">_xlfn.IFS(I972 &gt;= 40, "High", I972&gt;=20, "Medium", I972&lt;20, "Low")</f>
        <v>High</v>
      </c>
      <c r="T972" s="1" t="str" cm="1">
        <f t="array" ref="T972">_xlfn.IFS(O972&lt;18200, "Low", O972&lt;=50000, "Medium", O972&gt;50000, "High")</f>
        <v>Low</v>
      </c>
    </row>
    <row r="973" spans="1:20" x14ac:dyDescent="0.25">
      <c r="A973" s="2">
        <v>2012</v>
      </c>
      <c r="B973" s="1" t="s">
        <v>85</v>
      </c>
      <c r="C973" s="1" t="s">
        <v>1525</v>
      </c>
      <c r="D973" s="1" t="s">
        <v>1518</v>
      </c>
      <c r="E973" s="1" t="s">
        <v>32</v>
      </c>
      <c r="F973" s="1" t="s">
        <v>20</v>
      </c>
      <c r="G973" s="1" t="s">
        <v>1575</v>
      </c>
      <c r="H973" s="1" t="s">
        <v>22</v>
      </c>
      <c r="I973" s="1">
        <v>37</v>
      </c>
      <c r="J973" s="1">
        <v>89575</v>
      </c>
      <c r="K973" s="1" t="s">
        <v>73</v>
      </c>
      <c r="L973" s="1" t="s">
        <v>82</v>
      </c>
      <c r="M973" s="1" t="s">
        <v>109</v>
      </c>
      <c r="N973" s="1">
        <v>7475</v>
      </c>
      <c r="O973" s="12">
        <v>9000</v>
      </c>
      <c r="P973" s="3" t="s">
        <v>68</v>
      </c>
      <c r="Q973" s="1" cm="1">
        <f t="array" ref="Q973">VALUE(INDEX(_xlfn.TEXTSPLIT(P973, " "), 4))</f>
        <v>2014</v>
      </c>
      <c r="R973" s="1" t="str">
        <f t="shared" si="15"/>
        <v>Ford Focus SEL</v>
      </c>
      <c r="S973" s="1" t="str" cm="1">
        <f t="array" ref="S973">_xlfn.IFS(I973 &gt;= 40, "High", I973&gt;=20, "Medium", I973&lt;20, "Low")</f>
        <v>Medium</v>
      </c>
      <c r="T973" s="1" t="str" cm="1">
        <f t="array" ref="T973">_xlfn.IFS(O973&lt;18200, "Low", O973&lt;=50000, "Medium", O973&gt;50000, "High")</f>
        <v>Low</v>
      </c>
    </row>
    <row r="974" spans="1:20" x14ac:dyDescent="0.25">
      <c r="A974" s="2">
        <v>2012</v>
      </c>
      <c r="B974" s="1" t="s">
        <v>29</v>
      </c>
      <c r="C974" s="1" t="s">
        <v>1532</v>
      </c>
      <c r="D974" s="1" t="s">
        <v>234</v>
      </c>
      <c r="E974" s="1" t="s">
        <v>71</v>
      </c>
      <c r="F974" s="1" t="s">
        <v>20</v>
      </c>
      <c r="G974" s="1" t="s">
        <v>1576</v>
      </c>
      <c r="H974" s="1" t="s">
        <v>22</v>
      </c>
      <c r="I974" s="1">
        <v>37</v>
      </c>
      <c r="J974" s="1">
        <v>41179</v>
      </c>
      <c r="K974" s="1" t="s">
        <v>24</v>
      </c>
      <c r="L974" s="1" t="s">
        <v>24</v>
      </c>
      <c r="M974" s="1" t="s">
        <v>35</v>
      </c>
      <c r="N974" s="1">
        <v>30300</v>
      </c>
      <c r="O974" s="12">
        <v>27500</v>
      </c>
      <c r="P974" s="3" t="s">
        <v>46</v>
      </c>
      <c r="Q974" s="1" cm="1">
        <f t="array" ref="Q974">VALUE(INDEX(_xlfn.TEXTSPLIT(P974, " "), 4))</f>
        <v>2014</v>
      </c>
      <c r="R974" s="1" t="str">
        <f t="shared" si="15"/>
        <v>BMW Z4 sDrive28i</v>
      </c>
      <c r="S974" s="1" t="str" cm="1">
        <f t="array" ref="S974">_xlfn.IFS(I974 &gt;= 40, "High", I974&gt;=20, "Medium", I974&lt;20, "Low")</f>
        <v>Medium</v>
      </c>
      <c r="T974" s="1" t="str" cm="1">
        <f t="array" ref="T974">_xlfn.IFS(O974&lt;18200, "Low", O974&lt;=50000, "Medium", O974&gt;50000, "High")</f>
        <v>Medium</v>
      </c>
    </row>
    <row r="975" spans="1:20" x14ac:dyDescent="0.25">
      <c r="A975" s="2">
        <v>2012</v>
      </c>
      <c r="B975" s="1" t="s">
        <v>1507</v>
      </c>
      <c r="C975" s="1" t="s">
        <v>1577</v>
      </c>
      <c r="D975" s="1" t="s">
        <v>1578</v>
      </c>
      <c r="E975" s="1" t="s">
        <v>32</v>
      </c>
      <c r="F975" s="1" t="s">
        <v>20</v>
      </c>
      <c r="G975" s="1" t="s">
        <v>1579</v>
      </c>
      <c r="H975" s="1" t="s">
        <v>22</v>
      </c>
      <c r="I975" s="1">
        <v>37</v>
      </c>
      <c r="J975" s="1">
        <v>27842</v>
      </c>
      <c r="K975" s="1" t="s">
        <v>24</v>
      </c>
      <c r="L975" s="1" t="s">
        <v>24</v>
      </c>
      <c r="M975" s="1" t="s">
        <v>625</v>
      </c>
      <c r="N975" s="1">
        <v>31600</v>
      </c>
      <c r="O975" s="12">
        <v>34750</v>
      </c>
      <c r="P975" s="3" t="s">
        <v>362</v>
      </c>
      <c r="Q975" s="1" cm="1">
        <f t="array" ref="Q975">VALUE(INDEX(_xlfn.TEXTSPLIT(P975, " "), 4))</f>
        <v>2014</v>
      </c>
      <c r="R975" s="1" t="str">
        <f t="shared" si="15"/>
        <v>Dodge Charger SRT8</v>
      </c>
      <c r="S975" s="1" t="str" cm="1">
        <f t="array" ref="S975">_xlfn.IFS(I975 &gt;= 40, "High", I975&gt;=20, "Medium", I975&lt;20, "Low")</f>
        <v>Medium</v>
      </c>
      <c r="T975" s="1" t="str" cm="1">
        <f t="array" ref="T975">_xlfn.IFS(O975&lt;18200, "Low", O975&lt;=50000, "Medium", O975&gt;50000, "High")</f>
        <v>Medium</v>
      </c>
    </row>
    <row r="976" spans="1:20" x14ac:dyDescent="0.25">
      <c r="A976" s="2">
        <v>2012</v>
      </c>
      <c r="B976" s="1" t="s">
        <v>85</v>
      </c>
      <c r="C976" s="1" t="s">
        <v>1529</v>
      </c>
      <c r="D976" s="1" t="s">
        <v>87</v>
      </c>
      <c r="E976" s="1" t="s">
        <v>130</v>
      </c>
      <c r="F976" s="1" t="s">
        <v>20</v>
      </c>
      <c r="G976" s="1" t="s">
        <v>1580</v>
      </c>
      <c r="H976" s="1" t="s">
        <v>22</v>
      </c>
      <c r="I976" s="1">
        <v>36</v>
      </c>
      <c r="J976" s="1">
        <v>34682</v>
      </c>
      <c r="K976" s="1" t="s">
        <v>34</v>
      </c>
      <c r="L976" s="1" t="s">
        <v>34</v>
      </c>
      <c r="M976" s="1" t="s">
        <v>1581</v>
      </c>
      <c r="N976" s="1">
        <v>16500</v>
      </c>
      <c r="O976" s="12">
        <v>18100</v>
      </c>
      <c r="P976" s="3" t="s">
        <v>68</v>
      </c>
      <c r="Q976" s="1" cm="1">
        <f t="array" ref="Q976">VALUE(INDEX(_xlfn.TEXTSPLIT(P976, " "), 4))</f>
        <v>2014</v>
      </c>
      <c r="R976" s="1" t="str">
        <f t="shared" si="15"/>
        <v>Ford Flex SE</v>
      </c>
      <c r="S976" s="1" t="str" cm="1">
        <f t="array" ref="S976">_xlfn.IFS(I976 &gt;= 40, "High", I976&gt;=20, "Medium", I976&lt;20, "Low")</f>
        <v>Medium</v>
      </c>
      <c r="T976" s="1" t="str" cm="1">
        <f t="array" ref="T976">_xlfn.IFS(O976&lt;18200, "Low", O976&lt;=50000, "Medium", O976&gt;50000, "High")</f>
        <v>Low</v>
      </c>
    </row>
    <row r="977" spans="1:20" x14ac:dyDescent="0.25">
      <c r="A977" s="2">
        <v>2012</v>
      </c>
      <c r="B977" s="1" t="s">
        <v>85</v>
      </c>
      <c r="C977" s="1" t="s">
        <v>1529</v>
      </c>
      <c r="D977" s="1" t="s">
        <v>337</v>
      </c>
      <c r="E977" s="1" t="s">
        <v>130</v>
      </c>
      <c r="F977" s="1" t="s">
        <v>20</v>
      </c>
      <c r="G977" s="1" t="s">
        <v>1582</v>
      </c>
      <c r="H977" s="1" t="s">
        <v>22</v>
      </c>
      <c r="I977" s="1">
        <v>39</v>
      </c>
      <c r="J977" s="1">
        <v>44712</v>
      </c>
      <c r="K977" s="1" t="s">
        <v>24</v>
      </c>
      <c r="L977" s="1" t="s">
        <v>24</v>
      </c>
      <c r="M977" s="1" t="s">
        <v>1515</v>
      </c>
      <c r="N977" s="1">
        <v>23800</v>
      </c>
      <c r="O977" s="12">
        <v>24800</v>
      </c>
      <c r="P977" s="3" t="s">
        <v>68</v>
      </c>
      <c r="Q977" s="1" cm="1">
        <f t="array" ref="Q977">VALUE(INDEX(_xlfn.TEXTSPLIT(P977, " "), 4))</f>
        <v>2014</v>
      </c>
      <c r="R977" s="1" t="str">
        <f t="shared" si="15"/>
        <v>Ford Flex Limited</v>
      </c>
      <c r="S977" s="1" t="str" cm="1">
        <f t="array" ref="S977">_xlfn.IFS(I977 &gt;= 40, "High", I977&gt;=20, "Medium", I977&lt;20, "Low")</f>
        <v>Medium</v>
      </c>
      <c r="T977" s="1" t="str" cm="1">
        <f t="array" ref="T977">_xlfn.IFS(O977&lt;18200, "Low", O977&lt;=50000, "Medium", O977&gt;50000, "High")</f>
        <v>Medium</v>
      </c>
    </row>
    <row r="978" spans="1:20" x14ac:dyDescent="0.25">
      <c r="A978" s="2">
        <v>2012</v>
      </c>
      <c r="B978" s="1" t="s">
        <v>29</v>
      </c>
      <c r="C978" s="1" t="s">
        <v>136</v>
      </c>
      <c r="D978" s="1" t="s">
        <v>1583</v>
      </c>
      <c r="E978" s="1" t="s">
        <v>19</v>
      </c>
      <c r="F978" s="1" t="s">
        <v>20</v>
      </c>
      <c r="G978" s="1" t="s">
        <v>1584</v>
      </c>
      <c r="H978" s="1" t="s">
        <v>22</v>
      </c>
      <c r="I978" s="1">
        <v>43</v>
      </c>
      <c r="J978" s="1">
        <v>37269</v>
      </c>
      <c r="K978" s="1" t="s">
        <v>34</v>
      </c>
      <c r="L978" s="1" t="s">
        <v>24</v>
      </c>
      <c r="M978" s="1" t="s">
        <v>1089</v>
      </c>
      <c r="N978" s="1">
        <v>36500</v>
      </c>
      <c r="O978" s="12">
        <v>36500</v>
      </c>
      <c r="P978" s="3" t="s">
        <v>84</v>
      </c>
      <c r="Q978" s="1" cm="1">
        <f t="array" ref="Q978">VALUE(INDEX(_xlfn.TEXTSPLIT(P978, " "), 4))</f>
        <v>2014</v>
      </c>
      <c r="R978" s="1" t="str">
        <f t="shared" si="15"/>
        <v>BMW X5 xDrive50i</v>
      </c>
      <c r="S978" s="1" t="str" cm="1">
        <f t="array" ref="S978">_xlfn.IFS(I978 &gt;= 40, "High", I978&gt;=20, "Medium", I978&lt;20, "Low")</f>
        <v>High</v>
      </c>
      <c r="T978" s="1" t="str" cm="1">
        <f t="array" ref="T978">_xlfn.IFS(O978&lt;18200, "Low", O978&lt;=50000, "Medium", O978&gt;50000, "High")</f>
        <v>Medium</v>
      </c>
    </row>
    <row r="979" spans="1:20" x14ac:dyDescent="0.25">
      <c r="A979" s="2">
        <v>2012</v>
      </c>
      <c r="B979" s="1" t="s">
        <v>1585</v>
      </c>
      <c r="C979" s="1" t="s">
        <v>1586</v>
      </c>
      <c r="D979" s="1" t="s">
        <v>1587</v>
      </c>
      <c r="E979" s="1"/>
      <c r="F979" s="1" t="s">
        <v>20</v>
      </c>
      <c r="G979" s="1" t="s">
        <v>1588</v>
      </c>
      <c r="H979" s="1" t="s">
        <v>22</v>
      </c>
      <c r="I979" s="1">
        <v>35</v>
      </c>
      <c r="J979" s="1">
        <v>84186</v>
      </c>
      <c r="K979" s="1" t="s">
        <v>23</v>
      </c>
      <c r="L979" s="1" t="s">
        <v>34</v>
      </c>
      <c r="M979" s="1" t="s">
        <v>1589</v>
      </c>
      <c r="N979" s="1">
        <v>12200</v>
      </c>
      <c r="O979" s="12">
        <v>10300</v>
      </c>
      <c r="P979" s="3" t="s">
        <v>57</v>
      </c>
      <c r="Q979" s="1" cm="1">
        <f t="array" ref="Q979">VALUE(INDEX(_xlfn.TEXTSPLIT(P979, " "), 4))</f>
        <v>2014</v>
      </c>
      <c r="R979" s="1" t="str">
        <f t="shared" si="15"/>
        <v>ford e350 wagon v8 xlt</v>
      </c>
      <c r="S979" s="1" t="str" cm="1">
        <f t="array" ref="S979">_xlfn.IFS(I979 &gt;= 40, "High", I979&gt;=20, "Medium", I979&lt;20, "Low")</f>
        <v>Medium</v>
      </c>
      <c r="T979" s="1" t="str" cm="1">
        <f t="array" ref="T979">_xlfn.IFS(O979&lt;18200, "Low", O979&lt;=50000, "Medium", O979&gt;50000, "High")</f>
        <v>Low</v>
      </c>
    </row>
    <row r="980" spans="1:20" x14ac:dyDescent="0.25">
      <c r="A980" s="2">
        <v>2012</v>
      </c>
      <c r="B980" s="1" t="s">
        <v>58</v>
      </c>
      <c r="C980" s="1" t="s">
        <v>59</v>
      </c>
      <c r="D980" s="1" t="s">
        <v>106</v>
      </c>
      <c r="E980" s="1" t="s">
        <v>32</v>
      </c>
      <c r="F980" s="1" t="s">
        <v>214</v>
      </c>
      <c r="G980" s="1" t="s">
        <v>1590</v>
      </c>
      <c r="H980" s="1" t="s">
        <v>22</v>
      </c>
      <c r="I980" s="1">
        <v>31</v>
      </c>
      <c r="J980" s="1">
        <v>53563</v>
      </c>
      <c r="K980" s="1" t="s">
        <v>91</v>
      </c>
      <c r="L980" s="1" t="s">
        <v>24</v>
      </c>
      <c r="M980" s="1" t="s">
        <v>1591</v>
      </c>
      <c r="N980" s="1">
        <v>8050</v>
      </c>
      <c r="O980" s="12">
        <v>7500</v>
      </c>
      <c r="P980" s="3" t="s">
        <v>57</v>
      </c>
      <c r="Q980" s="1" cm="1">
        <f t="array" ref="Q980">VALUE(INDEX(_xlfn.TEXTSPLIT(P980, " "), 4))</f>
        <v>2014</v>
      </c>
      <c r="R980" s="1" t="str">
        <f t="shared" si="15"/>
        <v>Chevrolet Cruze LS</v>
      </c>
      <c r="S980" s="1" t="str" cm="1">
        <f t="array" ref="S980">_xlfn.IFS(I980 &gt;= 40, "High", I980&gt;=20, "Medium", I980&lt;20, "Low")</f>
        <v>Medium</v>
      </c>
      <c r="T980" s="1" t="str" cm="1">
        <f t="array" ref="T980">_xlfn.IFS(O980&lt;18200, "Low", O980&lt;=50000, "Medium", O980&gt;50000, "High")</f>
        <v>Low</v>
      </c>
    </row>
    <row r="981" spans="1:20" x14ac:dyDescent="0.25">
      <c r="A981" s="2">
        <v>2012</v>
      </c>
      <c r="B981" s="1" t="s">
        <v>29</v>
      </c>
      <c r="C981" s="1" t="s">
        <v>136</v>
      </c>
      <c r="D981" s="1" t="s">
        <v>1534</v>
      </c>
      <c r="E981" s="1" t="s">
        <v>19</v>
      </c>
      <c r="F981" s="1" t="s">
        <v>20</v>
      </c>
      <c r="G981" s="1" t="s">
        <v>1592</v>
      </c>
      <c r="H981" s="1" t="s">
        <v>22</v>
      </c>
      <c r="I981" s="1">
        <v>38</v>
      </c>
      <c r="J981" s="1">
        <v>24720</v>
      </c>
      <c r="K981" s="1" t="s">
        <v>34</v>
      </c>
      <c r="L981" s="1" t="s">
        <v>24</v>
      </c>
      <c r="M981" s="1" t="s">
        <v>35</v>
      </c>
      <c r="N981" s="1">
        <v>38600</v>
      </c>
      <c r="O981" s="12">
        <v>42500</v>
      </c>
      <c r="P981" s="3" t="s">
        <v>46</v>
      </c>
      <c r="Q981" s="1" cm="1">
        <f t="array" ref="Q981">VALUE(INDEX(_xlfn.TEXTSPLIT(P981, " "), 4))</f>
        <v>2014</v>
      </c>
      <c r="R981" s="1" t="str">
        <f t="shared" si="15"/>
        <v>BMW X5 xDrive35d</v>
      </c>
      <c r="S981" s="1" t="str" cm="1">
        <f t="array" ref="S981">_xlfn.IFS(I981 &gt;= 40, "High", I981&gt;=20, "Medium", I981&lt;20, "Low")</f>
        <v>Medium</v>
      </c>
      <c r="T981" s="1" t="str" cm="1">
        <f t="array" ref="T981">_xlfn.IFS(O981&lt;18200, "Low", O981&lt;=50000, "Medium", O981&gt;50000, "High")</f>
        <v>Medium</v>
      </c>
    </row>
    <row r="982" spans="1:20" x14ac:dyDescent="0.25">
      <c r="A982" s="2">
        <v>2012</v>
      </c>
      <c r="B982" s="1" t="s">
        <v>58</v>
      </c>
      <c r="C982" s="1" t="s">
        <v>69</v>
      </c>
      <c r="D982" s="1" t="s">
        <v>70</v>
      </c>
      <c r="E982" s="1" t="s">
        <v>71</v>
      </c>
      <c r="F982" s="1" t="s">
        <v>20</v>
      </c>
      <c r="G982" s="1" t="s">
        <v>1593</v>
      </c>
      <c r="H982" s="1" t="s">
        <v>22</v>
      </c>
      <c r="I982" s="1">
        <v>29</v>
      </c>
      <c r="J982" s="1">
        <v>35815</v>
      </c>
      <c r="K982" s="1" t="s">
        <v>91</v>
      </c>
      <c r="L982" s="1" t="s">
        <v>34</v>
      </c>
      <c r="M982" s="1" t="s">
        <v>292</v>
      </c>
      <c r="N982" s="1">
        <v>16900</v>
      </c>
      <c r="O982" s="12">
        <v>16100</v>
      </c>
      <c r="P982" s="3" t="s">
        <v>26</v>
      </c>
      <c r="Q982" s="1" cm="1">
        <f t="array" ref="Q982">VALUE(INDEX(_xlfn.TEXTSPLIT(P982, " "), 4))</f>
        <v>2014</v>
      </c>
      <c r="R982" s="1" t="str">
        <f t="shared" si="15"/>
        <v>Chevrolet Camaro LT</v>
      </c>
      <c r="S982" s="1" t="str" cm="1">
        <f t="array" ref="S982">_xlfn.IFS(I982 &gt;= 40, "High", I982&gt;=20, "Medium", I982&lt;20, "Low")</f>
        <v>Medium</v>
      </c>
      <c r="T982" s="1" t="str" cm="1">
        <f t="array" ref="T982">_xlfn.IFS(O982&lt;18200, "Low", O982&lt;=50000, "Medium", O982&gt;50000, "High")</f>
        <v>Low</v>
      </c>
    </row>
    <row r="983" spans="1:20" x14ac:dyDescent="0.25">
      <c r="A983" s="2">
        <v>2012</v>
      </c>
      <c r="B983" s="1" t="s">
        <v>58</v>
      </c>
      <c r="C983" s="1" t="s">
        <v>1594</v>
      </c>
      <c r="D983" s="1" t="s">
        <v>70</v>
      </c>
      <c r="E983" s="1" t="s">
        <v>19</v>
      </c>
      <c r="F983" s="1" t="s">
        <v>20</v>
      </c>
      <c r="G983" s="1" t="s">
        <v>1595</v>
      </c>
      <c r="H983" s="1" t="s">
        <v>22</v>
      </c>
      <c r="I983" s="1">
        <v>35</v>
      </c>
      <c r="J983" s="1">
        <v>80435</v>
      </c>
      <c r="K983" s="1" t="s">
        <v>91</v>
      </c>
      <c r="L983" s="1" t="s">
        <v>24</v>
      </c>
      <c r="M983" s="1" t="s">
        <v>742</v>
      </c>
      <c r="N983" s="1">
        <v>12500</v>
      </c>
      <c r="O983" s="12">
        <v>12400</v>
      </c>
      <c r="P983" s="3" t="s">
        <v>57</v>
      </c>
      <c r="Q983" s="1" cm="1">
        <f t="array" ref="Q983">VALUE(INDEX(_xlfn.TEXTSPLIT(P983, " "), 4))</f>
        <v>2014</v>
      </c>
      <c r="R983" s="1" t="str">
        <f t="shared" si="15"/>
        <v>Chevrolet Equinox LT</v>
      </c>
      <c r="S983" s="1" t="str" cm="1">
        <f t="array" ref="S983">_xlfn.IFS(I983 &gt;= 40, "High", I983&gt;=20, "Medium", I983&lt;20, "Low")</f>
        <v>Medium</v>
      </c>
      <c r="T983" s="1" t="str" cm="1">
        <f t="array" ref="T983">_xlfn.IFS(O983&lt;18200, "Low", O983&lt;=50000, "Medium", O983&gt;50000, "High")</f>
        <v>Low</v>
      </c>
    </row>
    <row r="984" spans="1:20" x14ac:dyDescent="0.25">
      <c r="A984" s="2">
        <v>2012</v>
      </c>
      <c r="B984" s="1" t="s">
        <v>1562</v>
      </c>
      <c r="C984" s="1">
        <v>300</v>
      </c>
      <c r="D984" s="1" t="s">
        <v>1596</v>
      </c>
      <c r="E984" s="1" t="s">
        <v>32</v>
      </c>
      <c r="F984" s="1" t="s">
        <v>20</v>
      </c>
      <c r="G984" s="1" t="s">
        <v>1597</v>
      </c>
      <c r="H984" s="1" t="s">
        <v>22</v>
      </c>
      <c r="I984" s="1">
        <v>43</v>
      </c>
      <c r="J984" s="1">
        <v>27368</v>
      </c>
      <c r="K984" s="1" t="s">
        <v>34</v>
      </c>
      <c r="L984" s="1" t="s">
        <v>24</v>
      </c>
      <c r="M984" s="1" t="s">
        <v>1598</v>
      </c>
      <c r="N984" s="1">
        <v>21300</v>
      </c>
      <c r="O984" s="12">
        <v>22000</v>
      </c>
      <c r="P984" s="3" t="s">
        <v>1599</v>
      </c>
      <c r="Q984" s="1" cm="1">
        <f t="array" ref="Q984">VALUE(INDEX(_xlfn.TEXTSPLIT(P984, " "), 4))</f>
        <v>2014</v>
      </c>
      <c r="R984" s="1" t="str">
        <f t="shared" si="15"/>
        <v>Chrysler 300 S V6</v>
      </c>
      <c r="S984" s="1" t="str" cm="1">
        <f t="array" ref="S984">_xlfn.IFS(I984 &gt;= 40, "High", I984&gt;=20, "Medium", I984&lt;20, "Low")</f>
        <v>High</v>
      </c>
      <c r="T984" s="1" t="str" cm="1">
        <f t="array" ref="T984">_xlfn.IFS(O984&lt;18200, "Low", O984&lt;=50000, "Medium", O984&gt;50000, "High")</f>
        <v>Medium</v>
      </c>
    </row>
    <row r="985" spans="1:20" x14ac:dyDescent="0.25">
      <c r="A985" s="2">
        <v>2012</v>
      </c>
      <c r="B985" s="1" t="s">
        <v>85</v>
      </c>
      <c r="C985" s="1" t="s">
        <v>1600</v>
      </c>
      <c r="D985" s="1" t="s">
        <v>1601</v>
      </c>
      <c r="E985" s="1" t="s">
        <v>1602</v>
      </c>
      <c r="F985" s="1"/>
      <c r="G985" s="1" t="s">
        <v>1603</v>
      </c>
      <c r="H985" s="1" t="s">
        <v>22</v>
      </c>
      <c r="I985" s="1">
        <v>46</v>
      </c>
      <c r="J985" s="1">
        <v>51189</v>
      </c>
      <c r="K985" s="1" t="s">
        <v>34</v>
      </c>
      <c r="L985" s="1" t="s">
        <v>34</v>
      </c>
      <c r="M985" s="1" t="s">
        <v>1515</v>
      </c>
      <c r="N985" s="1">
        <v>19700</v>
      </c>
      <c r="O985" s="12">
        <v>20200</v>
      </c>
      <c r="P985" s="3" t="s">
        <v>68</v>
      </c>
      <c r="Q985" s="1" cm="1">
        <f t="array" ref="Q985">VALUE(INDEX(_xlfn.TEXTSPLIT(P985, " "), 4))</f>
        <v>2014</v>
      </c>
      <c r="R985" s="1" t="str">
        <f t="shared" si="15"/>
        <v>Ford F-150 XLT</v>
      </c>
      <c r="S985" s="1" t="str" cm="1">
        <f t="array" ref="S985">_xlfn.IFS(I985 &gt;= 40, "High", I985&gt;=20, "Medium", I985&lt;20, "Low")</f>
        <v>High</v>
      </c>
      <c r="T985" s="1" t="str" cm="1">
        <f t="array" ref="T985">_xlfn.IFS(O985&lt;18200, "Low", O985&lt;=50000, "Medium", O985&gt;50000, "High")</f>
        <v>Medium</v>
      </c>
    </row>
    <row r="986" spans="1:20" x14ac:dyDescent="0.25">
      <c r="A986" s="2">
        <v>2012</v>
      </c>
      <c r="B986" s="1" t="s">
        <v>85</v>
      </c>
      <c r="C986" s="1" t="s">
        <v>1604</v>
      </c>
      <c r="D986" s="1" t="s">
        <v>54</v>
      </c>
      <c r="E986" s="1" t="s">
        <v>19</v>
      </c>
      <c r="F986" s="1" t="s">
        <v>20</v>
      </c>
      <c r="G986" s="1" t="s">
        <v>1605</v>
      </c>
      <c r="H986" s="1" t="s">
        <v>22</v>
      </c>
      <c r="I986" s="1">
        <v>19</v>
      </c>
      <c r="J986" s="1">
        <v>44896</v>
      </c>
      <c r="K986" s="1" t="s">
        <v>24</v>
      </c>
      <c r="L986" s="1" t="s">
        <v>82</v>
      </c>
      <c r="M986" s="1" t="s">
        <v>1606</v>
      </c>
      <c r="N986" s="1">
        <v>16550</v>
      </c>
      <c r="O986" s="12">
        <v>19250</v>
      </c>
      <c r="P986" s="3" t="s">
        <v>26</v>
      </c>
      <c r="Q986" s="1" cm="1">
        <f t="array" ref="Q986">VALUE(INDEX(_xlfn.TEXTSPLIT(P986, " "), 4))</f>
        <v>2014</v>
      </c>
      <c r="R986" s="1" t="str">
        <f t="shared" si="15"/>
        <v>Ford Explorer Base</v>
      </c>
      <c r="S986" s="1" t="str" cm="1">
        <f t="array" ref="S986">_xlfn.IFS(I986 &gt;= 40, "High", I986&gt;=20, "Medium", I986&lt;20, "Low")</f>
        <v>Low</v>
      </c>
      <c r="T986" s="1" t="str" cm="1">
        <f t="array" ref="T986">_xlfn.IFS(O986&lt;18200, "Low", O986&lt;=50000, "Medium", O986&gt;50000, "High")</f>
        <v>Medium</v>
      </c>
    </row>
    <row r="987" spans="1:20" x14ac:dyDescent="0.25">
      <c r="A987" s="2">
        <v>2012</v>
      </c>
      <c r="B987" s="1" t="s">
        <v>85</v>
      </c>
      <c r="C987" s="1" t="s">
        <v>1513</v>
      </c>
      <c r="D987" s="1" t="s">
        <v>337</v>
      </c>
      <c r="E987" s="1" t="s">
        <v>19</v>
      </c>
      <c r="F987" s="1" t="s">
        <v>20</v>
      </c>
      <c r="G987" s="1" t="s">
        <v>1607</v>
      </c>
      <c r="H987" s="1" t="s">
        <v>22</v>
      </c>
      <c r="I987" s="1">
        <v>24</v>
      </c>
      <c r="J987" s="1">
        <v>35488</v>
      </c>
      <c r="K987" s="1" t="s">
        <v>34</v>
      </c>
      <c r="L987" s="1" t="s">
        <v>24</v>
      </c>
      <c r="M987" s="1" t="s">
        <v>1608</v>
      </c>
      <c r="N987" s="1">
        <v>16000</v>
      </c>
      <c r="O987" s="12">
        <v>14000</v>
      </c>
      <c r="P987" s="3" t="s">
        <v>1609</v>
      </c>
      <c r="Q987" s="1" cm="1">
        <f t="array" ref="Q987">VALUE(INDEX(_xlfn.TEXTSPLIT(P987, " "), 4))</f>
        <v>2015</v>
      </c>
      <c r="R987" s="1" t="str">
        <f t="shared" si="15"/>
        <v>Ford Escape Limited</v>
      </c>
      <c r="S987" s="1" t="str" cm="1">
        <f t="array" ref="S987">_xlfn.IFS(I987 &gt;= 40, "High", I987&gt;=20, "Medium", I987&lt;20, "Low")</f>
        <v>Medium</v>
      </c>
      <c r="T987" s="1" t="str" cm="1">
        <f t="array" ref="T987">_xlfn.IFS(O987&lt;18200, "Low", O987&lt;=50000, "Medium", O987&gt;50000, "High")</f>
        <v>Low</v>
      </c>
    </row>
    <row r="988" spans="1:20" x14ac:dyDescent="0.25">
      <c r="A988" s="2">
        <v>2012</v>
      </c>
      <c r="B988" s="1" t="s">
        <v>29</v>
      </c>
      <c r="C988" s="1" t="s">
        <v>136</v>
      </c>
      <c r="D988" s="1" t="s">
        <v>1534</v>
      </c>
      <c r="E988" s="1" t="s">
        <v>19</v>
      </c>
      <c r="F988" s="1"/>
      <c r="G988" s="1" t="s">
        <v>1610</v>
      </c>
      <c r="H988" s="1" t="s">
        <v>22</v>
      </c>
      <c r="I988" s="1">
        <v>4</v>
      </c>
      <c r="J988" s="1">
        <v>33400</v>
      </c>
      <c r="K988" s="1" t="s">
        <v>34</v>
      </c>
      <c r="L988" s="1" t="s">
        <v>101</v>
      </c>
      <c r="M988" s="1" t="s">
        <v>1079</v>
      </c>
      <c r="N988" s="1">
        <v>33200</v>
      </c>
      <c r="O988" s="12">
        <v>28250</v>
      </c>
      <c r="P988" s="3" t="s">
        <v>1611</v>
      </c>
      <c r="Q988" s="1" cm="1">
        <f t="array" ref="Q988">VALUE(INDEX(_xlfn.TEXTSPLIT(P988, " "), 4))</f>
        <v>2015</v>
      </c>
      <c r="R988" s="1" t="str">
        <f t="shared" si="15"/>
        <v>BMW X5 xDrive35d</v>
      </c>
      <c r="S988" s="1" t="str" cm="1">
        <f t="array" ref="S988">_xlfn.IFS(I988 &gt;= 40, "High", I988&gt;=20, "Medium", I988&lt;20, "Low")</f>
        <v>Low</v>
      </c>
      <c r="T988" s="1" t="str" cm="1">
        <f t="array" ref="T988">_xlfn.IFS(O988&lt;18200, "Low", O988&lt;=50000, "Medium", O988&gt;50000, "High")</f>
        <v>Medium</v>
      </c>
    </row>
    <row r="989" spans="1:20" x14ac:dyDescent="0.25">
      <c r="A989" s="2">
        <v>2012</v>
      </c>
      <c r="B989" s="1" t="s">
        <v>1557</v>
      </c>
      <c r="C989" s="1">
        <v>500</v>
      </c>
      <c r="D989" s="1" t="s">
        <v>1612</v>
      </c>
      <c r="E989" s="1" t="s">
        <v>71</v>
      </c>
      <c r="F989" s="1" t="s">
        <v>214</v>
      </c>
      <c r="G989" s="1" t="s">
        <v>1613</v>
      </c>
      <c r="H989" s="1" t="s">
        <v>22</v>
      </c>
      <c r="I989" s="1">
        <v>43</v>
      </c>
      <c r="J989" s="1">
        <v>27596</v>
      </c>
      <c r="K989" s="1" t="s">
        <v>549</v>
      </c>
      <c r="L989" s="1" t="s">
        <v>24</v>
      </c>
      <c r="M989" s="1" t="s">
        <v>1614</v>
      </c>
      <c r="N989" s="1">
        <v>8725</v>
      </c>
      <c r="O989" s="12">
        <v>10000</v>
      </c>
      <c r="P989" s="3" t="s">
        <v>362</v>
      </c>
      <c r="Q989" s="1" cm="1">
        <f t="array" ref="Q989">VALUE(INDEX(_xlfn.TEXTSPLIT(P989, " "), 4))</f>
        <v>2014</v>
      </c>
      <c r="R989" s="1" t="str">
        <f t="shared" si="15"/>
        <v>FIAT 500 C Pop</v>
      </c>
      <c r="S989" s="1" t="str" cm="1">
        <f t="array" ref="S989">_xlfn.IFS(I989 &gt;= 40, "High", I989&gt;=20, "Medium", I989&lt;20, "Low")</f>
        <v>High</v>
      </c>
      <c r="T989" s="1" t="str" cm="1">
        <f t="array" ref="T989">_xlfn.IFS(O989&lt;18200, "Low", O989&lt;=50000, "Medium", O989&gt;50000, "High")</f>
        <v>Low</v>
      </c>
    </row>
    <row r="990" spans="1:20" x14ac:dyDescent="0.25">
      <c r="A990" s="2">
        <v>2012</v>
      </c>
      <c r="B990" s="1" t="s">
        <v>29</v>
      </c>
      <c r="C990" s="1" t="s">
        <v>1456</v>
      </c>
      <c r="D990" s="1" t="s">
        <v>1457</v>
      </c>
      <c r="E990" s="1" t="s">
        <v>19</v>
      </c>
      <c r="F990" s="1" t="s">
        <v>20</v>
      </c>
      <c r="G990" s="1" t="s">
        <v>1615</v>
      </c>
      <c r="H990" s="1" t="s">
        <v>22</v>
      </c>
      <c r="I990" s="1">
        <v>45</v>
      </c>
      <c r="J990" s="1">
        <v>50002</v>
      </c>
      <c r="K990" s="1" t="s">
        <v>34</v>
      </c>
      <c r="L990" s="1" t="s">
        <v>24</v>
      </c>
      <c r="M990" s="1" t="s">
        <v>35</v>
      </c>
      <c r="N990" s="1">
        <v>25600</v>
      </c>
      <c r="O990" s="12">
        <v>26000</v>
      </c>
      <c r="P990" s="3" t="s">
        <v>46</v>
      </c>
      <c r="Q990" s="1" cm="1">
        <f t="array" ref="Q990">VALUE(INDEX(_xlfn.TEXTSPLIT(P990, " "), 4))</f>
        <v>2014</v>
      </c>
      <c r="R990" s="1" t="str">
        <f t="shared" si="15"/>
        <v>BMW X3 xDrive28i</v>
      </c>
      <c r="S990" s="1" t="str" cm="1">
        <f t="array" ref="S990">_xlfn.IFS(I990 &gt;= 40, "High", I990&gt;=20, "Medium", I990&lt;20, "Low")</f>
        <v>High</v>
      </c>
      <c r="T990" s="1" t="str" cm="1">
        <f t="array" ref="T990">_xlfn.IFS(O990&lt;18200, "Low", O990&lt;=50000, "Medium", O990&gt;50000, "High")</f>
        <v>Medium</v>
      </c>
    </row>
    <row r="991" spans="1:20" x14ac:dyDescent="0.25">
      <c r="A991" s="2">
        <v>2012</v>
      </c>
      <c r="B991" s="1" t="s">
        <v>58</v>
      </c>
      <c r="C991" s="1" t="s">
        <v>199</v>
      </c>
      <c r="D991" s="1" t="s">
        <v>1541</v>
      </c>
      <c r="E991" s="1" t="s">
        <v>32</v>
      </c>
      <c r="F991" s="1" t="s">
        <v>20</v>
      </c>
      <c r="G991" s="1" t="s">
        <v>1616</v>
      </c>
      <c r="H991" s="1" t="s">
        <v>22</v>
      </c>
      <c r="I991" s="1">
        <v>4</v>
      </c>
      <c r="J991" s="1">
        <v>58781</v>
      </c>
      <c r="K991" s="1" t="s">
        <v>23</v>
      </c>
      <c r="L991" s="1" t="s">
        <v>34</v>
      </c>
      <c r="M991" s="1" t="s">
        <v>1617</v>
      </c>
      <c r="N991" s="1">
        <v>8925</v>
      </c>
      <c r="O991" s="12">
        <v>10000</v>
      </c>
      <c r="P991" s="3" t="s">
        <v>26</v>
      </c>
      <c r="Q991" s="1" cm="1">
        <f t="array" ref="Q991">VALUE(INDEX(_xlfn.TEXTSPLIT(P991, " "), 4))</f>
        <v>2014</v>
      </c>
      <c r="R991" s="1" t="str">
        <f t="shared" si="15"/>
        <v>Chevrolet Malibu LS Fleet</v>
      </c>
      <c r="S991" s="1" t="str" cm="1">
        <f t="array" ref="S991">_xlfn.IFS(I991 &gt;= 40, "High", I991&gt;=20, "Medium", I991&lt;20, "Low")</f>
        <v>Low</v>
      </c>
      <c r="T991" s="1" t="str" cm="1">
        <f t="array" ref="T991">_xlfn.IFS(O991&lt;18200, "Low", O991&lt;=50000, "Medium", O991&gt;50000, "High")</f>
        <v>Low</v>
      </c>
    </row>
    <row r="992" spans="1:20" x14ac:dyDescent="0.25">
      <c r="A992" s="2">
        <v>2012</v>
      </c>
      <c r="B992" s="1" t="s">
        <v>155</v>
      </c>
      <c r="C992" s="1" t="s">
        <v>246</v>
      </c>
      <c r="D992" s="1" t="s">
        <v>247</v>
      </c>
      <c r="E992" s="1" t="s">
        <v>19</v>
      </c>
      <c r="F992" s="1" t="s">
        <v>20</v>
      </c>
      <c r="G992" s="1" t="s">
        <v>1618</v>
      </c>
      <c r="H992" s="1" t="s">
        <v>22</v>
      </c>
      <c r="I992" s="1">
        <v>41</v>
      </c>
      <c r="J992" s="1">
        <v>34807</v>
      </c>
      <c r="K992" s="1" t="s">
        <v>28</v>
      </c>
      <c r="L992" s="1" t="s">
        <v>28</v>
      </c>
      <c r="M992" s="1" t="s">
        <v>1550</v>
      </c>
      <c r="N992" s="1">
        <v>24100</v>
      </c>
      <c r="O992" s="12">
        <v>22000</v>
      </c>
      <c r="P992" s="3" t="s">
        <v>26</v>
      </c>
      <c r="Q992" s="1" cm="1">
        <f t="array" ref="Q992">VALUE(INDEX(_xlfn.TEXTSPLIT(P992, " "), 4))</f>
        <v>2014</v>
      </c>
      <c r="R992" s="1" t="str">
        <f t="shared" si="15"/>
        <v>Buick Enclave Leather Group</v>
      </c>
      <c r="S992" s="1" t="str" cm="1">
        <f t="array" ref="S992">_xlfn.IFS(I992 &gt;= 40, "High", I992&gt;=20, "Medium", I992&lt;20, "Low")</f>
        <v>High</v>
      </c>
      <c r="T992" s="1" t="str" cm="1">
        <f t="array" ref="T992">_xlfn.IFS(O992&lt;18200, "Low", O992&lt;=50000, "Medium", O992&gt;50000, "High")</f>
        <v>Medium</v>
      </c>
    </row>
    <row r="993" spans="1:20" x14ac:dyDescent="0.25">
      <c r="A993" s="2">
        <v>2012</v>
      </c>
      <c r="B993" s="1" t="s">
        <v>58</v>
      </c>
      <c r="C993" s="1" t="s">
        <v>1619</v>
      </c>
      <c r="D993" s="1" t="s">
        <v>1620</v>
      </c>
      <c r="E993" s="1" t="s">
        <v>19</v>
      </c>
      <c r="F993" s="1" t="s">
        <v>20</v>
      </c>
      <c r="G993" s="1" t="s">
        <v>1621</v>
      </c>
      <c r="H993" s="1" t="s">
        <v>22</v>
      </c>
      <c r="I993" s="1">
        <v>3</v>
      </c>
      <c r="J993" s="1">
        <v>58112</v>
      </c>
      <c r="K993" s="1" t="s">
        <v>91</v>
      </c>
      <c r="L993" s="1" t="s">
        <v>24</v>
      </c>
      <c r="M993" s="1" t="s">
        <v>1617</v>
      </c>
      <c r="N993" s="1">
        <v>11900</v>
      </c>
      <c r="O993" s="12">
        <v>11900</v>
      </c>
      <c r="P993" s="3" t="s">
        <v>26</v>
      </c>
      <c r="Q993" s="1" cm="1">
        <f t="array" ref="Q993">VALUE(INDEX(_xlfn.TEXTSPLIT(P993, " "), 4))</f>
        <v>2014</v>
      </c>
      <c r="R993" s="1" t="str">
        <f t="shared" si="15"/>
        <v>Chevrolet Captiva Sport LTZ Fleet</v>
      </c>
      <c r="S993" s="1" t="str" cm="1">
        <f t="array" ref="S993">_xlfn.IFS(I993 &gt;= 40, "High", I993&gt;=20, "Medium", I993&lt;20, "Low")</f>
        <v>Low</v>
      </c>
      <c r="T993" s="1" t="str" cm="1">
        <f t="array" ref="T993">_xlfn.IFS(O993&lt;18200, "Low", O993&lt;=50000, "Medium", O993&gt;50000, "High")</f>
        <v>Low</v>
      </c>
    </row>
    <row r="994" spans="1:20" x14ac:dyDescent="0.25">
      <c r="A994" s="2">
        <v>2012</v>
      </c>
      <c r="B994" s="1" t="s">
        <v>58</v>
      </c>
      <c r="C994" s="1" t="s">
        <v>113</v>
      </c>
      <c r="D994" s="1" t="s">
        <v>1536</v>
      </c>
      <c r="E994" s="1" t="s">
        <v>32</v>
      </c>
      <c r="F994" s="1" t="s">
        <v>20</v>
      </c>
      <c r="G994" s="1" t="s">
        <v>1622</v>
      </c>
      <c r="H994" s="1" t="s">
        <v>22</v>
      </c>
      <c r="I994" s="1">
        <v>41</v>
      </c>
      <c r="J994" s="1">
        <v>56524</v>
      </c>
      <c r="K994" s="1" t="s">
        <v>23</v>
      </c>
      <c r="L994" s="1" t="s">
        <v>24</v>
      </c>
      <c r="M994" s="1" t="s">
        <v>1623</v>
      </c>
      <c r="N994" s="1">
        <v>9350</v>
      </c>
      <c r="O994" s="12">
        <v>9200</v>
      </c>
      <c r="P994" s="3" t="s">
        <v>57</v>
      </c>
      <c r="Q994" s="1" cm="1">
        <f t="array" ref="Q994">VALUE(INDEX(_xlfn.TEXTSPLIT(P994, " "), 4))</f>
        <v>2014</v>
      </c>
      <c r="R994" s="1" t="str">
        <f t="shared" si="15"/>
        <v>Chevrolet Impala LT Fleet</v>
      </c>
      <c r="S994" s="1" t="str" cm="1">
        <f t="array" ref="S994">_xlfn.IFS(I994 &gt;= 40, "High", I994&gt;=20, "Medium", I994&lt;20, "Low")</f>
        <v>High</v>
      </c>
      <c r="T994" s="1" t="str" cm="1">
        <f t="array" ref="T994">_xlfn.IFS(O994&lt;18200, "Low", O994&lt;=50000, "Medium", O994&gt;50000, "High")</f>
        <v>Low</v>
      </c>
    </row>
    <row r="995" spans="1:20" x14ac:dyDescent="0.25">
      <c r="A995" s="2">
        <v>2012</v>
      </c>
      <c r="B995" s="1" t="s">
        <v>58</v>
      </c>
      <c r="C995" s="1" t="s">
        <v>265</v>
      </c>
      <c r="D995" s="1" t="s">
        <v>266</v>
      </c>
      <c r="E995" s="1" t="s">
        <v>267</v>
      </c>
      <c r="F995" s="1" t="s">
        <v>20</v>
      </c>
      <c r="G995" s="1" t="s">
        <v>1624</v>
      </c>
      <c r="H995" s="1" t="s">
        <v>22</v>
      </c>
      <c r="I995" s="1">
        <v>29</v>
      </c>
      <c r="J995" s="1">
        <v>61464</v>
      </c>
      <c r="K995" s="1" t="s">
        <v>23</v>
      </c>
      <c r="L995" s="1" t="s">
        <v>24</v>
      </c>
      <c r="M995" s="1" t="s">
        <v>728</v>
      </c>
      <c r="N995" s="1">
        <v>22600</v>
      </c>
      <c r="O995" s="12">
        <v>22500</v>
      </c>
      <c r="P995" s="3" t="s">
        <v>57</v>
      </c>
      <c r="Q995" s="1" cm="1">
        <f t="array" ref="Q995">VALUE(INDEX(_xlfn.TEXTSPLIT(P995, " "), 4))</f>
        <v>2014</v>
      </c>
      <c r="R995" s="1" t="str">
        <f t="shared" si="15"/>
        <v>Chevrolet Silverado 2500HD Work Truck</v>
      </c>
      <c r="S995" s="1" t="str" cm="1">
        <f t="array" ref="S995">_xlfn.IFS(I995 &gt;= 40, "High", I995&gt;=20, "Medium", I995&lt;20, "Low")</f>
        <v>Medium</v>
      </c>
      <c r="T995" s="1" t="str" cm="1">
        <f t="array" ref="T995">_xlfn.IFS(O995&lt;18200, "Low", O995&lt;=50000, "Medium", O995&gt;50000, "High")</f>
        <v>Medium</v>
      </c>
    </row>
    <row r="996" spans="1:20" x14ac:dyDescent="0.25">
      <c r="A996" s="2">
        <v>2012</v>
      </c>
      <c r="B996" s="1" t="s">
        <v>166</v>
      </c>
      <c r="C996" s="1" t="s">
        <v>1625</v>
      </c>
      <c r="D996" s="1" t="s">
        <v>195</v>
      </c>
      <c r="E996" s="1" t="s">
        <v>19</v>
      </c>
      <c r="F996" s="1" t="s">
        <v>20</v>
      </c>
      <c r="G996" s="1" t="s">
        <v>1626</v>
      </c>
      <c r="H996" s="1" t="s">
        <v>22</v>
      </c>
      <c r="I996" s="1">
        <v>36</v>
      </c>
      <c r="J996" s="1">
        <v>35551</v>
      </c>
      <c r="K996" s="1" t="s">
        <v>24</v>
      </c>
      <c r="L996" s="1" t="s">
        <v>24</v>
      </c>
      <c r="M996" s="1" t="s">
        <v>1550</v>
      </c>
      <c r="N996" s="1">
        <v>36600</v>
      </c>
      <c r="O996" s="12">
        <v>36500</v>
      </c>
      <c r="P996" s="3" t="s">
        <v>46</v>
      </c>
      <c r="Q996" s="1" cm="1">
        <f t="array" ref="Q996">VALUE(INDEX(_xlfn.TEXTSPLIT(P996, " "), 4))</f>
        <v>2014</v>
      </c>
      <c r="R996" s="1" t="str">
        <f t="shared" si="15"/>
        <v>Cadillac Escalade Luxury</v>
      </c>
      <c r="S996" s="1" t="str" cm="1">
        <f t="array" ref="S996">_xlfn.IFS(I996 &gt;= 40, "High", I996&gt;=20, "Medium", I996&lt;20, "Low")</f>
        <v>Medium</v>
      </c>
      <c r="T996" s="1" t="str" cm="1">
        <f t="array" ref="T996">_xlfn.IFS(O996&lt;18200, "Low", O996&lt;=50000, "Medium", O996&gt;50000, "High")</f>
        <v>Medium</v>
      </c>
    </row>
    <row r="997" spans="1:20" x14ac:dyDescent="0.25">
      <c r="A997" s="2">
        <v>2012</v>
      </c>
      <c r="B997" s="1" t="s">
        <v>85</v>
      </c>
      <c r="C997" s="1" t="s">
        <v>1513</v>
      </c>
      <c r="D997" s="1" t="s">
        <v>337</v>
      </c>
      <c r="E997" s="1" t="s">
        <v>19</v>
      </c>
      <c r="F997" s="1" t="s">
        <v>20</v>
      </c>
      <c r="G997" s="1" t="s">
        <v>1627</v>
      </c>
      <c r="H997" s="1" t="s">
        <v>22</v>
      </c>
      <c r="I997" s="1">
        <v>47</v>
      </c>
      <c r="J997" s="1">
        <v>30843</v>
      </c>
      <c r="K997" s="1" t="s">
        <v>23</v>
      </c>
      <c r="L997" s="1" t="s">
        <v>28</v>
      </c>
      <c r="M997" s="1" t="s">
        <v>1515</v>
      </c>
      <c r="N997" s="1">
        <v>15750</v>
      </c>
      <c r="O997" s="12">
        <v>16000</v>
      </c>
      <c r="P997" s="3" t="s">
        <v>68</v>
      </c>
      <c r="Q997" s="1" cm="1">
        <f t="array" ref="Q997">VALUE(INDEX(_xlfn.TEXTSPLIT(P997, " "), 4))</f>
        <v>2014</v>
      </c>
      <c r="R997" s="1" t="str">
        <f t="shared" si="15"/>
        <v>Ford Escape Limited</v>
      </c>
      <c r="S997" s="1" t="str" cm="1">
        <f t="array" ref="S997">_xlfn.IFS(I997 &gt;= 40, "High", I997&gt;=20, "Medium", I997&lt;20, "Low")</f>
        <v>High</v>
      </c>
      <c r="T997" s="1" t="str" cm="1">
        <f t="array" ref="T997">_xlfn.IFS(O997&lt;18200, "Low", O997&lt;=50000, "Medium", O997&gt;50000, "High")</f>
        <v>Low</v>
      </c>
    </row>
    <row r="998" spans="1:20" x14ac:dyDescent="0.25">
      <c r="A998" s="2">
        <v>2012</v>
      </c>
      <c r="B998" s="1" t="s">
        <v>1507</v>
      </c>
      <c r="C998" s="1" t="s">
        <v>1628</v>
      </c>
      <c r="D998" s="1" t="s">
        <v>1629</v>
      </c>
      <c r="E998" s="1" t="s">
        <v>738</v>
      </c>
      <c r="F998" s="1" t="s">
        <v>20</v>
      </c>
      <c r="G998" s="1" t="s">
        <v>1630</v>
      </c>
      <c r="H998" s="1" t="s">
        <v>22</v>
      </c>
      <c r="I998" s="1">
        <v>44</v>
      </c>
      <c r="J998" s="1">
        <v>97805</v>
      </c>
      <c r="K998" s="1" t="s">
        <v>91</v>
      </c>
      <c r="L998" s="1" t="s">
        <v>24</v>
      </c>
      <c r="M998" s="1" t="s">
        <v>742</v>
      </c>
      <c r="N998" s="1">
        <v>7975</v>
      </c>
      <c r="O998" s="12">
        <v>8900</v>
      </c>
      <c r="P998" s="3" t="s">
        <v>57</v>
      </c>
      <c r="Q998" s="1" cm="1">
        <f t="array" ref="Q998">VALUE(INDEX(_xlfn.TEXTSPLIT(P998, " "), 4))</f>
        <v>2014</v>
      </c>
      <c r="R998" s="1" t="str">
        <f t="shared" si="15"/>
        <v>Dodge Grand Caravan American Value Package</v>
      </c>
      <c r="S998" s="1" t="str" cm="1">
        <f t="array" ref="S998">_xlfn.IFS(I998 &gt;= 40, "High", I998&gt;=20, "Medium", I998&lt;20, "Low")</f>
        <v>High</v>
      </c>
      <c r="T998" s="1" t="str" cm="1">
        <f t="array" ref="T998">_xlfn.IFS(O998&lt;18200, "Low", O998&lt;=50000, "Medium", O998&gt;50000, "High")</f>
        <v>Low</v>
      </c>
    </row>
    <row r="999" spans="1:20" x14ac:dyDescent="0.25">
      <c r="A999" s="2">
        <v>2012</v>
      </c>
      <c r="B999" s="1" t="s">
        <v>58</v>
      </c>
      <c r="C999" s="1" t="s">
        <v>59</v>
      </c>
      <c r="D999" s="1" t="s">
        <v>60</v>
      </c>
      <c r="E999" s="1" t="s">
        <v>32</v>
      </c>
      <c r="F999" s="1" t="s">
        <v>20</v>
      </c>
      <c r="G999" s="1" t="s">
        <v>1631</v>
      </c>
      <c r="H999" s="1" t="s">
        <v>22</v>
      </c>
      <c r="I999" s="1">
        <v>42</v>
      </c>
      <c r="J999" s="1">
        <v>26691</v>
      </c>
      <c r="K999" s="1" t="s">
        <v>23</v>
      </c>
      <c r="L999" s="1" t="s">
        <v>34</v>
      </c>
      <c r="M999" s="1" t="s">
        <v>1089</v>
      </c>
      <c r="N999" s="1">
        <v>10450</v>
      </c>
      <c r="O999" s="12">
        <v>11500</v>
      </c>
      <c r="P999" s="3" t="s">
        <v>84</v>
      </c>
      <c r="Q999" s="1" cm="1">
        <f t="array" ref="Q999">VALUE(INDEX(_xlfn.TEXTSPLIT(P999, " "), 4))</f>
        <v>2014</v>
      </c>
      <c r="R999" s="1" t="str">
        <f t="shared" si="15"/>
        <v>Chevrolet Cruze 1LT</v>
      </c>
      <c r="S999" s="1" t="str" cm="1">
        <f t="array" ref="S999">_xlfn.IFS(I999 &gt;= 40, "High", I999&gt;=20, "Medium", I999&lt;20, "Low")</f>
        <v>High</v>
      </c>
      <c r="T999" s="1" t="str" cm="1">
        <f t="array" ref="T999">_xlfn.IFS(O999&lt;18200, "Low", O999&lt;=50000, "Medium", O999&gt;50000, "High")</f>
        <v>Low</v>
      </c>
    </row>
    <row r="1000" spans="1:20" x14ac:dyDescent="0.25">
      <c r="A1000" s="2">
        <v>2012</v>
      </c>
      <c r="B1000" s="1" t="s">
        <v>1507</v>
      </c>
      <c r="C1000" s="1" t="s">
        <v>1628</v>
      </c>
      <c r="D1000" s="1" t="s">
        <v>1572</v>
      </c>
      <c r="E1000" s="1" t="s">
        <v>738</v>
      </c>
      <c r="F1000" s="1" t="s">
        <v>20</v>
      </c>
      <c r="G1000" s="1" t="s">
        <v>1632</v>
      </c>
      <c r="H1000" s="1" t="s">
        <v>22</v>
      </c>
      <c r="I1000" s="1">
        <v>29</v>
      </c>
      <c r="J1000" s="1">
        <v>54064</v>
      </c>
      <c r="K1000" s="1" t="s">
        <v>24</v>
      </c>
      <c r="L1000" s="1" t="s">
        <v>28</v>
      </c>
      <c r="M1000" s="1" t="s">
        <v>292</v>
      </c>
      <c r="N1000" s="1">
        <v>10650</v>
      </c>
      <c r="O1000" s="12">
        <v>11750</v>
      </c>
      <c r="P1000" s="3" t="s">
        <v>26</v>
      </c>
      <c r="Q1000" s="1" cm="1">
        <f t="array" ref="Q1000">VALUE(INDEX(_xlfn.TEXTSPLIT(P1000, " "), 4))</f>
        <v>2014</v>
      </c>
      <c r="R1000" s="1" t="str">
        <f t="shared" si="15"/>
        <v>Dodge Grand Caravan SXT</v>
      </c>
      <c r="S1000" s="1" t="str" cm="1">
        <f t="array" ref="S1000">_xlfn.IFS(I1000 &gt;= 40, "High", I1000&gt;=20, "Medium", I1000&lt;20, "Low")</f>
        <v>Medium</v>
      </c>
      <c r="T1000" s="1" t="str" cm="1">
        <f t="array" ref="T1000">_xlfn.IFS(O1000&lt;18200, "Low", O1000&lt;=50000, "Medium", O1000&gt;50000, "High")</f>
        <v>Low</v>
      </c>
    </row>
    <row r="1001" spans="1:20" x14ac:dyDescent="0.25">
      <c r="A1001" s="2">
        <v>2012</v>
      </c>
      <c r="B1001" s="1" t="s">
        <v>85</v>
      </c>
      <c r="C1001" s="1" t="s">
        <v>1517</v>
      </c>
      <c r="D1001" s="1" t="s">
        <v>337</v>
      </c>
      <c r="E1001" s="1" t="s">
        <v>19</v>
      </c>
      <c r="F1001" s="1" t="s">
        <v>20</v>
      </c>
      <c r="G1001" s="1" t="s">
        <v>1633</v>
      </c>
      <c r="H1001" s="1" t="s">
        <v>22</v>
      </c>
      <c r="I1001" s="1">
        <v>42</v>
      </c>
      <c r="J1001" s="1">
        <v>24065</v>
      </c>
      <c r="K1001" s="1" t="s">
        <v>24</v>
      </c>
      <c r="L1001" s="1" t="s">
        <v>24</v>
      </c>
      <c r="M1001" s="1" t="s">
        <v>1515</v>
      </c>
      <c r="N1001" s="1">
        <v>21100</v>
      </c>
      <c r="O1001" s="12">
        <v>23000</v>
      </c>
      <c r="P1001" s="3" t="s">
        <v>68</v>
      </c>
      <c r="Q1001" s="1" cm="1">
        <f t="array" ref="Q1001">VALUE(INDEX(_xlfn.TEXTSPLIT(P1001, " "), 4))</f>
        <v>2014</v>
      </c>
      <c r="R1001" s="1" t="str">
        <f t="shared" si="15"/>
        <v>Ford Edge Limited</v>
      </c>
      <c r="S1001" s="1" t="str" cm="1">
        <f t="array" ref="S1001">_xlfn.IFS(I1001 &gt;= 40, "High", I1001&gt;=20, "Medium", I1001&lt;20, "Low")</f>
        <v>High</v>
      </c>
      <c r="T1001" s="1" t="str" cm="1">
        <f t="array" ref="T1001">_xlfn.IFS(O1001&lt;18200, "Low", O1001&lt;=50000, "Medium", O1001&gt;50000, "High")</f>
        <v>Medium</v>
      </c>
    </row>
    <row r="1002" spans="1:20" x14ac:dyDescent="0.25">
      <c r="A1002" s="2">
        <v>2012</v>
      </c>
      <c r="B1002" s="1" t="s">
        <v>1562</v>
      </c>
      <c r="C1002" s="1">
        <v>200</v>
      </c>
      <c r="D1002" s="1" t="s">
        <v>18</v>
      </c>
      <c r="E1002" s="1" t="s">
        <v>32</v>
      </c>
      <c r="F1002" s="1" t="s">
        <v>20</v>
      </c>
      <c r="G1002" s="1" t="s">
        <v>1634</v>
      </c>
      <c r="H1002" s="1" t="s">
        <v>22</v>
      </c>
      <c r="I1002" s="1"/>
      <c r="J1002" s="1">
        <v>1</v>
      </c>
      <c r="K1002" s="1" t="s">
        <v>34</v>
      </c>
      <c r="L1002" s="1" t="s">
        <v>24</v>
      </c>
      <c r="M1002" s="1" t="s">
        <v>946</v>
      </c>
      <c r="N1002" s="1">
        <v>10450</v>
      </c>
      <c r="O1002" s="12">
        <v>1300</v>
      </c>
      <c r="P1002" s="3" t="s">
        <v>62</v>
      </c>
      <c r="Q1002" s="1" cm="1">
        <f t="array" ref="Q1002">VALUE(INDEX(_xlfn.TEXTSPLIT(P1002, " "), 4))</f>
        <v>2014</v>
      </c>
      <c r="R1002" s="1" t="str">
        <f t="shared" si="15"/>
        <v>Chrysler 200 LX</v>
      </c>
      <c r="S1002" s="1" t="str" cm="1">
        <f t="array" ref="S1002">_xlfn.IFS(I1002 &gt;= 40, "High", I1002&gt;=20, "Medium", I1002&lt;20, "Low")</f>
        <v>Low</v>
      </c>
      <c r="T1002" s="1" t="str" cm="1">
        <f t="array" ref="T1002">_xlfn.IFS(O1002&lt;18200, "Low", O1002&lt;=50000, "Medium", O1002&gt;50000, "High")</f>
        <v>Low</v>
      </c>
    </row>
    <row r="1003" spans="1:20" x14ac:dyDescent="0.25">
      <c r="A1003" s="2">
        <v>2012</v>
      </c>
      <c r="B1003" s="1" t="s">
        <v>85</v>
      </c>
      <c r="C1003" s="1" t="s">
        <v>1517</v>
      </c>
      <c r="D1003" s="1" t="s">
        <v>87</v>
      </c>
      <c r="E1003" s="1" t="s">
        <v>19</v>
      </c>
      <c r="F1003" s="1" t="s">
        <v>20</v>
      </c>
      <c r="G1003" s="1" t="s">
        <v>1635</v>
      </c>
      <c r="H1003" s="1" t="s">
        <v>22</v>
      </c>
      <c r="I1003" s="1">
        <v>45</v>
      </c>
      <c r="J1003" s="1">
        <v>30801</v>
      </c>
      <c r="K1003" s="1" t="s">
        <v>23</v>
      </c>
      <c r="L1003" s="1" t="s">
        <v>28</v>
      </c>
      <c r="M1003" s="1" t="s">
        <v>1515</v>
      </c>
      <c r="N1003" s="1">
        <v>15400</v>
      </c>
      <c r="O1003" s="12">
        <v>16600</v>
      </c>
      <c r="P1003" s="3" t="s">
        <v>68</v>
      </c>
      <c r="Q1003" s="1" cm="1">
        <f t="array" ref="Q1003">VALUE(INDEX(_xlfn.TEXTSPLIT(P1003, " "), 4))</f>
        <v>2014</v>
      </c>
      <c r="R1003" s="1" t="str">
        <f t="shared" si="15"/>
        <v>Ford Edge SE</v>
      </c>
      <c r="S1003" s="1" t="str" cm="1">
        <f t="array" ref="S1003">_xlfn.IFS(I1003 &gt;= 40, "High", I1003&gt;=20, "Medium", I1003&lt;20, "Low")</f>
        <v>High</v>
      </c>
      <c r="T1003" s="1" t="str" cm="1">
        <f t="array" ref="T1003">_xlfn.IFS(O1003&lt;18200, "Low", O1003&lt;=50000, "Medium", O1003&gt;50000, "High")</f>
        <v>Low</v>
      </c>
    </row>
    <row r="1004" spans="1:20" x14ac:dyDescent="0.25">
      <c r="A1004" s="2">
        <v>2012</v>
      </c>
      <c r="B1004" s="1" t="s">
        <v>29</v>
      </c>
      <c r="C1004" s="1" t="s">
        <v>177</v>
      </c>
      <c r="D1004" s="1" t="s">
        <v>1583</v>
      </c>
      <c r="E1004" s="1" t="s">
        <v>19</v>
      </c>
      <c r="F1004" s="1" t="s">
        <v>20</v>
      </c>
      <c r="G1004" s="1" t="s">
        <v>1636</v>
      </c>
      <c r="H1004" s="1" t="s">
        <v>22</v>
      </c>
      <c r="I1004" s="1">
        <v>19</v>
      </c>
      <c r="J1004" s="1">
        <v>39766</v>
      </c>
      <c r="K1004" s="1" t="s">
        <v>24</v>
      </c>
      <c r="L1004" s="1" t="s">
        <v>82</v>
      </c>
      <c r="M1004" s="1" t="s">
        <v>35</v>
      </c>
      <c r="N1004" s="1">
        <v>40100</v>
      </c>
      <c r="O1004" s="12">
        <v>37500</v>
      </c>
      <c r="P1004" s="3" t="s">
        <v>36</v>
      </c>
      <c r="Q1004" s="1" cm="1">
        <f t="array" ref="Q1004">VALUE(INDEX(_xlfn.TEXTSPLIT(P1004, " "), 4))</f>
        <v>2015</v>
      </c>
      <c r="R1004" s="1" t="str">
        <f t="shared" si="15"/>
        <v>BMW X6 xDrive50i</v>
      </c>
      <c r="S1004" s="1" t="str" cm="1">
        <f t="array" ref="S1004">_xlfn.IFS(I1004 &gt;= 40, "High", I1004&gt;=20, "Medium", I1004&lt;20, "Low")</f>
        <v>Low</v>
      </c>
      <c r="T1004" s="1" t="str" cm="1">
        <f t="array" ref="T1004">_xlfn.IFS(O1004&lt;18200, "Low", O1004&lt;=50000, "Medium", O1004&gt;50000, "High")</f>
        <v>Medium</v>
      </c>
    </row>
    <row r="1005" spans="1:20" x14ac:dyDescent="0.25">
      <c r="A1005" s="2">
        <v>2012</v>
      </c>
      <c r="B1005" s="1" t="s">
        <v>85</v>
      </c>
      <c r="C1005" s="1" t="s">
        <v>1525</v>
      </c>
      <c r="D1005" s="1" t="s">
        <v>87</v>
      </c>
      <c r="E1005" s="1" t="s">
        <v>227</v>
      </c>
      <c r="F1005" s="1" t="s">
        <v>20</v>
      </c>
      <c r="G1005" s="1" t="s">
        <v>1637</v>
      </c>
      <c r="H1005" s="1" t="s">
        <v>22</v>
      </c>
      <c r="I1005" s="1">
        <v>29</v>
      </c>
      <c r="J1005" s="1">
        <v>63205</v>
      </c>
      <c r="K1005" s="1" t="s">
        <v>24</v>
      </c>
      <c r="L1005" s="1" t="s">
        <v>24</v>
      </c>
      <c r="M1005" s="1" t="s">
        <v>431</v>
      </c>
      <c r="N1005" s="1">
        <v>8525</v>
      </c>
      <c r="O1005" s="12">
        <v>8300</v>
      </c>
      <c r="P1005" s="3" t="s">
        <v>57</v>
      </c>
      <c r="Q1005" s="1" cm="1">
        <f t="array" ref="Q1005">VALUE(INDEX(_xlfn.TEXTSPLIT(P1005, " "), 4))</f>
        <v>2014</v>
      </c>
      <c r="R1005" s="1" t="str">
        <f t="shared" si="15"/>
        <v>Ford Focus SE</v>
      </c>
      <c r="S1005" s="1" t="str" cm="1">
        <f t="array" ref="S1005">_xlfn.IFS(I1005 &gt;= 40, "High", I1005&gt;=20, "Medium", I1005&lt;20, "Low")</f>
        <v>Medium</v>
      </c>
      <c r="T1005" s="1" t="str" cm="1">
        <f t="array" ref="T1005">_xlfn.IFS(O1005&lt;18200, "Low", O1005&lt;=50000, "Medium", O1005&gt;50000, "High")</f>
        <v>Low</v>
      </c>
    </row>
    <row r="1006" spans="1:20" x14ac:dyDescent="0.25">
      <c r="A1006" s="2">
        <v>2012</v>
      </c>
      <c r="B1006" s="1" t="s">
        <v>58</v>
      </c>
      <c r="C1006" s="1" t="s">
        <v>59</v>
      </c>
      <c r="D1006" s="1" t="s">
        <v>92</v>
      </c>
      <c r="E1006" s="1" t="s">
        <v>32</v>
      </c>
      <c r="F1006" s="1" t="s">
        <v>20</v>
      </c>
      <c r="G1006" s="1" t="s">
        <v>1638</v>
      </c>
      <c r="H1006" s="1" t="s">
        <v>22</v>
      </c>
      <c r="I1006" s="1">
        <v>19</v>
      </c>
      <c r="J1006" s="1">
        <v>76900</v>
      </c>
      <c r="K1006" s="1" t="s">
        <v>23</v>
      </c>
      <c r="L1006" s="1" t="s">
        <v>24</v>
      </c>
      <c r="M1006" s="1" t="s">
        <v>1639</v>
      </c>
      <c r="N1006" s="1">
        <v>8475</v>
      </c>
      <c r="O1006" s="12">
        <v>5600</v>
      </c>
      <c r="P1006" s="3" t="s">
        <v>68</v>
      </c>
      <c r="Q1006" s="1" cm="1">
        <f t="array" ref="Q1006">VALUE(INDEX(_xlfn.TEXTSPLIT(P1006, " "), 4))</f>
        <v>2014</v>
      </c>
      <c r="R1006" s="1" t="str">
        <f t="shared" si="15"/>
        <v>Chevrolet Cruze 2LT</v>
      </c>
      <c r="S1006" s="1" t="str" cm="1">
        <f t="array" ref="S1006">_xlfn.IFS(I1006 &gt;= 40, "High", I1006&gt;=20, "Medium", I1006&lt;20, "Low")</f>
        <v>Low</v>
      </c>
      <c r="T1006" s="1" t="str" cm="1">
        <f t="array" ref="T1006">_xlfn.IFS(O1006&lt;18200, "Low", O1006&lt;=50000, "Medium", O1006&gt;50000, "High")</f>
        <v>Low</v>
      </c>
    </row>
    <row r="1007" spans="1:20" x14ac:dyDescent="0.25">
      <c r="A1007" s="2">
        <v>2012</v>
      </c>
      <c r="B1007" s="1" t="s">
        <v>85</v>
      </c>
      <c r="C1007" s="1" t="s">
        <v>1517</v>
      </c>
      <c r="D1007" s="1" t="s">
        <v>87</v>
      </c>
      <c r="E1007" s="1" t="s">
        <v>19</v>
      </c>
      <c r="F1007" s="1" t="s">
        <v>20</v>
      </c>
      <c r="G1007" s="1" t="s">
        <v>1640</v>
      </c>
      <c r="H1007" s="1" t="s">
        <v>22</v>
      </c>
      <c r="I1007" s="1">
        <v>46</v>
      </c>
      <c r="J1007" s="1">
        <v>21368</v>
      </c>
      <c r="K1007" s="1" t="s">
        <v>132</v>
      </c>
      <c r="L1007" s="1" t="s">
        <v>24</v>
      </c>
      <c r="M1007" s="1" t="s">
        <v>1515</v>
      </c>
      <c r="N1007" s="1">
        <v>16300</v>
      </c>
      <c r="O1007" s="12">
        <v>16200</v>
      </c>
      <c r="P1007" s="3" t="s">
        <v>68</v>
      </c>
      <c r="Q1007" s="1" cm="1">
        <f t="array" ref="Q1007">VALUE(INDEX(_xlfn.TEXTSPLIT(P1007, " "), 4))</f>
        <v>2014</v>
      </c>
      <c r="R1007" s="1" t="str">
        <f t="shared" si="15"/>
        <v>Ford Edge SE</v>
      </c>
      <c r="S1007" s="1" t="str" cm="1">
        <f t="array" ref="S1007">_xlfn.IFS(I1007 &gt;= 40, "High", I1007&gt;=20, "Medium", I1007&lt;20, "Low")</f>
        <v>High</v>
      </c>
      <c r="T1007" s="1" t="str" cm="1">
        <f t="array" ref="T1007">_xlfn.IFS(O1007&lt;18200, "Low", O1007&lt;=50000, "Medium", O1007&gt;50000, "High")</f>
        <v>Low</v>
      </c>
    </row>
    <row r="1008" spans="1:20" x14ac:dyDescent="0.25">
      <c r="A1008" s="2">
        <v>2012</v>
      </c>
      <c r="B1008" s="1" t="s">
        <v>58</v>
      </c>
      <c r="C1008" s="1" t="s">
        <v>199</v>
      </c>
      <c r="D1008" s="1" t="s">
        <v>70</v>
      </c>
      <c r="E1008" s="1" t="s">
        <v>32</v>
      </c>
      <c r="F1008" s="1" t="s">
        <v>20</v>
      </c>
      <c r="G1008" s="1" t="s">
        <v>1641</v>
      </c>
      <c r="H1008" s="1" t="s">
        <v>22</v>
      </c>
      <c r="I1008" s="1">
        <v>38</v>
      </c>
      <c r="J1008" s="1">
        <v>67321</v>
      </c>
      <c r="K1008" s="1" t="s">
        <v>91</v>
      </c>
      <c r="L1008" s="1" t="s">
        <v>24</v>
      </c>
      <c r="M1008" s="1" t="s">
        <v>1617</v>
      </c>
      <c r="N1008" s="1">
        <v>9400</v>
      </c>
      <c r="O1008" s="12">
        <v>9300</v>
      </c>
      <c r="P1008" s="3" t="s">
        <v>26</v>
      </c>
      <c r="Q1008" s="1" cm="1">
        <f t="array" ref="Q1008">VALUE(INDEX(_xlfn.TEXTSPLIT(P1008, " "), 4))</f>
        <v>2014</v>
      </c>
      <c r="R1008" s="1" t="str">
        <f t="shared" si="15"/>
        <v>Chevrolet Malibu LT</v>
      </c>
      <c r="S1008" s="1" t="str" cm="1">
        <f t="array" ref="S1008">_xlfn.IFS(I1008 &gt;= 40, "High", I1008&gt;=20, "Medium", I1008&lt;20, "Low")</f>
        <v>Medium</v>
      </c>
      <c r="T1008" s="1" t="str" cm="1">
        <f t="array" ref="T1008">_xlfn.IFS(O1008&lt;18200, "Low", O1008&lt;=50000, "Medium", O1008&gt;50000, "High")</f>
        <v>Low</v>
      </c>
    </row>
    <row r="1009" spans="1:20" x14ac:dyDescent="0.25">
      <c r="A1009" s="2">
        <v>2012</v>
      </c>
      <c r="B1009" s="1" t="s">
        <v>85</v>
      </c>
      <c r="C1009" s="1" t="s">
        <v>1551</v>
      </c>
      <c r="D1009" s="1" t="s">
        <v>936</v>
      </c>
      <c r="E1009" s="1" t="s">
        <v>32</v>
      </c>
      <c r="F1009" s="1" t="s">
        <v>20</v>
      </c>
      <c r="G1009" s="1" t="s">
        <v>1642</v>
      </c>
      <c r="H1009" s="1" t="s">
        <v>22</v>
      </c>
      <c r="I1009" s="1">
        <v>3</v>
      </c>
      <c r="J1009" s="1">
        <v>149962</v>
      </c>
      <c r="K1009" s="1" t="s">
        <v>23</v>
      </c>
      <c r="L1009" s="1" t="s">
        <v>34</v>
      </c>
      <c r="M1009" s="1" t="s">
        <v>1643</v>
      </c>
      <c r="N1009" s="1">
        <v>3650</v>
      </c>
      <c r="O1009" s="12">
        <v>3200</v>
      </c>
      <c r="P1009" s="3" t="s">
        <v>84</v>
      </c>
      <c r="Q1009" s="1" cm="1">
        <f t="array" ref="Q1009">VALUE(INDEX(_xlfn.TEXTSPLIT(P1009, " "), 4))</f>
        <v>2014</v>
      </c>
      <c r="R1009" s="1" t="str">
        <f t="shared" si="15"/>
        <v>Ford Fiesta S</v>
      </c>
      <c r="S1009" s="1" t="str" cm="1">
        <f t="array" ref="S1009">_xlfn.IFS(I1009 &gt;= 40, "High", I1009&gt;=20, "Medium", I1009&lt;20, "Low")</f>
        <v>Low</v>
      </c>
      <c r="T1009" s="1" t="str" cm="1">
        <f t="array" ref="T1009">_xlfn.IFS(O1009&lt;18200, "Low", O1009&lt;=50000, "Medium", O1009&gt;50000, "High")</f>
        <v>Low</v>
      </c>
    </row>
    <row r="1010" spans="1:20" x14ac:dyDescent="0.25">
      <c r="A1010" s="2">
        <v>2012</v>
      </c>
      <c r="B1010" s="1" t="s">
        <v>166</v>
      </c>
      <c r="C1010" s="1" t="s">
        <v>1644</v>
      </c>
      <c r="D1010" s="1" t="s">
        <v>1645</v>
      </c>
      <c r="E1010" s="1" t="s">
        <v>1644</v>
      </c>
      <c r="F1010" s="1" t="s">
        <v>20</v>
      </c>
      <c r="G1010" s="1" t="s">
        <v>1646</v>
      </c>
      <c r="H1010" s="1" t="s">
        <v>22</v>
      </c>
      <c r="I1010" s="1">
        <v>4</v>
      </c>
      <c r="J1010" s="1">
        <v>18736</v>
      </c>
      <c r="K1010" s="1" t="s">
        <v>132</v>
      </c>
      <c r="L1010" s="1" t="s">
        <v>28</v>
      </c>
      <c r="M1010" s="1" t="s">
        <v>79</v>
      </c>
      <c r="N1010" s="1">
        <v>27100</v>
      </c>
      <c r="O1010" s="12">
        <v>27500</v>
      </c>
      <c r="P1010" s="3" t="s">
        <v>26</v>
      </c>
      <c r="Q1010" s="1" cm="1">
        <f t="array" ref="Q1010">VALUE(INDEX(_xlfn.TEXTSPLIT(P1010, " "), 4))</f>
        <v>2014</v>
      </c>
      <c r="R1010" s="1" t="str">
        <f t="shared" si="15"/>
        <v>Cadillac CTS Coupe Premium</v>
      </c>
      <c r="S1010" s="1" t="str" cm="1">
        <f t="array" ref="S1010">_xlfn.IFS(I1010 &gt;= 40, "High", I1010&gt;=20, "Medium", I1010&lt;20, "Low")</f>
        <v>Low</v>
      </c>
      <c r="T1010" s="1" t="str" cm="1">
        <f t="array" ref="T1010">_xlfn.IFS(O1010&lt;18200, "Low", O1010&lt;=50000, "Medium", O1010&gt;50000, "High")</f>
        <v>Medium</v>
      </c>
    </row>
    <row r="1011" spans="1:20" x14ac:dyDescent="0.25">
      <c r="A1011" s="2">
        <v>2012</v>
      </c>
      <c r="B1011" s="1" t="s">
        <v>85</v>
      </c>
      <c r="C1011" s="1" t="s">
        <v>1525</v>
      </c>
      <c r="D1011" s="1" t="s">
        <v>87</v>
      </c>
      <c r="E1011" s="1" t="s">
        <v>32</v>
      </c>
      <c r="F1011" s="1" t="s">
        <v>20</v>
      </c>
      <c r="G1011" s="1" t="s">
        <v>1647</v>
      </c>
      <c r="H1011" s="1" t="s">
        <v>22</v>
      </c>
      <c r="I1011" s="1">
        <v>48</v>
      </c>
      <c r="J1011" s="1">
        <v>9059</v>
      </c>
      <c r="K1011" s="1" t="s">
        <v>34</v>
      </c>
      <c r="L1011" s="1" t="s">
        <v>34</v>
      </c>
      <c r="M1011" s="1" t="s">
        <v>1515</v>
      </c>
      <c r="N1011" s="1">
        <v>11050</v>
      </c>
      <c r="O1011" s="12">
        <v>12100</v>
      </c>
      <c r="P1011" s="3" t="s">
        <v>1609</v>
      </c>
      <c r="Q1011" s="1" cm="1">
        <f t="array" ref="Q1011">VALUE(INDEX(_xlfn.TEXTSPLIT(P1011, " "), 4))</f>
        <v>2015</v>
      </c>
      <c r="R1011" s="1" t="str">
        <f t="shared" si="15"/>
        <v>Ford Focus SE</v>
      </c>
      <c r="S1011" s="1" t="str" cm="1">
        <f t="array" ref="S1011">_xlfn.IFS(I1011 &gt;= 40, "High", I1011&gt;=20, "Medium", I1011&lt;20, "Low")</f>
        <v>High</v>
      </c>
      <c r="T1011" s="1" t="str" cm="1">
        <f t="array" ref="T1011">_xlfn.IFS(O1011&lt;18200, "Low", O1011&lt;=50000, "Medium", O1011&gt;50000, "High")</f>
        <v>Low</v>
      </c>
    </row>
    <row r="1012" spans="1:20" x14ac:dyDescent="0.25">
      <c r="A1012" s="2">
        <v>2012</v>
      </c>
      <c r="B1012" s="1" t="s">
        <v>58</v>
      </c>
      <c r="C1012" s="1" t="s">
        <v>283</v>
      </c>
      <c r="D1012" s="1" t="s">
        <v>70</v>
      </c>
      <c r="E1012" s="1" t="s">
        <v>1648</v>
      </c>
      <c r="F1012" s="1"/>
      <c r="G1012" s="1" t="s">
        <v>1649</v>
      </c>
      <c r="H1012" s="1" t="s">
        <v>22</v>
      </c>
      <c r="I1012" s="1">
        <v>42</v>
      </c>
      <c r="J1012" s="1">
        <v>66654</v>
      </c>
      <c r="K1012" s="1" t="s">
        <v>73</v>
      </c>
      <c r="L1012" s="1" t="s">
        <v>28</v>
      </c>
      <c r="M1012" s="1" t="s">
        <v>361</v>
      </c>
      <c r="N1012" s="1">
        <v>19950</v>
      </c>
      <c r="O1012" s="12">
        <v>23000</v>
      </c>
      <c r="P1012" s="3" t="s">
        <v>270</v>
      </c>
      <c r="Q1012" s="1" cm="1">
        <f t="array" ref="Q1012">VALUE(INDEX(_xlfn.TEXTSPLIT(P1012, " "), 4))</f>
        <v>2014</v>
      </c>
      <c r="R1012" s="1" t="str">
        <f t="shared" si="15"/>
        <v>Chevrolet Silverado 1500 LT</v>
      </c>
      <c r="S1012" s="1" t="str" cm="1">
        <f t="array" ref="S1012">_xlfn.IFS(I1012 &gt;= 40, "High", I1012&gt;=20, "Medium", I1012&lt;20, "Low")</f>
        <v>High</v>
      </c>
      <c r="T1012" s="1" t="str" cm="1">
        <f t="array" ref="T1012">_xlfn.IFS(O1012&lt;18200, "Low", O1012&lt;=50000, "Medium", O1012&gt;50000, "High")</f>
        <v>Medium</v>
      </c>
    </row>
    <row r="1013" spans="1:20" x14ac:dyDescent="0.25">
      <c r="A1013" s="2">
        <v>2012</v>
      </c>
      <c r="B1013" s="1" t="s">
        <v>58</v>
      </c>
      <c r="C1013" s="1" t="s">
        <v>59</v>
      </c>
      <c r="D1013" s="1" t="s">
        <v>106</v>
      </c>
      <c r="E1013" s="1" t="s">
        <v>32</v>
      </c>
      <c r="F1013" s="1" t="s">
        <v>20</v>
      </c>
      <c r="G1013" s="1" t="s">
        <v>1650</v>
      </c>
      <c r="H1013" s="1" t="s">
        <v>22</v>
      </c>
      <c r="I1013" s="1">
        <v>22</v>
      </c>
      <c r="J1013" s="1">
        <v>34564</v>
      </c>
      <c r="K1013" s="1" t="s">
        <v>91</v>
      </c>
      <c r="L1013" s="1" t="s">
        <v>24</v>
      </c>
      <c r="M1013" s="1" t="s">
        <v>377</v>
      </c>
      <c r="N1013" s="1">
        <v>9000</v>
      </c>
      <c r="O1013" s="12">
        <v>7900</v>
      </c>
      <c r="P1013" s="3" t="s">
        <v>57</v>
      </c>
      <c r="Q1013" s="1" cm="1">
        <f t="array" ref="Q1013">VALUE(INDEX(_xlfn.TEXTSPLIT(P1013, " "), 4))</f>
        <v>2014</v>
      </c>
      <c r="R1013" s="1" t="str">
        <f t="shared" si="15"/>
        <v>Chevrolet Cruze LS</v>
      </c>
      <c r="S1013" s="1" t="str" cm="1">
        <f t="array" ref="S1013">_xlfn.IFS(I1013 &gt;= 40, "High", I1013&gt;=20, "Medium", I1013&lt;20, "Low")</f>
        <v>Medium</v>
      </c>
      <c r="T1013" s="1" t="str" cm="1">
        <f t="array" ref="T1013">_xlfn.IFS(O1013&lt;18200, "Low", O1013&lt;=50000, "Medium", O1013&gt;50000, "High")</f>
        <v>Low</v>
      </c>
    </row>
    <row r="1014" spans="1:20" x14ac:dyDescent="0.25">
      <c r="A1014" s="2">
        <v>2012</v>
      </c>
      <c r="B1014" s="1" t="s">
        <v>1507</v>
      </c>
      <c r="C1014" s="1" t="s">
        <v>1508</v>
      </c>
      <c r="D1014" s="1" t="s">
        <v>87</v>
      </c>
      <c r="E1014" s="1" t="s">
        <v>32</v>
      </c>
      <c r="F1014" s="1" t="s">
        <v>20</v>
      </c>
      <c r="G1014" s="1" t="s">
        <v>1651</v>
      </c>
      <c r="H1014" s="1" t="s">
        <v>22</v>
      </c>
      <c r="I1014" s="1">
        <v>38</v>
      </c>
      <c r="J1014" s="1">
        <v>63184</v>
      </c>
      <c r="K1014" s="1" t="s">
        <v>34</v>
      </c>
      <c r="L1014" s="1" t="s">
        <v>24</v>
      </c>
      <c r="M1014" s="1" t="s">
        <v>431</v>
      </c>
      <c r="N1014" s="1">
        <v>7950</v>
      </c>
      <c r="O1014" s="12">
        <v>8000</v>
      </c>
      <c r="P1014" s="3" t="s">
        <v>57</v>
      </c>
      <c r="Q1014" s="1" cm="1">
        <f t="array" ref="Q1014">VALUE(INDEX(_xlfn.TEXTSPLIT(P1014, " "), 4))</f>
        <v>2014</v>
      </c>
      <c r="R1014" s="1" t="str">
        <f t="shared" si="15"/>
        <v>Dodge Avenger SE</v>
      </c>
      <c r="S1014" s="1" t="str" cm="1">
        <f t="array" ref="S1014">_xlfn.IFS(I1014 &gt;= 40, "High", I1014&gt;=20, "Medium", I1014&lt;20, "Low")</f>
        <v>Medium</v>
      </c>
      <c r="T1014" s="1" t="str" cm="1">
        <f t="array" ref="T1014">_xlfn.IFS(O1014&lt;18200, "Low", O1014&lt;=50000, "Medium", O1014&gt;50000, "High")</f>
        <v>Low</v>
      </c>
    </row>
    <row r="1015" spans="1:20" x14ac:dyDescent="0.25">
      <c r="A1015" s="2">
        <v>2012</v>
      </c>
      <c r="B1015" s="1" t="s">
        <v>85</v>
      </c>
      <c r="C1015" s="1" t="s">
        <v>1600</v>
      </c>
      <c r="D1015" s="1" t="s">
        <v>1652</v>
      </c>
      <c r="E1015" s="1" t="s">
        <v>1602</v>
      </c>
      <c r="F1015" s="1" t="s">
        <v>20</v>
      </c>
      <c r="G1015" s="1" t="s">
        <v>1653</v>
      </c>
      <c r="H1015" s="1" t="s">
        <v>22</v>
      </c>
      <c r="I1015" s="1">
        <v>46</v>
      </c>
      <c r="J1015" s="1">
        <v>28687</v>
      </c>
      <c r="K1015" s="1" t="s">
        <v>34</v>
      </c>
      <c r="L1015" s="1" t="s">
        <v>24</v>
      </c>
      <c r="M1015" s="1" t="s">
        <v>1515</v>
      </c>
      <c r="N1015" s="1">
        <v>26700</v>
      </c>
      <c r="O1015" s="12">
        <v>30500</v>
      </c>
      <c r="P1015" s="3" t="s">
        <v>68</v>
      </c>
      <c r="Q1015" s="1" cm="1">
        <f t="array" ref="Q1015">VALUE(INDEX(_xlfn.TEXTSPLIT(P1015, " "), 4))</f>
        <v>2014</v>
      </c>
      <c r="R1015" s="1" t="str">
        <f t="shared" si="15"/>
        <v>Ford F-150 FX2</v>
      </c>
      <c r="S1015" s="1" t="str" cm="1">
        <f t="array" ref="S1015">_xlfn.IFS(I1015 &gt;= 40, "High", I1015&gt;=20, "Medium", I1015&lt;20, "Low")</f>
        <v>High</v>
      </c>
      <c r="T1015" s="1" t="str" cm="1">
        <f t="array" ref="T1015">_xlfn.IFS(O1015&lt;18200, "Low", O1015&lt;=50000, "Medium", O1015&gt;50000, "High")</f>
        <v>Medium</v>
      </c>
    </row>
    <row r="1016" spans="1:20" x14ac:dyDescent="0.25">
      <c r="A1016" s="2">
        <v>2012</v>
      </c>
      <c r="B1016" s="1" t="s">
        <v>29</v>
      </c>
      <c r="C1016" s="1" t="s">
        <v>136</v>
      </c>
      <c r="D1016" s="1" t="s">
        <v>1520</v>
      </c>
      <c r="E1016" s="1" t="s">
        <v>19</v>
      </c>
      <c r="F1016" s="1" t="s">
        <v>20</v>
      </c>
      <c r="G1016" s="1" t="s">
        <v>1654</v>
      </c>
      <c r="H1016" s="1" t="s">
        <v>22</v>
      </c>
      <c r="I1016" s="1">
        <v>49</v>
      </c>
      <c r="J1016" s="1">
        <v>26640</v>
      </c>
      <c r="K1016" s="1" t="s">
        <v>34</v>
      </c>
      <c r="L1016" s="1" t="s">
        <v>34</v>
      </c>
      <c r="M1016" s="1" t="s">
        <v>35</v>
      </c>
      <c r="N1016" s="1">
        <v>39200</v>
      </c>
      <c r="O1016" s="12">
        <v>40250</v>
      </c>
      <c r="P1016" s="3" t="s">
        <v>46</v>
      </c>
      <c r="Q1016" s="1" cm="1">
        <f t="array" ref="Q1016">VALUE(INDEX(_xlfn.TEXTSPLIT(P1016, " "), 4))</f>
        <v>2014</v>
      </c>
      <c r="R1016" s="1" t="str">
        <f t="shared" si="15"/>
        <v>BMW X5 xDrive35i Premium</v>
      </c>
      <c r="S1016" s="1" t="str" cm="1">
        <f t="array" ref="S1016">_xlfn.IFS(I1016 &gt;= 40, "High", I1016&gt;=20, "Medium", I1016&lt;20, "Low")</f>
        <v>High</v>
      </c>
      <c r="T1016" s="1" t="str" cm="1">
        <f t="array" ref="T1016">_xlfn.IFS(O1016&lt;18200, "Low", O1016&lt;=50000, "Medium", O1016&gt;50000, "High")</f>
        <v>Medium</v>
      </c>
    </row>
    <row r="1017" spans="1:20" x14ac:dyDescent="0.25">
      <c r="A1017" s="2">
        <v>2012</v>
      </c>
      <c r="B1017" s="1" t="s">
        <v>85</v>
      </c>
      <c r="C1017" s="1" t="s">
        <v>1517</v>
      </c>
      <c r="D1017" s="1" t="s">
        <v>1518</v>
      </c>
      <c r="E1017" s="1" t="s">
        <v>19</v>
      </c>
      <c r="F1017" s="1" t="s">
        <v>20</v>
      </c>
      <c r="G1017" s="1" t="s">
        <v>1655</v>
      </c>
      <c r="H1017" s="1" t="s">
        <v>22</v>
      </c>
      <c r="I1017" s="1">
        <v>44</v>
      </c>
      <c r="J1017" s="1">
        <v>31566</v>
      </c>
      <c r="K1017" s="1" t="s">
        <v>94</v>
      </c>
      <c r="L1017" s="1" t="s">
        <v>24</v>
      </c>
      <c r="M1017" s="1" t="s">
        <v>1515</v>
      </c>
      <c r="N1017" s="1">
        <v>19550</v>
      </c>
      <c r="O1017" s="12">
        <v>19800</v>
      </c>
      <c r="P1017" s="3" t="s">
        <v>68</v>
      </c>
      <c r="Q1017" s="1" cm="1">
        <f t="array" ref="Q1017">VALUE(INDEX(_xlfn.TEXTSPLIT(P1017, " "), 4))</f>
        <v>2014</v>
      </c>
      <c r="R1017" s="1" t="str">
        <f t="shared" si="15"/>
        <v>Ford Edge SEL</v>
      </c>
      <c r="S1017" s="1" t="str" cm="1">
        <f t="array" ref="S1017">_xlfn.IFS(I1017 &gt;= 40, "High", I1017&gt;=20, "Medium", I1017&lt;20, "Low")</f>
        <v>High</v>
      </c>
      <c r="T1017" s="1" t="str" cm="1">
        <f t="array" ref="T1017">_xlfn.IFS(O1017&lt;18200, "Low", O1017&lt;=50000, "Medium", O1017&gt;50000, "High")</f>
        <v>Medium</v>
      </c>
    </row>
    <row r="1018" spans="1:20" x14ac:dyDescent="0.25">
      <c r="A1018" s="2">
        <v>2012</v>
      </c>
      <c r="B1018" s="1" t="s">
        <v>1507</v>
      </c>
      <c r="C1018" s="1" t="s">
        <v>1628</v>
      </c>
      <c r="D1018" s="1" t="s">
        <v>1572</v>
      </c>
      <c r="E1018" s="1" t="s">
        <v>738</v>
      </c>
      <c r="F1018" s="1" t="s">
        <v>20</v>
      </c>
      <c r="G1018" s="1" t="s">
        <v>1656</v>
      </c>
      <c r="H1018" s="1" t="s">
        <v>22</v>
      </c>
      <c r="I1018" s="1">
        <v>34</v>
      </c>
      <c r="J1018" s="1">
        <v>43287</v>
      </c>
      <c r="K1018" s="1" t="s">
        <v>91</v>
      </c>
      <c r="L1018" s="1" t="s">
        <v>24</v>
      </c>
      <c r="M1018" s="1" t="s">
        <v>635</v>
      </c>
      <c r="N1018" s="1">
        <v>11450</v>
      </c>
      <c r="O1018" s="12">
        <v>12000</v>
      </c>
      <c r="P1018" s="3" t="s">
        <v>68</v>
      </c>
      <c r="Q1018" s="1" cm="1">
        <f t="array" ref="Q1018">VALUE(INDEX(_xlfn.TEXTSPLIT(P1018, " "), 4))</f>
        <v>2014</v>
      </c>
      <c r="R1018" s="1" t="str">
        <f t="shared" si="15"/>
        <v>Dodge Grand Caravan SXT</v>
      </c>
      <c r="S1018" s="1" t="str" cm="1">
        <f t="array" ref="S1018">_xlfn.IFS(I1018 &gt;= 40, "High", I1018&gt;=20, "Medium", I1018&lt;20, "Low")</f>
        <v>Medium</v>
      </c>
      <c r="T1018" s="1" t="str" cm="1">
        <f t="array" ref="T1018">_xlfn.IFS(O1018&lt;18200, "Low", O1018&lt;=50000, "Medium", O1018&gt;50000, "High")</f>
        <v>Low</v>
      </c>
    </row>
    <row r="1019" spans="1:20" x14ac:dyDescent="0.25">
      <c r="A1019" s="2">
        <v>2012</v>
      </c>
      <c r="B1019" s="1" t="s">
        <v>85</v>
      </c>
      <c r="C1019" s="1" t="s">
        <v>1517</v>
      </c>
      <c r="D1019" s="1" t="s">
        <v>1518</v>
      </c>
      <c r="E1019" s="1" t="s">
        <v>19</v>
      </c>
      <c r="F1019" s="1" t="s">
        <v>20</v>
      </c>
      <c r="G1019" s="1" t="s">
        <v>1657</v>
      </c>
      <c r="H1019" s="1" t="s">
        <v>22</v>
      </c>
      <c r="I1019" s="1">
        <v>44</v>
      </c>
      <c r="J1019" s="1">
        <v>32802</v>
      </c>
      <c r="K1019" s="1" t="s">
        <v>24</v>
      </c>
      <c r="L1019" s="1" t="s">
        <v>24</v>
      </c>
      <c r="M1019" s="1" t="s">
        <v>1515</v>
      </c>
      <c r="N1019" s="1">
        <v>19400</v>
      </c>
      <c r="O1019" s="12">
        <v>18400</v>
      </c>
      <c r="P1019" s="3" t="s">
        <v>68</v>
      </c>
      <c r="Q1019" s="1" cm="1">
        <f t="array" ref="Q1019">VALUE(INDEX(_xlfn.TEXTSPLIT(P1019, " "), 4))</f>
        <v>2014</v>
      </c>
      <c r="R1019" s="1" t="str">
        <f t="shared" si="15"/>
        <v>Ford Edge SEL</v>
      </c>
      <c r="S1019" s="1" t="str" cm="1">
        <f t="array" ref="S1019">_xlfn.IFS(I1019 &gt;= 40, "High", I1019&gt;=20, "Medium", I1019&lt;20, "Low")</f>
        <v>High</v>
      </c>
      <c r="T1019" s="1" t="str" cm="1">
        <f t="array" ref="T1019">_xlfn.IFS(O1019&lt;18200, "Low", O1019&lt;=50000, "Medium", O1019&gt;50000, "High")</f>
        <v>Medium</v>
      </c>
    </row>
    <row r="1020" spans="1:20" x14ac:dyDescent="0.25">
      <c r="A1020" s="2">
        <v>2012</v>
      </c>
      <c r="B1020" s="1" t="s">
        <v>1562</v>
      </c>
      <c r="C1020" s="1" t="s">
        <v>1658</v>
      </c>
      <c r="D1020" s="1" t="s">
        <v>646</v>
      </c>
      <c r="E1020" s="1" t="s">
        <v>738</v>
      </c>
      <c r="F1020" s="1" t="s">
        <v>20</v>
      </c>
      <c r="G1020" s="1" t="s">
        <v>1659</v>
      </c>
      <c r="H1020" s="1" t="s">
        <v>22</v>
      </c>
      <c r="I1020" s="1"/>
      <c r="J1020" s="1">
        <v>71067</v>
      </c>
      <c r="K1020" s="1" t="s">
        <v>23</v>
      </c>
      <c r="L1020" s="1" t="s">
        <v>24</v>
      </c>
      <c r="M1020" s="1" t="s">
        <v>406</v>
      </c>
      <c r="N1020" s="1">
        <v>11950</v>
      </c>
      <c r="O1020" s="12">
        <v>4000</v>
      </c>
      <c r="P1020" s="3" t="s">
        <v>62</v>
      </c>
      <c r="Q1020" s="1" cm="1">
        <f t="array" ref="Q1020">VALUE(INDEX(_xlfn.TEXTSPLIT(P1020, " "), 4))</f>
        <v>2014</v>
      </c>
      <c r="R1020" s="1" t="str">
        <f t="shared" si="15"/>
        <v>Chrysler Town and Country Touring</v>
      </c>
      <c r="S1020" s="1" t="str" cm="1">
        <f t="array" ref="S1020">_xlfn.IFS(I1020 &gt;= 40, "High", I1020&gt;=20, "Medium", I1020&lt;20, "Low")</f>
        <v>Low</v>
      </c>
      <c r="T1020" s="1" t="str" cm="1">
        <f t="array" ref="T1020">_xlfn.IFS(O1020&lt;18200, "Low", O1020&lt;=50000, "Medium", O1020&gt;50000, "High")</f>
        <v>Low</v>
      </c>
    </row>
    <row r="1021" spans="1:20" x14ac:dyDescent="0.25">
      <c r="A1021" s="2">
        <v>2012</v>
      </c>
      <c r="B1021" s="1" t="s">
        <v>58</v>
      </c>
      <c r="C1021" s="1" t="s">
        <v>113</v>
      </c>
      <c r="D1021" s="1" t="s">
        <v>1536</v>
      </c>
      <c r="E1021" s="1" t="s">
        <v>32</v>
      </c>
      <c r="F1021" s="1" t="s">
        <v>20</v>
      </c>
      <c r="G1021" s="1" t="s">
        <v>1660</v>
      </c>
      <c r="H1021" s="1" t="s">
        <v>22</v>
      </c>
      <c r="I1021" s="1">
        <v>19</v>
      </c>
      <c r="J1021" s="1">
        <v>62053</v>
      </c>
      <c r="K1021" s="1" t="s">
        <v>24</v>
      </c>
      <c r="L1021" s="1" t="s">
        <v>24</v>
      </c>
      <c r="M1021" s="1" t="s">
        <v>56</v>
      </c>
      <c r="N1021" s="1">
        <v>9075</v>
      </c>
      <c r="O1021" s="12">
        <v>7100</v>
      </c>
      <c r="P1021" s="3" t="s">
        <v>57</v>
      </c>
      <c r="Q1021" s="1" cm="1">
        <f t="array" ref="Q1021">VALUE(INDEX(_xlfn.TEXTSPLIT(P1021, " "), 4))</f>
        <v>2014</v>
      </c>
      <c r="R1021" s="1" t="str">
        <f t="shared" si="15"/>
        <v>Chevrolet Impala LT Fleet</v>
      </c>
      <c r="S1021" s="1" t="str" cm="1">
        <f t="array" ref="S1021">_xlfn.IFS(I1021 &gt;= 40, "High", I1021&gt;=20, "Medium", I1021&lt;20, "Low")</f>
        <v>Low</v>
      </c>
      <c r="T1021" s="1" t="str" cm="1">
        <f t="array" ref="T1021">_xlfn.IFS(O1021&lt;18200, "Low", O1021&lt;=50000, "Medium", O1021&gt;50000, "High")</f>
        <v>Low</v>
      </c>
    </row>
    <row r="1022" spans="1:20" x14ac:dyDescent="0.25">
      <c r="A1022" s="2">
        <v>2012</v>
      </c>
      <c r="B1022" s="1" t="s">
        <v>58</v>
      </c>
      <c r="C1022" s="1" t="s">
        <v>59</v>
      </c>
      <c r="D1022" s="1" t="s">
        <v>92</v>
      </c>
      <c r="E1022" s="1" t="s">
        <v>32</v>
      </c>
      <c r="F1022" s="1" t="s">
        <v>20</v>
      </c>
      <c r="G1022" s="1" t="s">
        <v>1661</v>
      </c>
      <c r="H1022" s="1" t="s">
        <v>22</v>
      </c>
      <c r="I1022" s="1">
        <v>3</v>
      </c>
      <c r="J1022" s="1">
        <v>57479</v>
      </c>
      <c r="K1022" s="1" t="s">
        <v>91</v>
      </c>
      <c r="L1022" s="1" t="s">
        <v>24</v>
      </c>
      <c r="M1022" s="1" t="s">
        <v>1617</v>
      </c>
      <c r="N1022" s="1">
        <v>9275</v>
      </c>
      <c r="O1022" s="12">
        <v>9300</v>
      </c>
      <c r="P1022" s="3" t="s">
        <v>26</v>
      </c>
      <c r="Q1022" s="1" cm="1">
        <f t="array" ref="Q1022">VALUE(INDEX(_xlfn.TEXTSPLIT(P1022, " "), 4))</f>
        <v>2014</v>
      </c>
      <c r="R1022" s="1" t="str">
        <f t="shared" si="15"/>
        <v>Chevrolet Cruze 2LT</v>
      </c>
      <c r="S1022" s="1" t="str" cm="1">
        <f t="array" ref="S1022">_xlfn.IFS(I1022 &gt;= 40, "High", I1022&gt;=20, "Medium", I1022&lt;20, "Low")</f>
        <v>Low</v>
      </c>
      <c r="T1022" s="1" t="str" cm="1">
        <f t="array" ref="T1022">_xlfn.IFS(O1022&lt;18200, "Low", O1022&lt;=50000, "Medium", O1022&gt;50000, "High")</f>
        <v>Low</v>
      </c>
    </row>
    <row r="1023" spans="1:20" x14ac:dyDescent="0.25">
      <c r="A1023" s="2">
        <v>2012</v>
      </c>
      <c r="B1023" s="1" t="s">
        <v>85</v>
      </c>
      <c r="C1023" s="1" t="s">
        <v>1525</v>
      </c>
      <c r="D1023" s="1" t="s">
        <v>87</v>
      </c>
      <c r="E1023" s="1" t="s">
        <v>227</v>
      </c>
      <c r="F1023" s="1" t="s">
        <v>20</v>
      </c>
      <c r="G1023" s="1" t="s">
        <v>1662</v>
      </c>
      <c r="H1023" s="1" t="s">
        <v>22</v>
      </c>
      <c r="I1023" s="1">
        <v>45</v>
      </c>
      <c r="J1023" s="1">
        <v>21147</v>
      </c>
      <c r="K1023" s="1" t="s">
        <v>24</v>
      </c>
      <c r="L1023" s="1" t="s">
        <v>24</v>
      </c>
      <c r="M1023" s="1" t="s">
        <v>1515</v>
      </c>
      <c r="N1023" s="1">
        <v>10650</v>
      </c>
      <c r="O1023" s="12">
        <v>11300</v>
      </c>
      <c r="P1023" s="3" t="s">
        <v>68</v>
      </c>
      <c r="Q1023" s="1" cm="1">
        <f t="array" ref="Q1023">VALUE(INDEX(_xlfn.TEXTSPLIT(P1023, " "), 4))</f>
        <v>2014</v>
      </c>
      <c r="R1023" s="1" t="str">
        <f t="shared" si="15"/>
        <v>Ford Focus SE</v>
      </c>
      <c r="S1023" s="1" t="str" cm="1">
        <f t="array" ref="S1023">_xlfn.IFS(I1023 &gt;= 40, "High", I1023&gt;=20, "Medium", I1023&lt;20, "Low")</f>
        <v>High</v>
      </c>
      <c r="T1023" s="1" t="str" cm="1">
        <f t="array" ref="T1023">_xlfn.IFS(O1023&lt;18200, "Low", O1023&lt;=50000, "Medium", O1023&gt;50000, "High")</f>
        <v>Low</v>
      </c>
    </row>
    <row r="1024" spans="1:20" x14ac:dyDescent="0.25">
      <c r="A1024" s="2">
        <v>2012</v>
      </c>
      <c r="B1024" s="1" t="s">
        <v>1507</v>
      </c>
      <c r="C1024" s="1" t="s">
        <v>1628</v>
      </c>
      <c r="D1024" s="1" t="s">
        <v>1572</v>
      </c>
      <c r="E1024" s="1" t="s">
        <v>738</v>
      </c>
      <c r="F1024" s="1" t="s">
        <v>20</v>
      </c>
      <c r="G1024" s="1" t="s">
        <v>1663</v>
      </c>
      <c r="H1024" s="1" t="s">
        <v>22</v>
      </c>
      <c r="I1024" s="1">
        <v>26</v>
      </c>
      <c r="J1024" s="1">
        <v>63821</v>
      </c>
      <c r="K1024" s="1" t="s">
        <v>23</v>
      </c>
      <c r="L1024" s="1" t="s">
        <v>28</v>
      </c>
      <c r="M1024" s="1" t="s">
        <v>431</v>
      </c>
      <c r="N1024" s="1">
        <v>10450</v>
      </c>
      <c r="O1024" s="12">
        <v>10100</v>
      </c>
      <c r="P1024" s="3" t="s">
        <v>197</v>
      </c>
      <c r="Q1024" s="1" cm="1">
        <f t="array" ref="Q1024">VALUE(INDEX(_xlfn.TEXTSPLIT(P1024, " "), 4))</f>
        <v>2015</v>
      </c>
      <c r="R1024" s="1" t="str">
        <f t="shared" si="15"/>
        <v>Dodge Grand Caravan SXT</v>
      </c>
      <c r="S1024" s="1" t="str" cm="1">
        <f t="array" ref="S1024">_xlfn.IFS(I1024 &gt;= 40, "High", I1024&gt;=20, "Medium", I1024&lt;20, "Low")</f>
        <v>Medium</v>
      </c>
      <c r="T1024" s="1" t="str" cm="1">
        <f t="array" ref="T1024">_xlfn.IFS(O1024&lt;18200, "Low", O1024&lt;=50000, "Medium", O1024&gt;50000, "High")</f>
        <v>Low</v>
      </c>
    </row>
    <row r="1025" spans="1:20" x14ac:dyDescent="0.25">
      <c r="A1025" s="2">
        <v>2012</v>
      </c>
      <c r="B1025" s="1" t="s">
        <v>166</v>
      </c>
      <c r="C1025" s="1" t="s">
        <v>1625</v>
      </c>
      <c r="D1025" s="1" t="s">
        <v>1645</v>
      </c>
      <c r="E1025" s="1" t="s">
        <v>19</v>
      </c>
      <c r="F1025" s="1" t="s">
        <v>20</v>
      </c>
      <c r="G1025" s="1" t="s">
        <v>1664</v>
      </c>
      <c r="H1025" s="1" t="s">
        <v>22</v>
      </c>
      <c r="I1025" s="1">
        <v>38</v>
      </c>
      <c r="J1025" s="1">
        <v>53781</v>
      </c>
      <c r="K1025" s="1" t="s">
        <v>24</v>
      </c>
      <c r="L1025" s="1" t="s">
        <v>24</v>
      </c>
      <c r="M1025" s="1" t="s">
        <v>1550</v>
      </c>
      <c r="N1025" s="1">
        <v>35600</v>
      </c>
      <c r="O1025" s="12">
        <v>35500</v>
      </c>
      <c r="P1025" s="3" t="s">
        <v>46</v>
      </c>
      <c r="Q1025" s="1" cm="1">
        <f t="array" ref="Q1025">VALUE(INDEX(_xlfn.TEXTSPLIT(P1025, " "), 4))</f>
        <v>2014</v>
      </c>
      <c r="R1025" s="1" t="str">
        <f t="shared" si="15"/>
        <v>Cadillac Escalade Premium</v>
      </c>
      <c r="S1025" s="1" t="str" cm="1">
        <f t="array" ref="S1025">_xlfn.IFS(I1025 &gt;= 40, "High", I1025&gt;=20, "Medium", I1025&lt;20, "Low")</f>
        <v>Medium</v>
      </c>
      <c r="T1025" s="1" t="str" cm="1">
        <f t="array" ref="T1025">_xlfn.IFS(O1025&lt;18200, "Low", O1025&lt;=50000, "Medium", O1025&gt;50000, "High")</f>
        <v>Medium</v>
      </c>
    </row>
    <row r="1026" spans="1:20" x14ac:dyDescent="0.25">
      <c r="A1026" s="2">
        <v>2012</v>
      </c>
      <c r="B1026" s="1" t="s">
        <v>85</v>
      </c>
      <c r="C1026" s="1" t="s">
        <v>1665</v>
      </c>
      <c r="D1026" s="1" t="s">
        <v>1666</v>
      </c>
      <c r="E1026" s="1" t="s">
        <v>1665</v>
      </c>
      <c r="F1026" s="1" t="s">
        <v>20</v>
      </c>
      <c r="G1026" s="1" t="s">
        <v>1667</v>
      </c>
      <c r="H1026" s="1" t="s">
        <v>22</v>
      </c>
      <c r="I1026" s="1">
        <v>2</v>
      </c>
      <c r="J1026" s="1">
        <v>46441</v>
      </c>
      <c r="K1026" s="1" t="s">
        <v>23</v>
      </c>
      <c r="L1026" s="1" t="s">
        <v>34</v>
      </c>
      <c r="M1026" s="1" t="s">
        <v>51</v>
      </c>
      <c r="N1026" s="1">
        <v>16000</v>
      </c>
      <c r="O1026" s="12">
        <v>11900</v>
      </c>
      <c r="P1026" s="3" t="s">
        <v>84</v>
      </c>
      <c r="Q1026" s="1" cm="1">
        <f t="array" ref="Q1026">VALUE(INDEX(_xlfn.TEXTSPLIT(P1026, " "), 4))</f>
        <v>2014</v>
      </c>
      <c r="R1026" s="1" t="str">
        <f t="shared" si="15"/>
        <v>Ford E-Series Van E-150</v>
      </c>
      <c r="S1026" s="1" t="str" cm="1">
        <f t="array" ref="S1026">_xlfn.IFS(I1026 &gt;= 40, "High", I1026&gt;=20, "Medium", I1026&lt;20, "Low")</f>
        <v>Low</v>
      </c>
      <c r="T1026" s="1" t="str" cm="1">
        <f t="array" ref="T1026">_xlfn.IFS(O1026&lt;18200, "Low", O1026&lt;=50000, "Medium", O1026&gt;50000, "High")</f>
        <v>Low</v>
      </c>
    </row>
    <row r="1027" spans="1:20" x14ac:dyDescent="0.25">
      <c r="A1027" s="2">
        <v>2012</v>
      </c>
      <c r="B1027" s="1" t="s">
        <v>58</v>
      </c>
      <c r="C1027" s="1" t="s">
        <v>1668</v>
      </c>
      <c r="D1027" s="1" t="s">
        <v>54</v>
      </c>
      <c r="E1027" s="1" t="s">
        <v>227</v>
      </c>
      <c r="F1027" s="1" t="s">
        <v>20</v>
      </c>
      <c r="G1027" s="1" t="s">
        <v>1669</v>
      </c>
      <c r="H1027" s="1" t="s">
        <v>22</v>
      </c>
      <c r="I1027" s="1">
        <v>36</v>
      </c>
      <c r="J1027" s="1">
        <v>42947</v>
      </c>
      <c r="K1027" s="1" t="s">
        <v>288</v>
      </c>
      <c r="L1027" s="1" t="s">
        <v>28</v>
      </c>
      <c r="M1027" s="1" t="s">
        <v>1550</v>
      </c>
      <c r="N1027" s="1">
        <v>13850</v>
      </c>
      <c r="O1027" s="12">
        <v>15750</v>
      </c>
      <c r="P1027" s="3" t="s">
        <v>26</v>
      </c>
      <c r="Q1027" s="1" cm="1">
        <f t="array" ref="Q1027">VALUE(INDEX(_xlfn.TEXTSPLIT(P1027, " "), 4))</f>
        <v>2014</v>
      </c>
      <c r="R1027" s="1" t="str">
        <f t="shared" ref="R1027:R1090" si="16">_xlfn.TEXTJOIN(" ", TRUE, B1027, C1027, D1027)</f>
        <v>Chevrolet Volt Base</v>
      </c>
      <c r="S1027" s="1" t="str" cm="1">
        <f t="array" ref="S1027">_xlfn.IFS(I1027 &gt;= 40, "High", I1027&gt;=20, "Medium", I1027&lt;20, "Low")</f>
        <v>Medium</v>
      </c>
      <c r="T1027" s="1" t="str" cm="1">
        <f t="array" ref="T1027">_xlfn.IFS(O1027&lt;18200, "Low", O1027&lt;=50000, "Medium", O1027&gt;50000, "High")</f>
        <v>Low</v>
      </c>
    </row>
    <row r="1028" spans="1:20" x14ac:dyDescent="0.25">
      <c r="A1028" s="2">
        <v>2012</v>
      </c>
      <c r="B1028" s="1" t="s">
        <v>58</v>
      </c>
      <c r="C1028" s="1" t="s">
        <v>59</v>
      </c>
      <c r="D1028" s="1" t="s">
        <v>60</v>
      </c>
      <c r="E1028" s="1" t="s">
        <v>32</v>
      </c>
      <c r="F1028" s="1" t="s">
        <v>20</v>
      </c>
      <c r="G1028" s="1" t="s">
        <v>1670</v>
      </c>
      <c r="H1028" s="1" t="s">
        <v>22</v>
      </c>
      <c r="I1028" s="1">
        <v>3</v>
      </c>
      <c r="J1028" s="1">
        <v>61852</v>
      </c>
      <c r="K1028" s="1" t="s">
        <v>94</v>
      </c>
      <c r="L1028" s="1" t="s">
        <v>24</v>
      </c>
      <c r="M1028" s="1" t="s">
        <v>1617</v>
      </c>
      <c r="N1028" s="1">
        <v>8500</v>
      </c>
      <c r="O1028" s="12">
        <v>10000</v>
      </c>
      <c r="P1028" s="3" t="s">
        <v>26</v>
      </c>
      <c r="Q1028" s="1" cm="1">
        <f t="array" ref="Q1028">VALUE(INDEX(_xlfn.TEXTSPLIT(P1028, " "), 4))</f>
        <v>2014</v>
      </c>
      <c r="R1028" s="1" t="str">
        <f t="shared" si="16"/>
        <v>Chevrolet Cruze 1LT</v>
      </c>
      <c r="S1028" s="1" t="str" cm="1">
        <f t="array" ref="S1028">_xlfn.IFS(I1028 &gt;= 40, "High", I1028&gt;=20, "Medium", I1028&lt;20, "Low")</f>
        <v>Low</v>
      </c>
      <c r="T1028" s="1" t="str" cm="1">
        <f t="array" ref="T1028">_xlfn.IFS(O1028&lt;18200, "Low", O1028&lt;=50000, "Medium", O1028&gt;50000, "High")</f>
        <v>Low</v>
      </c>
    </row>
    <row r="1029" spans="1:20" x14ac:dyDescent="0.25">
      <c r="A1029" s="2">
        <v>2012</v>
      </c>
      <c r="B1029" s="1" t="s">
        <v>85</v>
      </c>
      <c r="C1029" s="1" t="s">
        <v>86</v>
      </c>
      <c r="D1029" s="1" t="s">
        <v>1671</v>
      </c>
      <c r="E1029" s="1" t="s">
        <v>32</v>
      </c>
      <c r="F1029" s="1" t="s">
        <v>20</v>
      </c>
      <c r="G1029" s="1" t="s">
        <v>1672</v>
      </c>
      <c r="H1029" s="1" t="s">
        <v>22</v>
      </c>
      <c r="I1029" s="1">
        <v>44</v>
      </c>
      <c r="J1029" s="1">
        <v>17319</v>
      </c>
      <c r="K1029" s="1" t="s">
        <v>23</v>
      </c>
      <c r="L1029" s="1" t="s">
        <v>82</v>
      </c>
      <c r="M1029" s="1" t="s">
        <v>1673</v>
      </c>
      <c r="N1029" s="1">
        <v>15100</v>
      </c>
      <c r="O1029" s="12">
        <v>14600</v>
      </c>
      <c r="P1029" s="3" t="s">
        <v>68</v>
      </c>
      <c r="Q1029" s="1" cm="1">
        <f t="array" ref="Q1029">VALUE(INDEX(_xlfn.TEXTSPLIT(P1029, " "), 4))</f>
        <v>2014</v>
      </c>
      <c r="R1029" s="1" t="str">
        <f t="shared" si="16"/>
        <v>Ford Fusion Hybrid</v>
      </c>
      <c r="S1029" s="1" t="str" cm="1">
        <f t="array" ref="S1029">_xlfn.IFS(I1029 &gt;= 40, "High", I1029&gt;=20, "Medium", I1029&lt;20, "Low")</f>
        <v>High</v>
      </c>
      <c r="T1029" s="1" t="str" cm="1">
        <f t="array" ref="T1029">_xlfn.IFS(O1029&lt;18200, "Low", O1029&lt;=50000, "Medium", O1029&gt;50000, "High")</f>
        <v>Low</v>
      </c>
    </row>
    <row r="1030" spans="1:20" x14ac:dyDescent="0.25">
      <c r="A1030" s="2">
        <v>2012</v>
      </c>
      <c r="B1030" s="1" t="s">
        <v>85</v>
      </c>
      <c r="C1030" s="1" t="s">
        <v>1525</v>
      </c>
      <c r="D1030" s="1" t="s">
        <v>87</v>
      </c>
      <c r="E1030" s="1" t="s">
        <v>32</v>
      </c>
      <c r="F1030" s="1" t="s">
        <v>20</v>
      </c>
      <c r="G1030" s="1" t="s">
        <v>1674</v>
      </c>
      <c r="H1030" s="1" t="s">
        <v>22</v>
      </c>
      <c r="I1030" s="1">
        <v>28</v>
      </c>
      <c r="J1030" s="1">
        <v>22548</v>
      </c>
      <c r="K1030" s="1" t="s">
        <v>24</v>
      </c>
      <c r="L1030" s="1" t="s">
        <v>34</v>
      </c>
      <c r="M1030" s="1" t="s">
        <v>1515</v>
      </c>
      <c r="N1030" s="1">
        <v>10500</v>
      </c>
      <c r="O1030" s="12">
        <v>10500</v>
      </c>
      <c r="P1030" s="3" t="s">
        <v>68</v>
      </c>
      <c r="Q1030" s="1" cm="1">
        <f t="array" ref="Q1030">VALUE(INDEX(_xlfn.TEXTSPLIT(P1030, " "), 4))</f>
        <v>2014</v>
      </c>
      <c r="R1030" s="1" t="str">
        <f t="shared" si="16"/>
        <v>Ford Focus SE</v>
      </c>
      <c r="S1030" s="1" t="str" cm="1">
        <f t="array" ref="S1030">_xlfn.IFS(I1030 &gt;= 40, "High", I1030&gt;=20, "Medium", I1030&lt;20, "Low")</f>
        <v>Medium</v>
      </c>
      <c r="T1030" s="1" t="str" cm="1">
        <f t="array" ref="T1030">_xlfn.IFS(O1030&lt;18200, "Low", O1030&lt;=50000, "Medium", O1030&gt;50000, "High")</f>
        <v>Low</v>
      </c>
    </row>
    <row r="1031" spans="1:20" x14ac:dyDescent="0.25">
      <c r="A1031" s="2">
        <v>2012</v>
      </c>
      <c r="B1031" s="1" t="s">
        <v>85</v>
      </c>
      <c r="C1031" s="1" t="s">
        <v>1525</v>
      </c>
      <c r="D1031" s="1" t="s">
        <v>87</v>
      </c>
      <c r="E1031" s="1" t="s">
        <v>227</v>
      </c>
      <c r="F1031" s="1" t="s">
        <v>20</v>
      </c>
      <c r="G1031" s="1" t="s">
        <v>1675</v>
      </c>
      <c r="H1031" s="1" t="s">
        <v>22</v>
      </c>
      <c r="I1031" s="1">
        <v>3</v>
      </c>
      <c r="J1031" s="1">
        <v>44674</v>
      </c>
      <c r="K1031" s="1" t="s">
        <v>23</v>
      </c>
      <c r="L1031" s="1" t="s">
        <v>24</v>
      </c>
      <c r="M1031" s="1" t="s">
        <v>1643</v>
      </c>
      <c r="N1031" s="1">
        <v>9475</v>
      </c>
      <c r="O1031" s="12">
        <v>4000</v>
      </c>
      <c r="P1031" s="3" t="s">
        <v>62</v>
      </c>
      <c r="Q1031" s="1" cm="1">
        <f t="array" ref="Q1031">VALUE(INDEX(_xlfn.TEXTSPLIT(P1031, " "), 4))</f>
        <v>2014</v>
      </c>
      <c r="R1031" s="1" t="str">
        <f t="shared" si="16"/>
        <v>Ford Focus SE</v>
      </c>
      <c r="S1031" s="1" t="str" cm="1">
        <f t="array" ref="S1031">_xlfn.IFS(I1031 &gt;= 40, "High", I1031&gt;=20, "Medium", I1031&lt;20, "Low")</f>
        <v>Low</v>
      </c>
      <c r="T1031" s="1" t="str" cm="1">
        <f t="array" ref="T1031">_xlfn.IFS(O1031&lt;18200, "Low", O1031&lt;=50000, "Medium", O1031&gt;50000, "High")</f>
        <v>Low</v>
      </c>
    </row>
    <row r="1032" spans="1:20" x14ac:dyDescent="0.25">
      <c r="A1032" s="2">
        <v>2012</v>
      </c>
      <c r="B1032" s="1" t="s">
        <v>85</v>
      </c>
      <c r="C1032" s="1" t="s">
        <v>1525</v>
      </c>
      <c r="D1032" s="1" t="s">
        <v>1518</v>
      </c>
      <c r="E1032" s="1" t="s">
        <v>227</v>
      </c>
      <c r="F1032" s="1" t="s">
        <v>20</v>
      </c>
      <c r="G1032" s="1" t="s">
        <v>1676</v>
      </c>
      <c r="H1032" s="1" t="s">
        <v>22</v>
      </c>
      <c r="I1032" s="1">
        <v>46</v>
      </c>
      <c r="J1032" s="1">
        <v>48952</v>
      </c>
      <c r="K1032" s="1" t="s">
        <v>23</v>
      </c>
      <c r="L1032" s="1" t="s">
        <v>28</v>
      </c>
      <c r="M1032" s="1" t="s">
        <v>1515</v>
      </c>
      <c r="N1032" s="1">
        <v>10050</v>
      </c>
      <c r="O1032" s="12">
        <v>11700</v>
      </c>
      <c r="P1032" s="3" t="s">
        <v>68</v>
      </c>
      <c r="Q1032" s="1" cm="1">
        <f t="array" ref="Q1032">VALUE(INDEX(_xlfn.TEXTSPLIT(P1032, " "), 4))</f>
        <v>2014</v>
      </c>
      <c r="R1032" s="1" t="str">
        <f t="shared" si="16"/>
        <v>Ford Focus SEL</v>
      </c>
      <c r="S1032" s="1" t="str" cm="1">
        <f t="array" ref="S1032">_xlfn.IFS(I1032 &gt;= 40, "High", I1032&gt;=20, "Medium", I1032&lt;20, "Low")</f>
        <v>High</v>
      </c>
      <c r="T1032" s="1" t="str" cm="1">
        <f t="array" ref="T1032">_xlfn.IFS(O1032&lt;18200, "Low", O1032&lt;=50000, "Medium", O1032&gt;50000, "High")</f>
        <v>Low</v>
      </c>
    </row>
    <row r="1033" spans="1:20" x14ac:dyDescent="0.25">
      <c r="A1033" s="2">
        <v>2012</v>
      </c>
      <c r="B1033" s="1" t="s">
        <v>58</v>
      </c>
      <c r="C1033" s="1" t="s">
        <v>59</v>
      </c>
      <c r="D1033" s="1" t="s">
        <v>60</v>
      </c>
      <c r="E1033" s="1" t="s">
        <v>32</v>
      </c>
      <c r="F1033" s="1" t="s">
        <v>20</v>
      </c>
      <c r="G1033" s="1" t="s">
        <v>1677</v>
      </c>
      <c r="H1033" s="1" t="s">
        <v>22</v>
      </c>
      <c r="I1033" s="1">
        <v>46</v>
      </c>
      <c r="J1033" s="1">
        <v>36315</v>
      </c>
      <c r="K1033" s="1" t="s">
        <v>73</v>
      </c>
      <c r="L1033" s="1" t="s">
        <v>34</v>
      </c>
      <c r="M1033" s="1" t="s">
        <v>1089</v>
      </c>
      <c r="N1033" s="1">
        <v>10100</v>
      </c>
      <c r="O1033" s="12">
        <v>10400</v>
      </c>
      <c r="P1033" s="3" t="s">
        <v>251</v>
      </c>
      <c r="Q1033" s="1" cm="1">
        <f t="array" ref="Q1033">VALUE(INDEX(_xlfn.TEXTSPLIT(P1033, " "), 4))</f>
        <v>2014</v>
      </c>
      <c r="R1033" s="1" t="str">
        <f t="shared" si="16"/>
        <v>Chevrolet Cruze 1LT</v>
      </c>
      <c r="S1033" s="1" t="str" cm="1">
        <f t="array" ref="S1033">_xlfn.IFS(I1033 &gt;= 40, "High", I1033&gt;=20, "Medium", I1033&lt;20, "Low")</f>
        <v>High</v>
      </c>
      <c r="T1033" s="1" t="str" cm="1">
        <f t="array" ref="T1033">_xlfn.IFS(O1033&lt;18200, "Low", O1033&lt;=50000, "Medium", O1033&gt;50000, "High")</f>
        <v>Low</v>
      </c>
    </row>
    <row r="1034" spans="1:20" x14ac:dyDescent="0.25">
      <c r="A1034" s="2">
        <v>2012</v>
      </c>
      <c r="B1034" s="1" t="s">
        <v>58</v>
      </c>
      <c r="C1034" s="1" t="s">
        <v>283</v>
      </c>
      <c r="D1034" s="1" t="s">
        <v>266</v>
      </c>
      <c r="E1034" s="1" t="s">
        <v>1648</v>
      </c>
      <c r="F1034" s="1" t="s">
        <v>20</v>
      </c>
      <c r="G1034" s="1" t="s">
        <v>1678</v>
      </c>
      <c r="H1034" s="1" t="s">
        <v>22</v>
      </c>
      <c r="I1034" s="1">
        <v>39</v>
      </c>
      <c r="J1034" s="1">
        <v>10482</v>
      </c>
      <c r="K1034" s="1" t="s">
        <v>23</v>
      </c>
      <c r="L1034" s="1" t="s">
        <v>34</v>
      </c>
      <c r="M1034" s="1" t="s">
        <v>728</v>
      </c>
      <c r="N1034" s="1">
        <v>20600</v>
      </c>
      <c r="O1034" s="12">
        <v>20200</v>
      </c>
      <c r="P1034" s="3" t="s">
        <v>57</v>
      </c>
      <c r="Q1034" s="1" cm="1">
        <f t="array" ref="Q1034">VALUE(INDEX(_xlfn.TEXTSPLIT(P1034, " "), 4))</f>
        <v>2014</v>
      </c>
      <c r="R1034" s="1" t="str">
        <f t="shared" si="16"/>
        <v>Chevrolet Silverado 1500 Work Truck</v>
      </c>
      <c r="S1034" s="1" t="str" cm="1">
        <f t="array" ref="S1034">_xlfn.IFS(I1034 &gt;= 40, "High", I1034&gt;=20, "Medium", I1034&lt;20, "Low")</f>
        <v>Medium</v>
      </c>
      <c r="T1034" s="1" t="str" cm="1">
        <f t="array" ref="T1034">_xlfn.IFS(O1034&lt;18200, "Low", O1034&lt;=50000, "Medium", O1034&gt;50000, "High")</f>
        <v>Medium</v>
      </c>
    </row>
    <row r="1035" spans="1:20" x14ac:dyDescent="0.25">
      <c r="A1035" s="2">
        <v>2012</v>
      </c>
      <c r="B1035" s="1" t="s">
        <v>29</v>
      </c>
      <c r="C1035" s="1" t="s">
        <v>1456</v>
      </c>
      <c r="D1035" s="1" t="s">
        <v>178</v>
      </c>
      <c r="E1035" s="1" t="s">
        <v>19</v>
      </c>
      <c r="F1035" s="1" t="s">
        <v>20</v>
      </c>
      <c r="G1035" s="1" t="s">
        <v>1679</v>
      </c>
      <c r="H1035" s="1" t="s">
        <v>22</v>
      </c>
      <c r="I1035" s="1">
        <v>47</v>
      </c>
      <c r="J1035" s="1">
        <v>63550</v>
      </c>
      <c r="K1035" s="1" t="s">
        <v>34</v>
      </c>
      <c r="L1035" s="1" t="s">
        <v>24</v>
      </c>
      <c r="M1035" s="1" t="s">
        <v>35</v>
      </c>
      <c r="N1035" s="1">
        <v>24800</v>
      </c>
      <c r="O1035" s="12">
        <v>25000</v>
      </c>
      <c r="P1035" s="3" t="s">
        <v>46</v>
      </c>
      <c r="Q1035" s="1" cm="1">
        <f t="array" ref="Q1035">VALUE(INDEX(_xlfn.TEXTSPLIT(P1035, " "), 4))</f>
        <v>2014</v>
      </c>
      <c r="R1035" s="1" t="str">
        <f t="shared" si="16"/>
        <v>BMW X3 xDrive35i</v>
      </c>
      <c r="S1035" s="1" t="str" cm="1">
        <f t="array" ref="S1035">_xlfn.IFS(I1035 &gt;= 40, "High", I1035&gt;=20, "Medium", I1035&lt;20, "Low")</f>
        <v>High</v>
      </c>
      <c r="T1035" s="1" t="str" cm="1">
        <f t="array" ref="T1035">_xlfn.IFS(O1035&lt;18200, "Low", O1035&lt;=50000, "Medium", O1035&gt;50000, "High")</f>
        <v>Medium</v>
      </c>
    </row>
    <row r="1036" spans="1:20" x14ac:dyDescent="0.25">
      <c r="A1036" s="2">
        <v>2012</v>
      </c>
      <c r="B1036" s="1" t="s">
        <v>58</v>
      </c>
      <c r="C1036" s="1" t="s">
        <v>199</v>
      </c>
      <c r="D1036" s="1" t="s">
        <v>70</v>
      </c>
      <c r="E1036" s="1" t="s">
        <v>32</v>
      </c>
      <c r="F1036" s="1" t="s">
        <v>20</v>
      </c>
      <c r="G1036" s="1" t="s">
        <v>1680</v>
      </c>
      <c r="H1036" s="1" t="s">
        <v>22</v>
      </c>
      <c r="I1036" s="1">
        <v>44</v>
      </c>
      <c r="J1036" s="1">
        <v>72362</v>
      </c>
      <c r="K1036" s="1" t="s">
        <v>91</v>
      </c>
      <c r="L1036" s="1" t="s">
        <v>34</v>
      </c>
      <c r="M1036" s="1" t="s">
        <v>1681</v>
      </c>
      <c r="N1036" s="1">
        <v>8850</v>
      </c>
      <c r="O1036" s="12">
        <v>8800</v>
      </c>
      <c r="P1036" s="3" t="s">
        <v>68</v>
      </c>
      <c r="Q1036" s="1" cm="1">
        <f t="array" ref="Q1036">VALUE(INDEX(_xlfn.TEXTSPLIT(P1036, " "), 4))</f>
        <v>2014</v>
      </c>
      <c r="R1036" s="1" t="str">
        <f t="shared" si="16"/>
        <v>Chevrolet Malibu LT</v>
      </c>
      <c r="S1036" s="1" t="str" cm="1">
        <f t="array" ref="S1036">_xlfn.IFS(I1036 &gt;= 40, "High", I1036&gt;=20, "Medium", I1036&lt;20, "Low")</f>
        <v>High</v>
      </c>
      <c r="T1036" s="1" t="str" cm="1">
        <f t="array" ref="T1036">_xlfn.IFS(O1036&lt;18200, "Low", O1036&lt;=50000, "Medium", O1036&gt;50000, "High")</f>
        <v>Low</v>
      </c>
    </row>
    <row r="1037" spans="1:20" x14ac:dyDescent="0.25">
      <c r="A1037" s="2">
        <v>2012</v>
      </c>
      <c r="B1037" s="1" t="s">
        <v>85</v>
      </c>
      <c r="C1037" s="1" t="s">
        <v>1510</v>
      </c>
      <c r="D1037" s="1" t="s">
        <v>1511</v>
      </c>
      <c r="E1037" s="1" t="s">
        <v>949</v>
      </c>
      <c r="F1037" s="1" t="s">
        <v>20</v>
      </c>
      <c r="G1037" s="1" t="s">
        <v>1682</v>
      </c>
      <c r="H1037" s="1" t="s">
        <v>22</v>
      </c>
      <c r="I1037" s="1">
        <v>43</v>
      </c>
      <c r="J1037" s="1">
        <v>46865</v>
      </c>
      <c r="K1037" s="1" t="s">
        <v>23</v>
      </c>
      <c r="L1037" s="1" t="s">
        <v>34</v>
      </c>
      <c r="M1037" s="1" t="s">
        <v>495</v>
      </c>
      <c r="N1037" s="1">
        <v>15650</v>
      </c>
      <c r="O1037" s="12">
        <v>14400</v>
      </c>
      <c r="P1037" s="3" t="s">
        <v>1118</v>
      </c>
      <c r="Q1037" s="1" cm="1">
        <f t="array" ref="Q1037">VALUE(INDEX(_xlfn.TEXTSPLIT(P1037, " "), 4))</f>
        <v>2014</v>
      </c>
      <c r="R1037" s="1" t="str">
        <f t="shared" si="16"/>
        <v>Ford E-Series Wagon E-350 Super Duty XL</v>
      </c>
      <c r="S1037" s="1" t="str" cm="1">
        <f t="array" ref="S1037">_xlfn.IFS(I1037 &gt;= 40, "High", I1037&gt;=20, "Medium", I1037&lt;20, "Low")</f>
        <v>High</v>
      </c>
      <c r="T1037" s="1" t="str" cm="1">
        <f t="array" ref="T1037">_xlfn.IFS(O1037&lt;18200, "Low", O1037&lt;=50000, "Medium", O1037&gt;50000, "High")</f>
        <v>Low</v>
      </c>
    </row>
    <row r="1038" spans="1:20" x14ac:dyDescent="0.25">
      <c r="A1038" s="2">
        <v>2012</v>
      </c>
      <c r="B1038" s="1" t="s">
        <v>29</v>
      </c>
      <c r="C1038" s="1" t="s">
        <v>136</v>
      </c>
      <c r="D1038" s="1" t="s">
        <v>1520</v>
      </c>
      <c r="E1038" s="1" t="s">
        <v>19</v>
      </c>
      <c r="F1038" s="1" t="s">
        <v>20</v>
      </c>
      <c r="G1038" s="1" t="s">
        <v>1683</v>
      </c>
      <c r="H1038" s="1" t="s">
        <v>22</v>
      </c>
      <c r="I1038" s="1">
        <v>44</v>
      </c>
      <c r="J1038" s="1">
        <v>48374</v>
      </c>
      <c r="K1038" s="1" t="s">
        <v>94</v>
      </c>
      <c r="L1038" s="1" t="s">
        <v>34</v>
      </c>
      <c r="M1038" s="1" t="s">
        <v>35</v>
      </c>
      <c r="N1038" s="1">
        <v>35200</v>
      </c>
      <c r="O1038" s="12">
        <v>34750</v>
      </c>
      <c r="P1038" s="3" t="s">
        <v>42</v>
      </c>
      <c r="Q1038" s="1" cm="1">
        <f t="array" ref="Q1038">VALUE(INDEX(_xlfn.TEXTSPLIT(P1038, " "), 4))</f>
        <v>2015</v>
      </c>
      <c r="R1038" s="1" t="str">
        <f t="shared" si="16"/>
        <v>BMW X5 xDrive35i Premium</v>
      </c>
      <c r="S1038" s="1" t="str" cm="1">
        <f t="array" ref="S1038">_xlfn.IFS(I1038 &gt;= 40, "High", I1038&gt;=20, "Medium", I1038&lt;20, "Low")</f>
        <v>High</v>
      </c>
      <c r="T1038" s="1" t="str" cm="1">
        <f t="array" ref="T1038">_xlfn.IFS(O1038&lt;18200, "Low", O1038&lt;=50000, "Medium", O1038&gt;50000, "High")</f>
        <v>Medium</v>
      </c>
    </row>
    <row r="1039" spans="1:20" x14ac:dyDescent="0.25">
      <c r="A1039" s="2">
        <v>2012</v>
      </c>
      <c r="B1039" s="1" t="s">
        <v>85</v>
      </c>
      <c r="C1039" s="1" t="s">
        <v>1513</v>
      </c>
      <c r="D1039" s="1" t="s">
        <v>1601</v>
      </c>
      <c r="E1039" s="1" t="s">
        <v>19</v>
      </c>
      <c r="F1039" s="1" t="s">
        <v>20</v>
      </c>
      <c r="G1039" s="1" t="s">
        <v>1684</v>
      </c>
      <c r="H1039" s="1" t="s">
        <v>22</v>
      </c>
      <c r="I1039" s="1">
        <v>43</v>
      </c>
      <c r="J1039" s="1">
        <v>49575</v>
      </c>
      <c r="K1039" s="1" t="s">
        <v>24</v>
      </c>
      <c r="L1039" s="1" t="s">
        <v>24</v>
      </c>
      <c r="M1039" s="1" t="s">
        <v>1515</v>
      </c>
      <c r="N1039" s="1">
        <v>12350</v>
      </c>
      <c r="O1039" s="12">
        <v>14600</v>
      </c>
      <c r="P1039" s="3" t="s">
        <v>68</v>
      </c>
      <c r="Q1039" s="1" cm="1">
        <f t="array" ref="Q1039">VALUE(INDEX(_xlfn.TEXTSPLIT(P1039, " "), 4))</f>
        <v>2014</v>
      </c>
      <c r="R1039" s="1" t="str">
        <f t="shared" si="16"/>
        <v>Ford Escape XLT</v>
      </c>
      <c r="S1039" s="1" t="str" cm="1">
        <f t="array" ref="S1039">_xlfn.IFS(I1039 &gt;= 40, "High", I1039&gt;=20, "Medium", I1039&lt;20, "Low")</f>
        <v>High</v>
      </c>
      <c r="T1039" s="1" t="str" cm="1">
        <f t="array" ref="T1039">_xlfn.IFS(O1039&lt;18200, "Low", O1039&lt;=50000, "Medium", O1039&gt;50000, "High")</f>
        <v>Low</v>
      </c>
    </row>
    <row r="1040" spans="1:20" x14ac:dyDescent="0.25">
      <c r="A1040" s="2">
        <v>2012</v>
      </c>
      <c r="B1040" s="1" t="s">
        <v>58</v>
      </c>
      <c r="C1040" s="1" t="s">
        <v>1685</v>
      </c>
      <c r="D1040" s="1">
        <v>1500</v>
      </c>
      <c r="E1040" s="1" t="s">
        <v>949</v>
      </c>
      <c r="F1040" s="1" t="s">
        <v>20</v>
      </c>
      <c r="G1040" s="1" t="s">
        <v>1686</v>
      </c>
      <c r="H1040" s="1" t="s">
        <v>22</v>
      </c>
      <c r="I1040" s="1">
        <v>28</v>
      </c>
      <c r="J1040" s="1">
        <v>160525</v>
      </c>
      <c r="K1040" s="1" t="s">
        <v>23</v>
      </c>
      <c r="L1040" s="1" t="s">
        <v>34</v>
      </c>
      <c r="M1040" s="1" t="s">
        <v>303</v>
      </c>
      <c r="N1040" s="1">
        <v>8800</v>
      </c>
      <c r="O1040" s="12">
        <v>7800</v>
      </c>
      <c r="P1040" s="3" t="s">
        <v>84</v>
      </c>
      <c r="Q1040" s="1" cm="1">
        <f t="array" ref="Q1040">VALUE(INDEX(_xlfn.TEXTSPLIT(P1040, " "), 4))</f>
        <v>2014</v>
      </c>
      <c r="R1040" s="1" t="str">
        <f t="shared" si="16"/>
        <v>Chevrolet Express Cargo 1500</v>
      </c>
      <c r="S1040" s="1" t="str" cm="1">
        <f t="array" ref="S1040">_xlfn.IFS(I1040 &gt;= 40, "High", I1040&gt;=20, "Medium", I1040&lt;20, "Low")</f>
        <v>Medium</v>
      </c>
      <c r="T1040" s="1" t="str" cm="1">
        <f t="array" ref="T1040">_xlfn.IFS(O1040&lt;18200, "Low", O1040&lt;=50000, "Medium", O1040&gt;50000, "High")</f>
        <v>Low</v>
      </c>
    </row>
    <row r="1041" spans="1:20" x14ac:dyDescent="0.25">
      <c r="A1041" s="2">
        <v>2012</v>
      </c>
      <c r="B1041" s="1" t="s">
        <v>58</v>
      </c>
      <c r="C1041" s="1" t="s">
        <v>113</v>
      </c>
      <c r="D1041" s="1" t="s">
        <v>1536</v>
      </c>
      <c r="E1041" s="1" t="s">
        <v>32</v>
      </c>
      <c r="F1041" s="1" t="s">
        <v>20</v>
      </c>
      <c r="G1041" s="1" t="s">
        <v>1687</v>
      </c>
      <c r="H1041" s="1" t="s">
        <v>22</v>
      </c>
      <c r="I1041" s="1">
        <v>43</v>
      </c>
      <c r="J1041" s="1">
        <v>64722</v>
      </c>
      <c r="K1041" s="1" t="s">
        <v>91</v>
      </c>
      <c r="L1041" s="1" t="s">
        <v>24</v>
      </c>
      <c r="M1041" s="1" t="s">
        <v>1089</v>
      </c>
      <c r="N1041" s="1">
        <v>9000</v>
      </c>
      <c r="O1041" s="12">
        <v>8600</v>
      </c>
      <c r="P1041" s="3" t="s">
        <v>251</v>
      </c>
      <c r="Q1041" s="1" cm="1">
        <f t="array" ref="Q1041">VALUE(INDEX(_xlfn.TEXTSPLIT(P1041, " "), 4))</f>
        <v>2014</v>
      </c>
      <c r="R1041" s="1" t="str">
        <f t="shared" si="16"/>
        <v>Chevrolet Impala LT Fleet</v>
      </c>
      <c r="S1041" s="1" t="str" cm="1">
        <f t="array" ref="S1041">_xlfn.IFS(I1041 &gt;= 40, "High", I1041&gt;=20, "Medium", I1041&lt;20, "Low")</f>
        <v>High</v>
      </c>
      <c r="T1041" s="1" t="str" cm="1">
        <f t="array" ref="T1041">_xlfn.IFS(O1041&lt;18200, "Low", O1041&lt;=50000, "Medium", O1041&gt;50000, "High")</f>
        <v>Low</v>
      </c>
    </row>
    <row r="1042" spans="1:20" x14ac:dyDescent="0.25">
      <c r="A1042" s="2">
        <v>2012</v>
      </c>
      <c r="B1042" s="1" t="s">
        <v>58</v>
      </c>
      <c r="C1042" s="1" t="s">
        <v>59</v>
      </c>
      <c r="D1042" s="1" t="s">
        <v>1688</v>
      </c>
      <c r="E1042" s="1" t="s">
        <v>32</v>
      </c>
      <c r="F1042" s="1" t="s">
        <v>214</v>
      </c>
      <c r="G1042" s="1" t="s">
        <v>1689</v>
      </c>
      <c r="H1042" s="1" t="s">
        <v>22</v>
      </c>
      <c r="I1042" s="1">
        <v>28</v>
      </c>
      <c r="J1042" s="1">
        <v>62380</v>
      </c>
      <c r="K1042" s="1" t="s">
        <v>700</v>
      </c>
      <c r="L1042" s="1" t="s">
        <v>34</v>
      </c>
      <c r="M1042" s="1" t="s">
        <v>1690</v>
      </c>
      <c r="N1042" s="1">
        <v>8250</v>
      </c>
      <c r="O1042" s="12">
        <v>8200</v>
      </c>
      <c r="P1042" s="3" t="s">
        <v>57</v>
      </c>
      <c r="Q1042" s="1" cm="1">
        <f t="array" ref="Q1042">VALUE(INDEX(_xlfn.TEXTSPLIT(P1042, " "), 4))</f>
        <v>2014</v>
      </c>
      <c r="R1042" s="1" t="str">
        <f t="shared" si="16"/>
        <v>Chevrolet Cruze Eco</v>
      </c>
      <c r="S1042" s="1" t="str" cm="1">
        <f t="array" ref="S1042">_xlfn.IFS(I1042 &gt;= 40, "High", I1042&gt;=20, "Medium", I1042&lt;20, "Low")</f>
        <v>Medium</v>
      </c>
      <c r="T1042" s="1" t="str" cm="1">
        <f t="array" ref="T1042">_xlfn.IFS(O1042&lt;18200, "Low", O1042&lt;=50000, "Medium", O1042&gt;50000, "High")</f>
        <v>Low</v>
      </c>
    </row>
    <row r="1043" spans="1:20" x14ac:dyDescent="0.25">
      <c r="A1043" s="2">
        <v>2012</v>
      </c>
      <c r="B1043" s="1" t="s">
        <v>1585</v>
      </c>
      <c r="C1043" s="1" t="s">
        <v>1691</v>
      </c>
      <c r="D1043" s="1" t="s">
        <v>1692</v>
      </c>
      <c r="E1043" s="1"/>
      <c r="F1043" s="1" t="s">
        <v>20</v>
      </c>
      <c r="G1043" s="1" t="s">
        <v>1693</v>
      </c>
      <c r="H1043" s="1" t="s">
        <v>22</v>
      </c>
      <c r="I1043" s="1">
        <v>38</v>
      </c>
      <c r="J1043" s="1">
        <v>102647</v>
      </c>
      <c r="K1043" s="1" t="s">
        <v>23</v>
      </c>
      <c r="L1043" s="1" t="s">
        <v>34</v>
      </c>
      <c r="M1043" s="1" t="s">
        <v>1589</v>
      </c>
      <c r="N1043" s="1">
        <v>8575</v>
      </c>
      <c r="O1043" s="12">
        <v>8800</v>
      </c>
      <c r="P1043" s="3" t="s">
        <v>57</v>
      </c>
      <c r="Q1043" s="1" cm="1">
        <f t="array" ref="Q1043">VALUE(INDEX(_xlfn.TEXTSPLIT(P1043, " "), 4))</f>
        <v>2014</v>
      </c>
      <c r="R1043" s="1" t="str">
        <f t="shared" si="16"/>
        <v>ford e150 wagon v8</v>
      </c>
      <c r="S1043" s="1" t="str" cm="1">
        <f t="array" ref="S1043">_xlfn.IFS(I1043 &gt;= 40, "High", I1043&gt;=20, "Medium", I1043&lt;20, "Low")</f>
        <v>Medium</v>
      </c>
      <c r="T1043" s="1" t="str" cm="1">
        <f t="array" ref="T1043">_xlfn.IFS(O1043&lt;18200, "Low", O1043&lt;=50000, "Medium", O1043&gt;50000, "High")</f>
        <v>Low</v>
      </c>
    </row>
    <row r="1044" spans="1:20" x14ac:dyDescent="0.25">
      <c r="A1044" s="2">
        <v>2012</v>
      </c>
      <c r="B1044" s="1" t="s">
        <v>85</v>
      </c>
      <c r="C1044" s="1" t="s">
        <v>1525</v>
      </c>
      <c r="D1044" s="1" t="s">
        <v>1518</v>
      </c>
      <c r="E1044" s="1" t="s">
        <v>32</v>
      </c>
      <c r="F1044" s="1" t="s">
        <v>20</v>
      </c>
      <c r="G1044" s="1" t="s">
        <v>1694</v>
      </c>
      <c r="H1044" s="1" t="s">
        <v>22</v>
      </c>
      <c r="I1044" s="1"/>
      <c r="J1044" s="1">
        <v>38370</v>
      </c>
      <c r="K1044" s="1" t="s">
        <v>23</v>
      </c>
      <c r="L1044" s="1" t="s">
        <v>34</v>
      </c>
      <c r="M1044" s="1" t="s">
        <v>1695</v>
      </c>
      <c r="N1044" s="1">
        <v>10600</v>
      </c>
      <c r="O1044" s="12">
        <v>10700</v>
      </c>
      <c r="P1044" s="3" t="s">
        <v>57</v>
      </c>
      <c r="Q1044" s="1" cm="1">
        <f t="array" ref="Q1044">VALUE(INDEX(_xlfn.TEXTSPLIT(P1044, " "), 4))</f>
        <v>2014</v>
      </c>
      <c r="R1044" s="1" t="str">
        <f t="shared" si="16"/>
        <v>Ford Focus SEL</v>
      </c>
      <c r="S1044" s="1" t="str" cm="1">
        <f t="array" ref="S1044">_xlfn.IFS(I1044 &gt;= 40, "High", I1044&gt;=20, "Medium", I1044&lt;20, "Low")</f>
        <v>Low</v>
      </c>
      <c r="T1044" s="1" t="str" cm="1">
        <f t="array" ref="T1044">_xlfn.IFS(O1044&lt;18200, "Low", O1044&lt;=50000, "Medium", O1044&gt;50000, "High")</f>
        <v>Low</v>
      </c>
    </row>
    <row r="1045" spans="1:20" x14ac:dyDescent="0.25">
      <c r="A1045" s="2">
        <v>2012</v>
      </c>
      <c r="B1045" s="1" t="s">
        <v>155</v>
      </c>
      <c r="C1045" s="1" t="s">
        <v>246</v>
      </c>
      <c r="D1045" s="1" t="s">
        <v>247</v>
      </c>
      <c r="E1045" s="1" t="s">
        <v>19</v>
      </c>
      <c r="F1045" s="1" t="s">
        <v>20</v>
      </c>
      <c r="G1045" s="1" t="s">
        <v>1696</v>
      </c>
      <c r="H1045" s="1" t="s">
        <v>22</v>
      </c>
      <c r="I1045" s="1">
        <v>43</v>
      </c>
      <c r="J1045" s="1">
        <v>36331</v>
      </c>
      <c r="K1045" s="1" t="s">
        <v>23</v>
      </c>
      <c r="L1045" s="1" t="s">
        <v>28</v>
      </c>
      <c r="M1045" s="1" t="s">
        <v>1550</v>
      </c>
      <c r="N1045" s="1">
        <v>24000</v>
      </c>
      <c r="O1045" s="12">
        <v>25000</v>
      </c>
      <c r="P1045" s="3" t="s">
        <v>26</v>
      </c>
      <c r="Q1045" s="1" cm="1">
        <f t="array" ref="Q1045">VALUE(INDEX(_xlfn.TEXTSPLIT(P1045, " "), 4))</f>
        <v>2014</v>
      </c>
      <c r="R1045" s="1" t="str">
        <f t="shared" si="16"/>
        <v>Buick Enclave Leather Group</v>
      </c>
      <c r="S1045" s="1" t="str" cm="1">
        <f t="array" ref="S1045">_xlfn.IFS(I1045 &gt;= 40, "High", I1045&gt;=20, "Medium", I1045&lt;20, "Low")</f>
        <v>High</v>
      </c>
      <c r="T1045" s="1" t="str" cm="1">
        <f t="array" ref="T1045">_xlfn.IFS(O1045&lt;18200, "Low", O1045&lt;=50000, "Medium", O1045&gt;50000, "High")</f>
        <v>Medium</v>
      </c>
    </row>
    <row r="1046" spans="1:20" x14ac:dyDescent="0.25">
      <c r="A1046" s="2">
        <v>2012</v>
      </c>
      <c r="B1046" s="1" t="s">
        <v>29</v>
      </c>
      <c r="C1046" s="1" t="s">
        <v>136</v>
      </c>
      <c r="D1046" s="1" t="s">
        <v>1520</v>
      </c>
      <c r="E1046" s="1" t="s">
        <v>19</v>
      </c>
      <c r="F1046" s="1" t="s">
        <v>20</v>
      </c>
      <c r="G1046" s="1" t="s">
        <v>1697</v>
      </c>
      <c r="H1046" s="1" t="s">
        <v>22</v>
      </c>
      <c r="I1046" s="1">
        <v>49</v>
      </c>
      <c r="J1046" s="1">
        <v>23642</v>
      </c>
      <c r="K1046" s="1" t="s">
        <v>34</v>
      </c>
      <c r="L1046" s="1" t="s">
        <v>24</v>
      </c>
      <c r="M1046" s="1" t="s">
        <v>35</v>
      </c>
      <c r="N1046" s="1">
        <v>39900</v>
      </c>
      <c r="O1046" s="12">
        <v>39500</v>
      </c>
      <c r="P1046" s="3" t="s">
        <v>46</v>
      </c>
      <c r="Q1046" s="1" cm="1">
        <f t="array" ref="Q1046">VALUE(INDEX(_xlfn.TEXTSPLIT(P1046, " "), 4))</f>
        <v>2014</v>
      </c>
      <c r="R1046" s="1" t="str">
        <f t="shared" si="16"/>
        <v>BMW X5 xDrive35i Premium</v>
      </c>
      <c r="S1046" s="1" t="str" cm="1">
        <f t="array" ref="S1046">_xlfn.IFS(I1046 &gt;= 40, "High", I1046&gt;=20, "Medium", I1046&lt;20, "Low")</f>
        <v>High</v>
      </c>
      <c r="T1046" s="1" t="str" cm="1">
        <f t="array" ref="T1046">_xlfn.IFS(O1046&lt;18200, "Low", O1046&lt;=50000, "Medium", O1046&gt;50000, "High")</f>
        <v>Medium</v>
      </c>
    </row>
    <row r="1047" spans="1:20" x14ac:dyDescent="0.25">
      <c r="A1047" s="2">
        <v>2012</v>
      </c>
      <c r="B1047" s="1" t="s">
        <v>58</v>
      </c>
      <c r="C1047" s="1" t="s">
        <v>59</v>
      </c>
      <c r="D1047" s="1" t="s">
        <v>60</v>
      </c>
      <c r="E1047" s="1" t="s">
        <v>32</v>
      </c>
      <c r="F1047" s="1" t="s">
        <v>20</v>
      </c>
      <c r="G1047" s="1" t="s">
        <v>1698</v>
      </c>
      <c r="H1047" s="1" t="s">
        <v>22</v>
      </c>
      <c r="I1047" s="1">
        <v>3</v>
      </c>
      <c r="J1047" s="1">
        <v>57595</v>
      </c>
      <c r="K1047" s="1" t="s">
        <v>94</v>
      </c>
      <c r="L1047" s="1" t="s">
        <v>24</v>
      </c>
      <c r="M1047" s="1" t="s">
        <v>1617</v>
      </c>
      <c r="N1047" s="1">
        <v>9000</v>
      </c>
      <c r="O1047" s="12">
        <v>9200</v>
      </c>
      <c r="P1047" s="3" t="s">
        <v>173</v>
      </c>
      <c r="Q1047" s="1" cm="1">
        <f t="array" ref="Q1047">VALUE(INDEX(_xlfn.TEXTSPLIT(P1047, " "), 4))</f>
        <v>2015</v>
      </c>
      <c r="R1047" s="1" t="str">
        <f t="shared" si="16"/>
        <v>Chevrolet Cruze 1LT</v>
      </c>
      <c r="S1047" s="1" t="str" cm="1">
        <f t="array" ref="S1047">_xlfn.IFS(I1047 &gt;= 40, "High", I1047&gt;=20, "Medium", I1047&lt;20, "Low")</f>
        <v>Low</v>
      </c>
      <c r="T1047" s="1" t="str" cm="1">
        <f t="array" ref="T1047">_xlfn.IFS(O1047&lt;18200, "Low", O1047&lt;=50000, "Medium", O1047&gt;50000, "High")</f>
        <v>Low</v>
      </c>
    </row>
    <row r="1048" spans="1:20" x14ac:dyDescent="0.25">
      <c r="A1048" s="2">
        <v>2012</v>
      </c>
      <c r="B1048" s="1" t="s">
        <v>85</v>
      </c>
      <c r="C1048" s="1" t="s">
        <v>86</v>
      </c>
      <c r="D1048" s="1" t="s">
        <v>87</v>
      </c>
      <c r="E1048" s="1" t="s">
        <v>32</v>
      </c>
      <c r="F1048" s="1" t="s">
        <v>20</v>
      </c>
      <c r="G1048" s="1" t="s">
        <v>1699</v>
      </c>
      <c r="H1048" s="1" t="s">
        <v>22</v>
      </c>
      <c r="I1048" s="1">
        <v>27</v>
      </c>
      <c r="J1048" s="1">
        <v>82128</v>
      </c>
      <c r="K1048" s="1" t="s">
        <v>91</v>
      </c>
      <c r="L1048" s="1" t="s">
        <v>34</v>
      </c>
      <c r="M1048" s="1" t="s">
        <v>742</v>
      </c>
      <c r="N1048" s="1">
        <v>8275</v>
      </c>
      <c r="O1048" s="12">
        <v>9100</v>
      </c>
      <c r="P1048" s="3" t="s">
        <v>57</v>
      </c>
      <c r="Q1048" s="1" cm="1">
        <f t="array" ref="Q1048">VALUE(INDEX(_xlfn.TEXTSPLIT(P1048, " "), 4))</f>
        <v>2014</v>
      </c>
      <c r="R1048" s="1" t="str">
        <f t="shared" si="16"/>
        <v>Ford Fusion SE</v>
      </c>
      <c r="S1048" s="1" t="str" cm="1">
        <f t="array" ref="S1048">_xlfn.IFS(I1048 &gt;= 40, "High", I1048&gt;=20, "Medium", I1048&lt;20, "Low")</f>
        <v>Medium</v>
      </c>
      <c r="T1048" s="1" t="str" cm="1">
        <f t="array" ref="T1048">_xlfn.IFS(O1048&lt;18200, "Low", O1048&lt;=50000, "Medium", O1048&gt;50000, "High")</f>
        <v>Low</v>
      </c>
    </row>
    <row r="1049" spans="1:20" x14ac:dyDescent="0.25">
      <c r="A1049" s="2">
        <v>2012</v>
      </c>
      <c r="B1049" s="1" t="s">
        <v>1507</v>
      </c>
      <c r="C1049" s="1" t="s">
        <v>1508</v>
      </c>
      <c r="D1049" s="1" t="s">
        <v>87</v>
      </c>
      <c r="E1049" s="1" t="s">
        <v>32</v>
      </c>
      <c r="F1049" s="1" t="s">
        <v>20</v>
      </c>
      <c r="G1049" s="1" t="s">
        <v>1700</v>
      </c>
      <c r="H1049" s="1" t="s">
        <v>22</v>
      </c>
      <c r="I1049" s="1">
        <v>21</v>
      </c>
      <c r="J1049" s="1">
        <v>49312</v>
      </c>
      <c r="K1049" s="1" t="s">
        <v>34</v>
      </c>
      <c r="L1049" s="1" t="s">
        <v>24</v>
      </c>
      <c r="M1049" s="1" t="s">
        <v>431</v>
      </c>
      <c r="N1049" s="1">
        <v>8550</v>
      </c>
      <c r="O1049" s="12">
        <v>7000</v>
      </c>
      <c r="P1049" s="3" t="s">
        <v>26</v>
      </c>
      <c r="Q1049" s="1" cm="1">
        <f t="array" ref="Q1049">VALUE(INDEX(_xlfn.TEXTSPLIT(P1049, " "), 4))</f>
        <v>2014</v>
      </c>
      <c r="R1049" s="1" t="str">
        <f t="shared" si="16"/>
        <v>Dodge Avenger SE</v>
      </c>
      <c r="S1049" s="1" t="str" cm="1">
        <f t="array" ref="S1049">_xlfn.IFS(I1049 &gt;= 40, "High", I1049&gt;=20, "Medium", I1049&lt;20, "Low")</f>
        <v>Medium</v>
      </c>
      <c r="T1049" s="1" t="str" cm="1">
        <f t="array" ref="T1049">_xlfn.IFS(O1049&lt;18200, "Low", O1049&lt;=50000, "Medium", O1049&gt;50000, "High")</f>
        <v>Low</v>
      </c>
    </row>
    <row r="1050" spans="1:20" x14ac:dyDescent="0.25">
      <c r="A1050" s="2">
        <v>2012</v>
      </c>
      <c r="B1050" s="1" t="s">
        <v>58</v>
      </c>
      <c r="C1050" s="1" t="s">
        <v>113</v>
      </c>
      <c r="D1050" s="1" t="s">
        <v>1536</v>
      </c>
      <c r="E1050" s="1" t="s">
        <v>32</v>
      </c>
      <c r="F1050" s="1" t="s">
        <v>20</v>
      </c>
      <c r="G1050" s="1" t="s">
        <v>1701</v>
      </c>
      <c r="H1050" s="1" t="s">
        <v>22</v>
      </c>
      <c r="I1050" s="1">
        <v>41</v>
      </c>
      <c r="J1050" s="1">
        <v>62386</v>
      </c>
      <c r="K1050" s="1" t="s">
        <v>24</v>
      </c>
      <c r="L1050" s="1" t="s">
        <v>24</v>
      </c>
      <c r="M1050" s="1" t="s">
        <v>946</v>
      </c>
      <c r="N1050" s="1">
        <v>9025</v>
      </c>
      <c r="O1050" s="12">
        <v>9300</v>
      </c>
      <c r="P1050" s="3" t="s">
        <v>68</v>
      </c>
      <c r="Q1050" s="1" cm="1">
        <f t="array" ref="Q1050">VALUE(INDEX(_xlfn.TEXTSPLIT(P1050, " "), 4))</f>
        <v>2014</v>
      </c>
      <c r="R1050" s="1" t="str">
        <f t="shared" si="16"/>
        <v>Chevrolet Impala LT Fleet</v>
      </c>
      <c r="S1050" s="1" t="str" cm="1">
        <f t="array" ref="S1050">_xlfn.IFS(I1050 &gt;= 40, "High", I1050&gt;=20, "Medium", I1050&lt;20, "Low")</f>
        <v>High</v>
      </c>
      <c r="T1050" s="1" t="str" cm="1">
        <f t="array" ref="T1050">_xlfn.IFS(O1050&lt;18200, "Low", O1050&lt;=50000, "Medium", O1050&gt;50000, "High")</f>
        <v>Low</v>
      </c>
    </row>
    <row r="1051" spans="1:20" x14ac:dyDescent="0.25">
      <c r="A1051" s="2">
        <v>2012</v>
      </c>
      <c r="B1051" s="1" t="s">
        <v>58</v>
      </c>
      <c r="C1051" s="1" t="s">
        <v>113</v>
      </c>
      <c r="D1051" s="1" t="s">
        <v>1536</v>
      </c>
      <c r="E1051" s="1" t="s">
        <v>32</v>
      </c>
      <c r="F1051" s="1" t="s">
        <v>20</v>
      </c>
      <c r="G1051" s="1" t="s">
        <v>1702</v>
      </c>
      <c r="H1051" s="1" t="s">
        <v>22</v>
      </c>
      <c r="I1051" s="1">
        <v>27</v>
      </c>
      <c r="J1051" s="1">
        <v>43706</v>
      </c>
      <c r="K1051" s="1" t="s">
        <v>23</v>
      </c>
      <c r="L1051" s="1" t="s">
        <v>34</v>
      </c>
      <c r="M1051" s="1" t="s">
        <v>1703</v>
      </c>
      <c r="N1051" s="1">
        <v>10000</v>
      </c>
      <c r="O1051" s="12">
        <v>8300</v>
      </c>
      <c r="P1051" s="3" t="s">
        <v>1433</v>
      </c>
      <c r="Q1051" s="1" cm="1">
        <f t="array" ref="Q1051">VALUE(INDEX(_xlfn.TEXTSPLIT(P1051, " "), 4))</f>
        <v>2015</v>
      </c>
      <c r="R1051" s="1" t="str">
        <f t="shared" si="16"/>
        <v>Chevrolet Impala LT Fleet</v>
      </c>
      <c r="S1051" s="1" t="str" cm="1">
        <f t="array" ref="S1051">_xlfn.IFS(I1051 &gt;= 40, "High", I1051&gt;=20, "Medium", I1051&lt;20, "Low")</f>
        <v>Medium</v>
      </c>
      <c r="T1051" s="1" t="str" cm="1">
        <f t="array" ref="T1051">_xlfn.IFS(O1051&lt;18200, "Low", O1051&lt;=50000, "Medium", O1051&gt;50000, "High")</f>
        <v>Low</v>
      </c>
    </row>
    <row r="1052" spans="1:20" x14ac:dyDescent="0.25">
      <c r="A1052" s="2">
        <v>2012</v>
      </c>
      <c r="B1052" s="1" t="s">
        <v>1562</v>
      </c>
      <c r="C1052" s="1">
        <v>200</v>
      </c>
      <c r="D1052" s="1" t="s">
        <v>18</v>
      </c>
      <c r="E1052" s="1" t="s">
        <v>32</v>
      </c>
      <c r="F1052" s="1" t="s">
        <v>20</v>
      </c>
      <c r="G1052" s="1" t="s">
        <v>1704</v>
      </c>
      <c r="H1052" s="1" t="s">
        <v>22</v>
      </c>
      <c r="I1052" s="1">
        <v>34</v>
      </c>
      <c r="J1052" s="1">
        <v>64265</v>
      </c>
      <c r="K1052" s="1" t="s">
        <v>24</v>
      </c>
      <c r="L1052" s="1" t="s">
        <v>24</v>
      </c>
      <c r="M1052" s="1" t="s">
        <v>431</v>
      </c>
      <c r="N1052" s="1">
        <v>8325</v>
      </c>
      <c r="O1052" s="12">
        <v>8100</v>
      </c>
      <c r="P1052" s="3" t="s">
        <v>26</v>
      </c>
      <c r="Q1052" s="1" cm="1">
        <f t="array" ref="Q1052">VALUE(INDEX(_xlfn.TEXTSPLIT(P1052, " "), 4))</f>
        <v>2014</v>
      </c>
      <c r="R1052" s="1" t="str">
        <f t="shared" si="16"/>
        <v>Chrysler 200 LX</v>
      </c>
      <c r="S1052" s="1" t="str" cm="1">
        <f t="array" ref="S1052">_xlfn.IFS(I1052 &gt;= 40, "High", I1052&gt;=20, "Medium", I1052&lt;20, "Low")</f>
        <v>Medium</v>
      </c>
      <c r="T1052" s="1" t="str" cm="1">
        <f t="array" ref="T1052">_xlfn.IFS(O1052&lt;18200, "Low", O1052&lt;=50000, "Medium", O1052&gt;50000, "High")</f>
        <v>Low</v>
      </c>
    </row>
    <row r="1053" spans="1:20" x14ac:dyDescent="0.25">
      <c r="A1053" s="2">
        <v>2012</v>
      </c>
      <c r="B1053" s="1" t="s">
        <v>29</v>
      </c>
      <c r="C1053" s="1" t="s">
        <v>1705</v>
      </c>
      <c r="D1053" s="1" t="s">
        <v>54</v>
      </c>
      <c r="E1053" s="1" t="s">
        <v>19</v>
      </c>
      <c r="F1053" s="1" t="s">
        <v>20</v>
      </c>
      <c r="G1053" s="1" t="s">
        <v>1706</v>
      </c>
      <c r="H1053" s="1" t="s">
        <v>22</v>
      </c>
      <c r="I1053" s="1">
        <v>34</v>
      </c>
      <c r="J1053" s="1">
        <v>23029</v>
      </c>
      <c r="K1053" s="1" t="s">
        <v>24</v>
      </c>
      <c r="L1053" s="1" t="s">
        <v>24</v>
      </c>
      <c r="M1053" s="1" t="s">
        <v>35</v>
      </c>
      <c r="N1053" s="1">
        <v>53500</v>
      </c>
      <c r="O1053" s="12">
        <v>54000</v>
      </c>
      <c r="P1053" s="3" t="s">
        <v>46</v>
      </c>
      <c r="Q1053" s="1" cm="1">
        <f t="array" ref="Q1053">VALUE(INDEX(_xlfn.TEXTSPLIT(P1053, " "), 4))</f>
        <v>2014</v>
      </c>
      <c r="R1053" s="1" t="str">
        <f t="shared" si="16"/>
        <v>BMW X5 M Base</v>
      </c>
      <c r="S1053" s="1" t="str" cm="1">
        <f t="array" ref="S1053">_xlfn.IFS(I1053 &gt;= 40, "High", I1053&gt;=20, "Medium", I1053&lt;20, "Low")</f>
        <v>Medium</v>
      </c>
      <c r="T1053" s="1" t="str" cm="1">
        <f t="array" ref="T1053">_xlfn.IFS(O1053&lt;18200, "Low", O1053&lt;=50000, "Medium", O1053&gt;50000, "High")</f>
        <v>High</v>
      </c>
    </row>
    <row r="1054" spans="1:20" x14ac:dyDescent="0.25">
      <c r="A1054" s="2">
        <v>2012</v>
      </c>
      <c r="B1054" s="1" t="s">
        <v>85</v>
      </c>
      <c r="C1054" s="1" t="s">
        <v>1600</v>
      </c>
      <c r="D1054" s="1" t="s">
        <v>1601</v>
      </c>
      <c r="E1054" s="1" t="s">
        <v>1602</v>
      </c>
      <c r="F1054" s="1" t="s">
        <v>20</v>
      </c>
      <c r="G1054" s="1" t="s">
        <v>1707</v>
      </c>
      <c r="H1054" s="1" t="s">
        <v>22</v>
      </c>
      <c r="I1054" s="1">
        <v>39</v>
      </c>
      <c r="J1054" s="1">
        <v>27465</v>
      </c>
      <c r="K1054" s="1" t="s">
        <v>24</v>
      </c>
      <c r="L1054" s="1" t="s">
        <v>34</v>
      </c>
      <c r="M1054" s="1" t="s">
        <v>1515</v>
      </c>
      <c r="N1054" s="1">
        <v>26300</v>
      </c>
      <c r="O1054" s="12">
        <v>28800</v>
      </c>
      <c r="P1054" s="3" t="s">
        <v>68</v>
      </c>
      <c r="Q1054" s="1" cm="1">
        <f t="array" ref="Q1054">VALUE(INDEX(_xlfn.TEXTSPLIT(P1054, " "), 4))</f>
        <v>2014</v>
      </c>
      <c r="R1054" s="1" t="str">
        <f t="shared" si="16"/>
        <v>Ford F-150 XLT</v>
      </c>
      <c r="S1054" s="1" t="str" cm="1">
        <f t="array" ref="S1054">_xlfn.IFS(I1054 &gt;= 40, "High", I1054&gt;=20, "Medium", I1054&lt;20, "Low")</f>
        <v>Medium</v>
      </c>
      <c r="T1054" s="1" t="str" cm="1">
        <f t="array" ref="T1054">_xlfn.IFS(O1054&lt;18200, "Low", O1054&lt;=50000, "Medium", O1054&gt;50000, "High")</f>
        <v>Medium</v>
      </c>
    </row>
    <row r="1055" spans="1:20" x14ac:dyDescent="0.25">
      <c r="A1055" s="2">
        <v>2012</v>
      </c>
      <c r="B1055" s="1" t="s">
        <v>85</v>
      </c>
      <c r="C1055" s="1" t="s">
        <v>1513</v>
      </c>
      <c r="D1055" s="1" t="s">
        <v>337</v>
      </c>
      <c r="E1055" s="1" t="s">
        <v>19</v>
      </c>
      <c r="F1055" s="1"/>
      <c r="G1055" s="1" t="s">
        <v>1708</v>
      </c>
      <c r="H1055" s="1" t="s">
        <v>22</v>
      </c>
      <c r="I1055" s="1"/>
      <c r="J1055" s="1">
        <v>21072</v>
      </c>
      <c r="K1055" s="1" t="s">
        <v>24</v>
      </c>
      <c r="L1055" s="1" t="s">
        <v>101</v>
      </c>
      <c r="M1055" s="1" t="s">
        <v>1709</v>
      </c>
      <c r="N1055" s="1">
        <v>17550</v>
      </c>
      <c r="O1055" s="12">
        <v>13400</v>
      </c>
      <c r="P1055" s="3" t="s">
        <v>57</v>
      </c>
      <c r="Q1055" s="1" cm="1">
        <f t="array" ref="Q1055">VALUE(INDEX(_xlfn.TEXTSPLIT(P1055, " "), 4))</f>
        <v>2014</v>
      </c>
      <c r="R1055" s="1" t="str">
        <f t="shared" si="16"/>
        <v>Ford Escape Limited</v>
      </c>
      <c r="S1055" s="1" t="str" cm="1">
        <f t="array" ref="S1055">_xlfn.IFS(I1055 &gt;= 40, "High", I1055&gt;=20, "Medium", I1055&lt;20, "Low")</f>
        <v>Low</v>
      </c>
      <c r="T1055" s="1" t="str" cm="1">
        <f t="array" ref="T1055">_xlfn.IFS(O1055&lt;18200, "Low", O1055&lt;=50000, "Medium", O1055&gt;50000, "High")</f>
        <v>Low</v>
      </c>
    </row>
    <row r="1056" spans="1:20" x14ac:dyDescent="0.25">
      <c r="A1056" s="2">
        <v>2012</v>
      </c>
      <c r="B1056" s="1" t="s">
        <v>85</v>
      </c>
      <c r="C1056" s="1" t="s">
        <v>1600</v>
      </c>
      <c r="D1056" s="1" t="s">
        <v>1601</v>
      </c>
      <c r="E1056" s="1" t="s">
        <v>1602</v>
      </c>
      <c r="F1056" s="1" t="s">
        <v>20</v>
      </c>
      <c r="G1056" s="1" t="s">
        <v>1710</v>
      </c>
      <c r="H1056" s="1" t="s">
        <v>22</v>
      </c>
      <c r="I1056" s="1">
        <v>35</v>
      </c>
      <c r="J1056" s="1">
        <v>93858</v>
      </c>
      <c r="K1056" s="1" t="s">
        <v>23</v>
      </c>
      <c r="L1056" s="1" t="s">
        <v>34</v>
      </c>
      <c r="M1056" s="1" t="s">
        <v>361</v>
      </c>
      <c r="N1056" s="1">
        <v>18900</v>
      </c>
      <c r="O1056" s="12">
        <v>19500</v>
      </c>
      <c r="P1056" s="3" t="s">
        <v>362</v>
      </c>
      <c r="Q1056" s="1" cm="1">
        <f t="array" ref="Q1056">VALUE(INDEX(_xlfn.TEXTSPLIT(P1056, " "), 4))</f>
        <v>2014</v>
      </c>
      <c r="R1056" s="1" t="str">
        <f t="shared" si="16"/>
        <v>Ford F-150 XLT</v>
      </c>
      <c r="S1056" s="1" t="str" cm="1">
        <f t="array" ref="S1056">_xlfn.IFS(I1056 &gt;= 40, "High", I1056&gt;=20, "Medium", I1056&lt;20, "Low")</f>
        <v>Medium</v>
      </c>
      <c r="T1056" s="1" t="str" cm="1">
        <f t="array" ref="T1056">_xlfn.IFS(O1056&lt;18200, "Low", O1056&lt;=50000, "Medium", O1056&gt;50000, "High")</f>
        <v>Medium</v>
      </c>
    </row>
    <row r="1057" spans="1:20" x14ac:dyDescent="0.25">
      <c r="A1057" s="2">
        <v>2012</v>
      </c>
      <c r="B1057" s="1" t="s">
        <v>58</v>
      </c>
      <c r="C1057" s="1" t="s">
        <v>199</v>
      </c>
      <c r="D1057" s="1" t="s">
        <v>70</v>
      </c>
      <c r="E1057" s="1" t="s">
        <v>32</v>
      </c>
      <c r="F1057" s="1" t="s">
        <v>20</v>
      </c>
      <c r="G1057" s="1" t="s">
        <v>1711</v>
      </c>
      <c r="H1057" s="1" t="s">
        <v>22</v>
      </c>
      <c r="I1057" s="1">
        <v>41</v>
      </c>
      <c r="J1057" s="1">
        <v>60662</v>
      </c>
      <c r="K1057" s="1" t="s">
        <v>91</v>
      </c>
      <c r="L1057" s="1" t="s">
        <v>24</v>
      </c>
      <c r="M1057" s="1" t="s">
        <v>56</v>
      </c>
      <c r="N1057" s="1">
        <v>9475</v>
      </c>
      <c r="O1057" s="12">
        <v>9600</v>
      </c>
      <c r="P1057" s="3" t="s">
        <v>26</v>
      </c>
      <c r="Q1057" s="1" cm="1">
        <f t="array" ref="Q1057">VALUE(INDEX(_xlfn.TEXTSPLIT(P1057, " "), 4))</f>
        <v>2014</v>
      </c>
      <c r="R1057" s="1" t="str">
        <f t="shared" si="16"/>
        <v>Chevrolet Malibu LT</v>
      </c>
      <c r="S1057" s="1" t="str" cm="1">
        <f t="array" ref="S1057">_xlfn.IFS(I1057 &gt;= 40, "High", I1057&gt;=20, "Medium", I1057&lt;20, "Low")</f>
        <v>High</v>
      </c>
      <c r="T1057" s="1" t="str" cm="1">
        <f t="array" ref="T1057">_xlfn.IFS(O1057&lt;18200, "Low", O1057&lt;=50000, "Medium", O1057&gt;50000, "High")</f>
        <v>Low</v>
      </c>
    </row>
    <row r="1058" spans="1:20" x14ac:dyDescent="0.25">
      <c r="A1058" s="2">
        <v>2012</v>
      </c>
      <c r="B1058" s="1" t="s">
        <v>58</v>
      </c>
      <c r="C1058" s="1" t="s">
        <v>1619</v>
      </c>
      <c r="D1058" s="1" t="s">
        <v>1712</v>
      </c>
      <c r="E1058" s="1" t="s">
        <v>19</v>
      </c>
      <c r="F1058" s="1" t="s">
        <v>20</v>
      </c>
      <c r="G1058" s="1" t="s">
        <v>1713</v>
      </c>
      <c r="H1058" s="1" t="s">
        <v>22</v>
      </c>
      <c r="I1058" s="1">
        <v>2</v>
      </c>
      <c r="J1058" s="1">
        <v>75665</v>
      </c>
      <c r="K1058" s="1" t="s">
        <v>34</v>
      </c>
      <c r="L1058" s="1" t="s">
        <v>34</v>
      </c>
      <c r="M1058" s="1" t="s">
        <v>1617</v>
      </c>
      <c r="N1058" s="1">
        <v>8025</v>
      </c>
      <c r="O1058" s="12">
        <v>9800</v>
      </c>
      <c r="P1058" s="3" t="s">
        <v>26</v>
      </c>
      <c r="Q1058" s="1" cm="1">
        <f t="array" ref="Q1058">VALUE(INDEX(_xlfn.TEXTSPLIT(P1058, " "), 4))</f>
        <v>2014</v>
      </c>
      <c r="R1058" s="1" t="str">
        <f t="shared" si="16"/>
        <v>Chevrolet Captiva Sport 2LS Fleet</v>
      </c>
      <c r="S1058" s="1" t="str" cm="1">
        <f t="array" ref="S1058">_xlfn.IFS(I1058 &gt;= 40, "High", I1058&gt;=20, "Medium", I1058&lt;20, "Low")</f>
        <v>Low</v>
      </c>
      <c r="T1058" s="1" t="str" cm="1">
        <f t="array" ref="T1058">_xlfn.IFS(O1058&lt;18200, "Low", O1058&lt;=50000, "Medium", O1058&gt;50000, "High")</f>
        <v>Low</v>
      </c>
    </row>
    <row r="1059" spans="1:20" x14ac:dyDescent="0.25">
      <c r="A1059" s="2">
        <v>2012</v>
      </c>
      <c r="B1059" s="1" t="s">
        <v>85</v>
      </c>
      <c r="C1059" s="1" t="s">
        <v>86</v>
      </c>
      <c r="D1059" s="1" t="s">
        <v>1518</v>
      </c>
      <c r="E1059" s="1" t="s">
        <v>32</v>
      </c>
      <c r="F1059" s="1" t="s">
        <v>20</v>
      </c>
      <c r="G1059" s="1" t="s">
        <v>1714</v>
      </c>
      <c r="H1059" s="1" t="s">
        <v>22</v>
      </c>
      <c r="I1059" s="1">
        <v>47</v>
      </c>
      <c r="J1059" s="1">
        <v>24208</v>
      </c>
      <c r="K1059" s="1" t="s">
        <v>34</v>
      </c>
      <c r="L1059" s="1" t="s">
        <v>28</v>
      </c>
      <c r="M1059" s="1" t="s">
        <v>1515</v>
      </c>
      <c r="N1059" s="1">
        <v>15050</v>
      </c>
      <c r="O1059" s="12">
        <v>16000</v>
      </c>
      <c r="P1059" s="3" t="s">
        <v>68</v>
      </c>
      <c r="Q1059" s="1" cm="1">
        <f t="array" ref="Q1059">VALUE(INDEX(_xlfn.TEXTSPLIT(P1059, " "), 4))</f>
        <v>2014</v>
      </c>
      <c r="R1059" s="1" t="str">
        <f t="shared" si="16"/>
        <v>Ford Fusion SEL</v>
      </c>
      <c r="S1059" s="1" t="str" cm="1">
        <f t="array" ref="S1059">_xlfn.IFS(I1059 &gt;= 40, "High", I1059&gt;=20, "Medium", I1059&lt;20, "Low")</f>
        <v>High</v>
      </c>
      <c r="T1059" s="1" t="str" cm="1">
        <f t="array" ref="T1059">_xlfn.IFS(O1059&lt;18200, "Low", O1059&lt;=50000, "Medium", O1059&gt;50000, "High")</f>
        <v>Low</v>
      </c>
    </row>
    <row r="1060" spans="1:20" x14ac:dyDescent="0.25">
      <c r="A1060" s="2">
        <v>2012</v>
      </c>
      <c r="B1060" s="1" t="s">
        <v>58</v>
      </c>
      <c r="C1060" s="1" t="s">
        <v>283</v>
      </c>
      <c r="D1060" s="1" t="s">
        <v>70</v>
      </c>
      <c r="E1060" s="1" t="s">
        <v>267</v>
      </c>
      <c r="F1060" s="1" t="s">
        <v>20</v>
      </c>
      <c r="G1060" s="1" t="s">
        <v>1715</v>
      </c>
      <c r="H1060" s="1" t="s">
        <v>22</v>
      </c>
      <c r="I1060" s="1">
        <v>41</v>
      </c>
      <c r="J1060" s="1">
        <v>123543</v>
      </c>
      <c r="K1060" s="1" t="s">
        <v>23</v>
      </c>
      <c r="L1060" s="1" t="s">
        <v>24</v>
      </c>
      <c r="M1060" s="1" t="s">
        <v>1716</v>
      </c>
      <c r="N1060" s="1">
        <v>23500</v>
      </c>
      <c r="O1060" s="12">
        <v>21000</v>
      </c>
      <c r="P1060" s="3" t="s">
        <v>1717</v>
      </c>
      <c r="Q1060" s="1" cm="1">
        <f t="array" ref="Q1060">VALUE(INDEX(_xlfn.TEXTSPLIT(P1060, " "), 4))</f>
        <v>2015</v>
      </c>
      <c r="R1060" s="1" t="str">
        <f t="shared" si="16"/>
        <v>Chevrolet Silverado 1500 LT</v>
      </c>
      <c r="S1060" s="1" t="str" cm="1">
        <f t="array" ref="S1060">_xlfn.IFS(I1060 &gt;= 40, "High", I1060&gt;=20, "Medium", I1060&lt;20, "Low")</f>
        <v>High</v>
      </c>
      <c r="T1060" s="1" t="str" cm="1">
        <f t="array" ref="T1060">_xlfn.IFS(O1060&lt;18200, "Low", O1060&lt;=50000, "Medium", O1060&gt;50000, "High")</f>
        <v>Medium</v>
      </c>
    </row>
    <row r="1061" spans="1:20" x14ac:dyDescent="0.25">
      <c r="A1061" s="2">
        <v>2012</v>
      </c>
      <c r="B1061" s="1" t="s">
        <v>85</v>
      </c>
      <c r="C1061" s="1" t="s">
        <v>1517</v>
      </c>
      <c r="D1061" s="1" t="s">
        <v>368</v>
      </c>
      <c r="E1061" s="1" t="s">
        <v>19</v>
      </c>
      <c r="F1061" s="1" t="s">
        <v>20</v>
      </c>
      <c r="G1061" s="1" t="s">
        <v>1718</v>
      </c>
      <c r="H1061" s="1" t="s">
        <v>22</v>
      </c>
      <c r="I1061" s="1">
        <v>4</v>
      </c>
      <c r="J1061" s="1">
        <v>43860</v>
      </c>
      <c r="K1061" s="1" t="s">
        <v>24</v>
      </c>
      <c r="L1061" s="1" t="s">
        <v>24</v>
      </c>
      <c r="M1061" s="1" t="s">
        <v>1515</v>
      </c>
      <c r="N1061" s="1">
        <v>22700</v>
      </c>
      <c r="O1061" s="12">
        <v>21900</v>
      </c>
      <c r="P1061" s="3" t="s">
        <v>68</v>
      </c>
      <c r="Q1061" s="1" cm="1">
        <f t="array" ref="Q1061">VALUE(INDEX(_xlfn.TEXTSPLIT(P1061, " "), 4))</f>
        <v>2014</v>
      </c>
      <c r="R1061" s="1" t="str">
        <f t="shared" si="16"/>
        <v>Ford Edge Sport</v>
      </c>
      <c r="S1061" s="1" t="str" cm="1">
        <f t="array" ref="S1061">_xlfn.IFS(I1061 &gt;= 40, "High", I1061&gt;=20, "Medium", I1061&lt;20, "Low")</f>
        <v>Low</v>
      </c>
      <c r="T1061" s="1" t="str" cm="1">
        <f t="array" ref="T1061">_xlfn.IFS(O1061&lt;18200, "Low", O1061&lt;=50000, "Medium", O1061&gt;50000, "High")</f>
        <v>Medium</v>
      </c>
    </row>
    <row r="1062" spans="1:20" x14ac:dyDescent="0.25">
      <c r="A1062" s="2">
        <v>2012</v>
      </c>
      <c r="B1062" s="1" t="s">
        <v>1507</v>
      </c>
      <c r="C1062" s="1" t="s">
        <v>1577</v>
      </c>
      <c r="D1062" s="1" t="s">
        <v>1572</v>
      </c>
      <c r="E1062" s="1" t="s">
        <v>32</v>
      </c>
      <c r="F1062" s="1" t="s">
        <v>20</v>
      </c>
      <c r="G1062" s="1" t="s">
        <v>1719</v>
      </c>
      <c r="H1062" s="1" t="s">
        <v>22</v>
      </c>
      <c r="I1062" s="1">
        <v>35</v>
      </c>
      <c r="J1062" s="1">
        <v>36329</v>
      </c>
      <c r="K1062" s="1" t="s">
        <v>94</v>
      </c>
      <c r="L1062" s="1" t="s">
        <v>24</v>
      </c>
      <c r="M1062" s="1" t="s">
        <v>1720</v>
      </c>
      <c r="N1062" s="1">
        <v>15950</v>
      </c>
      <c r="O1062" s="12">
        <v>20300</v>
      </c>
      <c r="P1062" s="3" t="s">
        <v>57</v>
      </c>
      <c r="Q1062" s="1" cm="1">
        <f t="array" ref="Q1062">VALUE(INDEX(_xlfn.TEXTSPLIT(P1062, " "), 4))</f>
        <v>2014</v>
      </c>
      <c r="R1062" s="1" t="str">
        <f t="shared" si="16"/>
        <v>Dodge Charger SXT</v>
      </c>
      <c r="S1062" s="1" t="str" cm="1">
        <f t="array" ref="S1062">_xlfn.IFS(I1062 &gt;= 40, "High", I1062&gt;=20, "Medium", I1062&lt;20, "Low")</f>
        <v>Medium</v>
      </c>
      <c r="T1062" s="1" t="str" cm="1">
        <f t="array" ref="T1062">_xlfn.IFS(O1062&lt;18200, "Low", O1062&lt;=50000, "Medium", O1062&gt;50000, "High")</f>
        <v>Medium</v>
      </c>
    </row>
    <row r="1063" spans="1:20" x14ac:dyDescent="0.25">
      <c r="A1063" s="2">
        <v>2012</v>
      </c>
      <c r="B1063" s="1" t="s">
        <v>58</v>
      </c>
      <c r="C1063" s="1" t="s">
        <v>199</v>
      </c>
      <c r="D1063" s="1" t="s">
        <v>70</v>
      </c>
      <c r="E1063" s="1" t="s">
        <v>32</v>
      </c>
      <c r="F1063" s="1"/>
      <c r="G1063" s="1" t="s">
        <v>1721</v>
      </c>
      <c r="H1063" s="1" t="s">
        <v>22</v>
      </c>
      <c r="I1063" s="1"/>
      <c r="J1063" s="1">
        <v>63220</v>
      </c>
      <c r="K1063" s="1" t="s">
        <v>384</v>
      </c>
      <c r="L1063" s="1" t="s">
        <v>101</v>
      </c>
      <c r="M1063" s="1" t="s">
        <v>56</v>
      </c>
      <c r="N1063" s="1">
        <v>9450</v>
      </c>
      <c r="O1063" s="12">
        <v>9500</v>
      </c>
      <c r="P1063" s="3" t="s">
        <v>26</v>
      </c>
      <c r="Q1063" s="1" cm="1">
        <f t="array" ref="Q1063">VALUE(INDEX(_xlfn.TEXTSPLIT(P1063, " "), 4))</f>
        <v>2014</v>
      </c>
      <c r="R1063" s="1" t="str">
        <f t="shared" si="16"/>
        <v>Chevrolet Malibu LT</v>
      </c>
      <c r="S1063" s="1" t="str" cm="1">
        <f t="array" ref="S1063">_xlfn.IFS(I1063 &gt;= 40, "High", I1063&gt;=20, "Medium", I1063&lt;20, "Low")</f>
        <v>Low</v>
      </c>
      <c r="T1063" s="1" t="str" cm="1">
        <f t="array" ref="T1063">_xlfn.IFS(O1063&lt;18200, "Low", O1063&lt;=50000, "Medium", O1063&gt;50000, "High")</f>
        <v>Low</v>
      </c>
    </row>
    <row r="1064" spans="1:20" x14ac:dyDescent="0.25">
      <c r="A1064" s="2">
        <v>2012</v>
      </c>
      <c r="B1064" s="1" t="s">
        <v>85</v>
      </c>
      <c r="C1064" s="1" t="s">
        <v>1665</v>
      </c>
      <c r="D1064" s="1" t="s">
        <v>1722</v>
      </c>
      <c r="E1064" s="1" t="s">
        <v>1665</v>
      </c>
      <c r="F1064" s="1"/>
      <c r="G1064" s="1" t="s">
        <v>1723</v>
      </c>
      <c r="H1064" s="1" t="s">
        <v>22</v>
      </c>
      <c r="I1064" s="1">
        <v>42</v>
      </c>
      <c r="J1064" s="1">
        <v>7504</v>
      </c>
      <c r="K1064" s="1" t="s">
        <v>23</v>
      </c>
      <c r="L1064" s="1" t="s">
        <v>34</v>
      </c>
      <c r="M1064" s="1" t="s">
        <v>728</v>
      </c>
      <c r="N1064" s="1">
        <v>12850</v>
      </c>
      <c r="O1064" s="12">
        <v>19900</v>
      </c>
      <c r="P1064" s="3" t="s">
        <v>57</v>
      </c>
      <c r="Q1064" s="1" cm="1">
        <f t="array" ref="Q1064">VALUE(INDEX(_xlfn.TEXTSPLIT(P1064, " "), 4))</f>
        <v>2014</v>
      </c>
      <c r="R1064" s="1" t="str">
        <f t="shared" si="16"/>
        <v>Ford E-Series Van E-350 Super Duty</v>
      </c>
      <c r="S1064" s="1" t="str" cm="1">
        <f t="array" ref="S1064">_xlfn.IFS(I1064 &gt;= 40, "High", I1064&gt;=20, "Medium", I1064&lt;20, "Low")</f>
        <v>High</v>
      </c>
      <c r="T1064" s="1" t="str" cm="1">
        <f t="array" ref="T1064">_xlfn.IFS(O1064&lt;18200, "Low", O1064&lt;=50000, "Medium", O1064&gt;50000, "High")</f>
        <v>Medium</v>
      </c>
    </row>
    <row r="1065" spans="1:20" x14ac:dyDescent="0.25">
      <c r="A1065" s="2">
        <v>2012</v>
      </c>
      <c r="B1065" s="1" t="s">
        <v>58</v>
      </c>
      <c r="C1065" s="1" t="s">
        <v>59</v>
      </c>
      <c r="D1065" s="1" t="s">
        <v>1688</v>
      </c>
      <c r="E1065" s="1" t="s">
        <v>32</v>
      </c>
      <c r="F1065" s="1" t="s">
        <v>214</v>
      </c>
      <c r="G1065" s="1" t="s">
        <v>1724</v>
      </c>
      <c r="H1065" s="1" t="s">
        <v>22</v>
      </c>
      <c r="I1065" s="1">
        <v>37</v>
      </c>
      <c r="J1065" s="1">
        <v>49866</v>
      </c>
      <c r="K1065" s="1" t="s">
        <v>23</v>
      </c>
      <c r="L1065" s="1" t="s">
        <v>34</v>
      </c>
      <c r="M1065" s="1" t="s">
        <v>109</v>
      </c>
      <c r="N1065" s="1">
        <v>9300</v>
      </c>
      <c r="O1065" s="12">
        <v>9900</v>
      </c>
      <c r="P1065" s="3" t="s">
        <v>68</v>
      </c>
      <c r="Q1065" s="1" cm="1">
        <f t="array" ref="Q1065">VALUE(INDEX(_xlfn.TEXTSPLIT(P1065, " "), 4))</f>
        <v>2014</v>
      </c>
      <c r="R1065" s="1" t="str">
        <f t="shared" si="16"/>
        <v>Chevrolet Cruze Eco</v>
      </c>
      <c r="S1065" s="1" t="str" cm="1">
        <f t="array" ref="S1065">_xlfn.IFS(I1065 &gt;= 40, "High", I1065&gt;=20, "Medium", I1065&lt;20, "Low")</f>
        <v>Medium</v>
      </c>
      <c r="T1065" s="1" t="str" cm="1">
        <f t="array" ref="T1065">_xlfn.IFS(O1065&lt;18200, "Low", O1065&lt;=50000, "Medium", O1065&gt;50000, "High")</f>
        <v>Low</v>
      </c>
    </row>
    <row r="1066" spans="1:20" x14ac:dyDescent="0.25">
      <c r="A1066" s="2">
        <v>2012</v>
      </c>
      <c r="B1066" s="1" t="s">
        <v>85</v>
      </c>
      <c r="C1066" s="1" t="s">
        <v>1513</v>
      </c>
      <c r="D1066" s="1" t="s">
        <v>1569</v>
      </c>
      <c r="E1066" s="1" t="s">
        <v>19</v>
      </c>
      <c r="F1066" s="1" t="s">
        <v>20</v>
      </c>
      <c r="G1066" s="1" t="s">
        <v>1725</v>
      </c>
      <c r="H1066" s="1" t="s">
        <v>22</v>
      </c>
      <c r="I1066" s="1">
        <v>38</v>
      </c>
      <c r="J1066" s="1">
        <v>61007</v>
      </c>
      <c r="K1066" s="1" t="s">
        <v>24</v>
      </c>
      <c r="L1066" s="1" t="s">
        <v>28</v>
      </c>
      <c r="M1066" s="1" t="s">
        <v>1581</v>
      </c>
      <c r="N1066" s="1">
        <v>10250</v>
      </c>
      <c r="O1066" s="12">
        <v>10200</v>
      </c>
      <c r="P1066" s="3" t="s">
        <v>68</v>
      </c>
      <c r="Q1066" s="1" cm="1">
        <f t="array" ref="Q1066">VALUE(INDEX(_xlfn.TEXTSPLIT(P1066, " "), 4))</f>
        <v>2014</v>
      </c>
      <c r="R1066" s="1" t="str">
        <f t="shared" si="16"/>
        <v>Ford Escape XLS</v>
      </c>
      <c r="S1066" s="1" t="str" cm="1">
        <f t="array" ref="S1066">_xlfn.IFS(I1066 &gt;= 40, "High", I1066&gt;=20, "Medium", I1066&lt;20, "Low")</f>
        <v>Medium</v>
      </c>
      <c r="T1066" s="1" t="str" cm="1">
        <f t="array" ref="T1066">_xlfn.IFS(O1066&lt;18200, "Low", O1066&lt;=50000, "Medium", O1066&gt;50000, "High")</f>
        <v>Low</v>
      </c>
    </row>
    <row r="1067" spans="1:20" x14ac:dyDescent="0.25">
      <c r="A1067" s="2">
        <v>2012</v>
      </c>
      <c r="B1067" s="1" t="s">
        <v>85</v>
      </c>
      <c r="C1067" s="1" t="s">
        <v>1525</v>
      </c>
      <c r="D1067" s="1" t="s">
        <v>1518</v>
      </c>
      <c r="E1067" s="1" t="s">
        <v>227</v>
      </c>
      <c r="F1067" s="1" t="s">
        <v>20</v>
      </c>
      <c r="G1067" s="1" t="s">
        <v>1726</v>
      </c>
      <c r="H1067" s="1" t="s">
        <v>22</v>
      </c>
      <c r="I1067" s="1">
        <v>26</v>
      </c>
      <c r="J1067" s="1">
        <v>54322</v>
      </c>
      <c r="K1067" s="1" t="s">
        <v>24</v>
      </c>
      <c r="L1067" s="1" t="s">
        <v>24</v>
      </c>
      <c r="M1067" s="1" t="s">
        <v>1581</v>
      </c>
      <c r="N1067" s="1">
        <v>9650</v>
      </c>
      <c r="O1067" s="12">
        <v>7600</v>
      </c>
      <c r="P1067" s="3" t="s">
        <v>62</v>
      </c>
      <c r="Q1067" s="1" cm="1">
        <f t="array" ref="Q1067">VALUE(INDEX(_xlfn.TEXTSPLIT(P1067, " "), 4))</f>
        <v>2014</v>
      </c>
      <c r="R1067" s="1" t="str">
        <f t="shared" si="16"/>
        <v>Ford Focus SEL</v>
      </c>
      <c r="S1067" s="1" t="str" cm="1">
        <f t="array" ref="S1067">_xlfn.IFS(I1067 &gt;= 40, "High", I1067&gt;=20, "Medium", I1067&lt;20, "Low")</f>
        <v>Medium</v>
      </c>
      <c r="T1067" s="1" t="str" cm="1">
        <f t="array" ref="T1067">_xlfn.IFS(O1067&lt;18200, "Low", O1067&lt;=50000, "Medium", O1067&gt;50000, "High")</f>
        <v>Low</v>
      </c>
    </row>
    <row r="1068" spans="1:20" x14ac:dyDescent="0.25">
      <c r="A1068" s="2">
        <v>2012</v>
      </c>
      <c r="B1068" s="1" t="s">
        <v>29</v>
      </c>
      <c r="C1068" s="1" t="s">
        <v>136</v>
      </c>
      <c r="D1068" s="1" t="s">
        <v>1520</v>
      </c>
      <c r="E1068" s="1" t="s">
        <v>19</v>
      </c>
      <c r="F1068" s="1" t="s">
        <v>20</v>
      </c>
      <c r="G1068" s="1" t="s">
        <v>1727</v>
      </c>
      <c r="H1068" s="1" t="s">
        <v>22</v>
      </c>
      <c r="I1068" s="1">
        <v>48</v>
      </c>
      <c r="J1068" s="1">
        <v>45760</v>
      </c>
      <c r="K1068" s="1" t="s">
        <v>24</v>
      </c>
      <c r="L1068" s="1" t="s">
        <v>101</v>
      </c>
      <c r="M1068" s="1" t="s">
        <v>35</v>
      </c>
      <c r="N1068" s="1">
        <v>34500</v>
      </c>
      <c r="O1068" s="12">
        <v>36500</v>
      </c>
      <c r="P1068" s="3" t="s">
        <v>46</v>
      </c>
      <c r="Q1068" s="1" cm="1">
        <f t="array" ref="Q1068">VALUE(INDEX(_xlfn.TEXTSPLIT(P1068, " "), 4))</f>
        <v>2014</v>
      </c>
      <c r="R1068" s="1" t="str">
        <f t="shared" si="16"/>
        <v>BMW X5 xDrive35i Premium</v>
      </c>
      <c r="S1068" s="1" t="str" cm="1">
        <f t="array" ref="S1068">_xlfn.IFS(I1068 &gt;= 40, "High", I1068&gt;=20, "Medium", I1068&lt;20, "Low")</f>
        <v>High</v>
      </c>
      <c r="T1068" s="1" t="str" cm="1">
        <f t="array" ref="T1068">_xlfn.IFS(O1068&lt;18200, "Low", O1068&lt;=50000, "Medium", O1068&gt;50000, "High")</f>
        <v>Medium</v>
      </c>
    </row>
    <row r="1069" spans="1:20" x14ac:dyDescent="0.25">
      <c r="A1069" s="2">
        <v>2012</v>
      </c>
      <c r="B1069" s="1" t="s">
        <v>85</v>
      </c>
      <c r="C1069" s="1" t="s">
        <v>1517</v>
      </c>
      <c r="D1069" s="1" t="s">
        <v>337</v>
      </c>
      <c r="E1069" s="1" t="s">
        <v>19</v>
      </c>
      <c r="F1069" s="1" t="s">
        <v>20</v>
      </c>
      <c r="G1069" s="1" t="s">
        <v>1728</v>
      </c>
      <c r="H1069" s="1" t="s">
        <v>22</v>
      </c>
      <c r="I1069" s="1">
        <v>44</v>
      </c>
      <c r="J1069" s="1">
        <v>36575</v>
      </c>
      <c r="K1069" s="1" t="s">
        <v>23</v>
      </c>
      <c r="L1069" s="1" t="s">
        <v>24</v>
      </c>
      <c r="M1069" s="1" t="s">
        <v>1515</v>
      </c>
      <c r="N1069" s="1">
        <v>20000</v>
      </c>
      <c r="O1069" s="12">
        <v>22000</v>
      </c>
      <c r="P1069" s="3" t="s">
        <v>68</v>
      </c>
      <c r="Q1069" s="1" cm="1">
        <f t="array" ref="Q1069">VALUE(INDEX(_xlfn.TEXTSPLIT(P1069, " "), 4))</f>
        <v>2014</v>
      </c>
      <c r="R1069" s="1" t="str">
        <f t="shared" si="16"/>
        <v>Ford Edge Limited</v>
      </c>
      <c r="S1069" s="1" t="str" cm="1">
        <f t="array" ref="S1069">_xlfn.IFS(I1069 &gt;= 40, "High", I1069&gt;=20, "Medium", I1069&lt;20, "Low")</f>
        <v>High</v>
      </c>
      <c r="T1069" s="1" t="str" cm="1">
        <f t="array" ref="T1069">_xlfn.IFS(O1069&lt;18200, "Low", O1069&lt;=50000, "Medium", O1069&gt;50000, "High")</f>
        <v>Medium</v>
      </c>
    </row>
    <row r="1070" spans="1:20" x14ac:dyDescent="0.25">
      <c r="A1070" s="2">
        <v>2012</v>
      </c>
      <c r="B1070" s="1" t="s">
        <v>58</v>
      </c>
      <c r="C1070" s="1" t="s">
        <v>59</v>
      </c>
      <c r="D1070" s="1" t="s">
        <v>92</v>
      </c>
      <c r="E1070" s="1" t="s">
        <v>32</v>
      </c>
      <c r="F1070" s="1" t="s">
        <v>20</v>
      </c>
      <c r="G1070" s="1" t="s">
        <v>1729</v>
      </c>
      <c r="H1070" s="1" t="s">
        <v>22</v>
      </c>
      <c r="I1070" s="1">
        <v>2</v>
      </c>
      <c r="J1070" s="1">
        <v>62216</v>
      </c>
      <c r="K1070" s="1" t="s">
        <v>23</v>
      </c>
      <c r="L1070" s="1" t="s">
        <v>24</v>
      </c>
      <c r="M1070" s="1" t="s">
        <v>1617</v>
      </c>
      <c r="N1070" s="1">
        <v>9125</v>
      </c>
      <c r="O1070" s="12">
        <v>10000</v>
      </c>
      <c r="P1070" s="3" t="s">
        <v>26</v>
      </c>
      <c r="Q1070" s="1" cm="1">
        <f t="array" ref="Q1070">VALUE(INDEX(_xlfn.TEXTSPLIT(P1070, " "), 4))</f>
        <v>2014</v>
      </c>
      <c r="R1070" s="1" t="str">
        <f t="shared" si="16"/>
        <v>Chevrolet Cruze 2LT</v>
      </c>
      <c r="S1070" s="1" t="str" cm="1">
        <f t="array" ref="S1070">_xlfn.IFS(I1070 &gt;= 40, "High", I1070&gt;=20, "Medium", I1070&lt;20, "Low")</f>
        <v>Low</v>
      </c>
      <c r="T1070" s="1" t="str" cm="1">
        <f t="array" ref="T1070">_xlfn.IFS(O1070&lt;18200, "Low", O1070&lt;=50000, "Medium", O1070&gt;50000, "High")</f>
        <v>Low</v>
      </c>
    </row>
    <row r="1071" spans="1:20" x14ac:dyDescent="0.25">
      <c r="A1071" s="2">
        <v>2012</v>
      </c>
      <c r="B1071" s="1" t="s">
        <v>85</v>
      </c>
      <c r="C1071" s="1" t="s">
        <v>1525</v>
      </c>
      <c r="D1071" s="1" t="s">
        <v>1518</v>
      </c>
      <c r="E1071" s="1" t="s">
        <v>32</v>
      </c>
      <c r="F1071" s="1" t="s">
        <v>20</v>
      </c>
      <c r="G1071" s="1" t="s">
        <v>1730</v>
      </c>
      <c r="H1071" s="1" t="s">
        <v>22</v>
      </c>
      <c r="I1071" s="1">
        <v>31</v>
      </c>
      <c r="J1071" s="1">
        <v>76000</v>
      </c>
      <c r="K1071" s="1" t="s">
        <v>91</v>
      </c>
      <c r="L1071" s="1" t="s">
        <v>24</v>
      </c>
      <c r="M1071" s="1" t="s">
        <v>635</v>
      </c>
      <c r="N1071" s="1">
        <v>8225</v>
      </c>
      <c r="O1071" s="12">
        <v>9100</v>
      </c>
      <c r="P1071" s="3" t="s">
        <v>68</v>
      </c>
      <c r="Q1071" s="1" cm="1">
        <f t="array" ref="Q1071">VALUE(INDEX(_xlfn.TEXTSPLIT(P1071, " "), 4))</f>
        <v>2014</v>
      </c>
      <c r="R1071" s="1" t="str">
        <f t="shared" si="16"/>
        <v>Ford Focus SEL</v>
      </c>
      <c r="S1071" s="1" t="str" cm="1">
        <f t="array" ref="S1071">_xlfn.IFS(I1071 &gt;= 40, "High", I1071&gt;=20, "Medium", I1071&lt;20, "Low")</f>
        <v>Medium</v>
      </c>
      <c r="T1071" s="1" t="str" cm="1">
        <f t="array" ref="T1071">_xlfn.IFS(O1071&lt;18200, "Low", O1071&lt;=50000, "Medium", O1071&gt;50000, "High")</f>
        <v>Low</v>
      </c>
    </row>
    <row r="1072" spans="1:20" x14ac:dyDescent="0.25">
      <c r="A1072" s="2">
        <v>2012</v>
      </c>
      <c r="B1072" s="1" t="s">
        <v>1507</v>
      </c>
      <c r="C1072" s="1" t="s">
        <v>1571</v>
      </c>
      <c r="D1072" s="1" t="s">
        <v>1572</v>
      </c>
      <c r="E1072" s="1" t="s">
        <v>19</v>
      </c>
      <c r="F1072" s="1" t="s">
        <v>20</v>
      </c>
      <c r="G1072" s="1" t="s">
        <v>1731</v>
      </c>
      <c r="H1072" s="1" t="s">
        <v>22</v>
      </c>
      <c r="I1072" s="1">
        <v>4</v>
      </c>
      <c r="J1072" s="1">
        <v>70925</v>
      </c>
      <c r="K1072" s="1" t="s">
        <v>34</v>
      </c>
      <c r="L1072" s="1" t="s">
        <v>24</v>
      </c>
      <c r="M1072" s="1" t="s">
        <v>1732</v>
      </c>
      <c r="N1072" s="1">
        <v>9250</v>
      </c>
      <c r="O1072" s="12">
        <v>11200</v>
      </c>
      <c r="P1072" s="3" t="s">
        <v>57</v>
      </c>
      <c r="Q1072" s="1" cm="1">
        <f t="array" ref="Q1072">VALUE(INDEX(_xlfn.TEXTSPLIT(P1072, " "), 4))</f>
        <v>2014</v>
      </c>
      <c r="R1072" s="1" t="str">
        <f t="shared" si="16"/>
        <v>Dodge Journey SXT</v>
      </c>
      <c r="S1072" s="1" t="str" cm="1">
        <f t="array" ref="S1072">_xlfn.IFS(I1072 &gt;= 40, "High", I1072&gt;=20, "Medium", I1072&lt;20, "Low")</f>
        <v>Low</v>
      </c>
      <c r="T1072" s="1" t="str" cm="1">
        <f t="array" ref="T1072">_xlfn.IFS(O1072&lt;18200, "Low", O1072&lt;=50000, "Medium", O1072&gt;50000, "High")</f>
        <v>Low</v>
      </c>
    </row>
    <row r="1073" spans="1:20" x14ac:dyDescent="0.25">
      <c r="A1073" s="2">
        <v>2012</v>
      </c>
      <c r="B1073" s="1" t="s">
        <v>85</v>
      </c>
      <c r="C1073" s="1" t="s">
        <v>1513</v>
      </c>
      <c r="D1073" s="1" t="s">
        <v>1601</v>
      </c>
      <c r="E1073" s="1" t="s">
        <v>19</v>
      </c>
      <c r="F1073" s="1" t="s">
        <v>20</v>
      </c>
      <c r="G1073" s="1" t="s">
        <v>1733</v>
      </c>
      <c r="H1073" s="1" t="s">
        <v>22</v>
      </c>
      <c r="I1073" s="1">
        <v>47</v>
      </c>
      <c r="J1073" s="1">
        <v>11112</v>
      </c>
      <c r="K1073" s="1" t="s">
        <v>23</v>
      </c>
      <c r="L1073" s="1" t="s">
        <v>28</v>
      </c>
      <c r="M1073" s="1" t="s">
        <v>1515</v>
      </c>
      <c r="N1073" s="1">
        <v>15800</v>
      </c>
      <c r="O1073" s="12">
        <v>17200</v>
      </c>
      <c r="P1073" s="3" t="s">
        <v>68</v>
      </c>
      <c r="Q1073" s="1" cm="1">
        <f t="array" ref="Q1073">VALUE(INDEX(_xlfn.TEXTSPLIT(P1073, " "), 4))</f>
        <v>2014</v>
      </c>
      <c r="R1073" s="1" t="str">
        <f t="shared" si="16"/>
        <v>Ford Escape XLT</v>
      </c>
      <c r="S1073" s="1" t="str" cm="1">
        <f t="array" ref="S1073">_xlfn.IFS(I1073 &gt;= 40, "High", I1073&gt;=20, "Medium", I1073&lt;20, "Low")</f>
        <v>High</v>
      </c>
      <c r="T1073" s="1" t="str" cm="1">
        <f t="array" ref="T1073">_xlfn.IFS(O1073&lt;18200, "Low", O1073&lt;=50000, "Medium", O1073&gt;50000, "High")</f>
        <v>Low</v>
      </c>
    </row>
    <row r="1074" spans="1:20" x14ac:dyDescent="0.25">
      <c r="A1074" s="2">
        <v>2012</v>
      </c>
      <c r="B1074" s="1" t="s">
        <v>58</v>
      </c>
      <c r="C1074" s="1" t="s">
        <v>1619</v>
      </c>
      <c r="D1074" s="1" t="s">
        <v>1734</v>
      </c>
      <c r="E1074" s="1" t="s">
        <v>19</v>
      </c>
      <c r="F1074" s="1" t="s">
        <v>20</v>
      </c>
      <c r="G1074" s="1" t="s">
        <v>1735</v>
      </c>
      <c r="H1074" s="1" t="s">
        <v>22</v>
      </c>
      <c r="I1074" s="1">
        <v>25</v>
      </c>
      <c r="J1074" s="1">
        <v>37049</v>
      </c>
      <c r="K1074" s="1" t="s">
        <v>23</v>
      </c>
      <c r="L1074" s="1" t="s">
        <v>24</v>
      </c>
      <c r="M1074" s="1" t="s">
        <v>56</v>
      </c>
      <c r="N1074" s="1">
        <v>11800</v>
      </c>
      <c r="O1074" s="12">
        <v>10000</v>
      </c>
      <c r="P1074" s="3" t="s">
        <v>148</v>
      </c>
      <c r="Q1074" s="1" cm="1">
        <f t="array" ref="Q1074">VALUE(INDEX(_xlfn.TEXTSPLIT(P1074, " "), 4))</f>
        <v>2015</v>
      </c>
      <c r="R1074" s="1" t="str">
        <f t="shared" si="16"/>
        <v>Chevrolet Captiva Sport 1LT Fleet</v>
      </c>
      <c r="S1074" s="1" t="str" cm="1">
        <f t="array" ref="S1074">_xlfn.IFS(I1074 &gt;= 40, "High", I1074&gt;=20, "Medium", I1074&lt;20, "Low")</f>
        <v>Medium</v>
      </c>
      <c r="T1074" s="1" t="str" cm="1">
        <f t="array" ref="T1074">_xlfn.IFS(O1074&lt;18200, "Low", O1074&lt;=50000, "Medium", O1074&gt;50000, "High")</f>
        <v>Low</v>
      </c>
    </row>
    <row r="1075" spans="1:20" x14ac:dyDescent="0.25">
      <c r="A1075" s="2">
        <v>2012</v>
      </c>
      <c r="B1075" s="1" t="s">
        <v>29</v>
      </c>
      <c r="C1075" s="1" t="s">
        <v>136</v>
      </c>
      <c r="D1075" s="1" t="s">
        <v>1520</v>
      </c>
      <c r="E1075" s="1" t="s">
        <v>19</v>
      </c>
      <c r="F1075" s="1" t="s">
        <v>20</v>
      </c>
      <c r="G1075" s="1" t="s">
        <v>1736</v>
      </c>
      <c r="H1075" s="1" t="s">
        <v>22</v>
      </c>
      <c r="I1075" s="1">
        <v>43</v>
      </c>
      <c r="J1075" s="1">
        <v>20187</v>
      </c>
      <c r="K1075" s="1" t="s">
        <v>24</v>
      </c>
      <c r="L1075" s="1" t="s">
        <v>24</v>
      </c>
      <c r="M1075" s="1" t="s">
        <v>35</v>
      </c>
      <c r="N1075" s="1">
        <v>40700</v>
      </c>
      <c r="O1075" s="12">
        <v>42000</v>
      </c>
      <c r="P1075" s="3" t="s">
        <v>46</v>
      </c>
      <c r="Q1075" s="1" cm="1">
        <f t="array" ref="Q1075">VALUE(INDEX(_xlfn.TEXTSPLIT(P1075, " "), 4))</f>
        <v>2014</v>
      </c>
      <c r="R1075" s="1" t="str">
        <f t="shared" si="16"/>
        <v>BMW X5 xDrive35i Premium</v>
      </c>
      <c r="S1075" s="1" t="str" cm="1">
        <f t="array" ref="S1075">_xlfn.IFS(I1075 &gt;= 40, "High", I1075&gt;=20, "Medium", I1075&lt;20, "Low")</f>
        <v>High</v>
      </c>
      <c r="T1075" s="1" t="str" cm="1">
        <f t="array" ref="T1075">_xlfn.IFS(O1075&lt;18200, "Low", O1075&lt;=50000, "Medium", O1075&gt;50000, "High")</f>
        <v>Medium</v>
      </c>
    </row>
    <row r="1076" spans="1:20" x14ac:dyDescent="0.25">
      <c r="A1076" s="2">
        <v>2012</v>
      </c>
      <c r="B1076" s="1" t="s">
        <v>85</v>
      </c>
      <c r="C1076" s="1" t="s">
        <v>1600</v>
      </c>
      <c r="D1076" s="1" t="s">
        <v>1547</v>
      </c>
      <c r="E1076" s="1" t="s">
        <v>1737</v>
      </c>
      <c r="F1076" s="1" t="s">
        <v>20</v>
      </c>
      <c r="G1076" s="1" t="s">
        <v>1738</v>
      </c>
      <c r="H1076" s="1" t="s">
        <v>22</v>
      </c>
      <c r="I1076" s="1">
        <v>41</v>
      </c>
      <c r="J1076" s="1">
        <v>46444</v>
      </c>
      <c r="K1076" s="1" t="s">
        <v>73</v>
      </c>
      <c r="L1076" s="1" t="s">
        <v>24</v>
      </c>
      <c r="M1076" s="1" t="s">
        <v>1515</v>
      </c>
      <c r="N1076" s="1">
        <v>26300</v>
      </c>
      <c r="O1076" s="12">
        <v>25600</v>
      </c>
      <c r="P1076" s="3" t="s">
        <v>68</v>
      </c>
      <c r="Q1076" s="1" cm="1">
        <f t="array" ref="Q1076">VALUE(INDEX(_xlfn.TEXTSPLIT(P1076, " "), 4))</f>
        <v>2014</v>
      </c>
      <c r="R1076" s="1" t="str">
        <f t="shared" si="16"/>
        <v>Ford F-150 Lariat</v>
      </c>
      <c r="S1076" s="1" t="str" cm="1">
        <f t="array" ref="S1076">_xlfn.IFS(I1076 &gt;= 40, "High", I1076&gt;=20, "Medium", I1076&lt;20, "Low")</f>
        <v>High</v>
      </c>
      <c r="T1076" s="1" t="str" cm="1">
        <f t="array" ref="T1076">_xlfn.IFS(O1076&lt;18200, "Low", O1076&lt;=50000, "Medium", O1076&gt;50000, "High")</f>
        <v>Medium</v>
      </c>
    </row>
    <row r="1077" spans="1:20" x14ac:dyDescent="0.25">
      <c r="A1077" s="2">
        <v>2012</v>
      </c>
      <c r="B1077" s="1" t="s">
        <v>58</v>
      </c>
      <c r="C1077" s="1" t="s">
        <v>199</v>
      </c>
      <c r="D1077" s="1" t="s">
        <v>70</v>
      </c>
      <c r="E1077" s="1" t="s">
        <v>32</v>
      </c>
      <c r="F1077" s="1" t="s">
        <v>20</v>
      </c>
      <c r="G1077" s="1" t="s">
        <v>1739</v>
      </c>
      <c r="H1077" s="1" t="s">
        <v>22</v>
      </c>
      <c r="I1077" s="1">
        <v>41</v>
      </c>
      <c r="J1077" s="1">
        <v>27370</v>
      </c>
      <c r="K1077" s="1" t="s">
        <v>23</v>
      </c>
      <c r="L1077" s="1" t="s">
        <v>24</v>
      </c>
      <c r="M1077" s="1" t="s">
        <v>742</v>
      </c>
      <c r="N1077" s="1">
        <v>10950</v>
      </c>
      <c r="O1077" s="12">
        <v>12200</v>
      </c>
      <c r="P1077" s="3" t="s">
        <v>57</v>
      </c>
      <c r="Q1077" s="1" cm="1">
        <f t="array" ref="Q1077">VALUE(INDEX(_xlfn.TEXTSPLIT(P1077, " "), 4))</f>
        <v>2014</v>
      </c>
      <c r="R1077" s="1" t="str">
        <f t="shared" si="16"/>
        <v>Chevrolet Malibu LT</v>
      </c>
      <c r="S1077" s="1" t="str" cm="1">
        <f t="array" ref="S1077">_xlfn.IFS(I1077 &gt;= 40, "High", I1077&gt;=20, "Medium", I1077&lt;20, "Low")</f>
        <v>High</v>
      </c>
      <c r="T1077" s="1" t="str" cm="1">
        <f t="array" ref="T1077">_xlfn.IFS(O1077&lt;18200, "Low", O1077&lt;=50000, "Medium", O1077&gt;50000, "High")</f>
        <v>Low</v>
      </c>
    </row>
    <row r="1078" spans="1:20" x14ac:dyDescent="0.25">
      <c r="A1078" s="2">
        <v>2012</v>
      </c>
      <c r="B1078" s="1" t="s">
        <v>85</v>
      </c>
      <c r="C1078" s="1" t="s">
        <v>1513</v>
      </c>
      <c r="D1078" s="1" t="s">
        <v>1569</v>
      </c>
      <c r="E1078" s="1" t="s">
        <v>19</v>
      </c>
      <c r="F1078" s="1" t="s">
        <v>20</v>
      </c>
      <c r="G1078" s="1" t="s">
        <v>1740</v>
      </c>
      <c r="H1078" s="1" t="s">
        <v>22</v>
      </c>
      <c r="I1078" s="1">
        <v>38</v>
      </c>
      <c r="J1078" s="1">
        <v>97572</v>
      </c>
      <c r="K1078" s="1" t="s">
        <v>101</v>
      </c>
      <c r="L1078" s="1" t="s">
        <v>34</v>
      </c>
      <c r="M1078" s="1" t="s">
        <v>742</v>
      </c>
      <c r="N1078" s="1">
        <v>8325</v>
      </c>
      <c r="O1078" s="12">
        <v>9400</v>
      </c>
      <c r="P1078" s="3" t="s">
        <v>57</v>
      </c>
      <c r="Q1078" s="1" cm="1">
        <f t="array" ref="Q1078">VALUE(INDEX(_xlfn.TEXTSPLIT(P1078, " "), 4))</f>
        <v>2014</v>
      </c>
      <c r="R1078" s="1" t="str">
        <f t="shared" si="16"/>
        <v>Ford Escape XLS</v>
      </c>
      <c r="S1078" s="1" t="str" cm="1">
        <f t="array" ref="S1078">_xlfn.IFS(I1078 &gt;= 40, "High", I1078&gt;=20, "Medium", I1078&lt;20, "Low")</f>
        <v>Medium</v>
      </c>
      <c r="T1078" s="1" t="str" cm="1">
        <f t="array" ref="T1078">_xlfn.IFS(O1078&lt;18200, "Low", O1078&lt;=50000, "Medium", O1078&gt;50000, "High")</f>
        <v>Low</v>
      </c>
    </row>
    <row r="1079" spans="1:20" x14ac:dyDescent="0.25">
      <c r="A1079" s="2">
        <v>2012</v>
      </c>
      <c r="B1079" s="1" t="s">
        <v>85</v>
      </c>
      <c r="C1079" s="1" t="s">
        <v>1741</v>
      </c>
      <c r="D1079" s="1" t="s">
        <v>337</v>
      </c>
      <c r="E1079" s="1" t="s">
        <v>19</v>
      </c>
      <c r="F1079" s="1" t="s">
        <v>20</v>
      </c>
      <c r="G1079" s="1" t="s">
        <v>1742</v>
      </c>
      <c r="H1079" s="1" t="s">
        <v>22</v>
      </c>
      <c r="I1079" s="1">
        <v>43</v>
      </c>
      <c r="J1079" s="1">
        <v>68150</v>
      </c>
      <c r="K1079" s="1" t="s">
        <v>23</v>
      </c>
      <c r="L1079" s="1" t="s">
        <v>82</v>
      </c>
      <c r="M1079" s="1" t="s">
        <v>361</v>
      </c>
      <c r="N1079" s="1">
        <v>27500</v>
      </c>
      <c r="O1079" s="12">
        <v>27200</v>
      </c>
      <c r="P1079" s="3" t="s">
        <v>270</v>
      </c>
      <c r="Q1079" s="1" cm="1">
        <f t="array" ref="Q1079">VALUE(INDEX(_xlfn.TEXTSPLIT(P1079, " "), 4))</f>
        <v>2014</v>
      </c>
      <c r="R1079" s="1" t="str">
        <f t="shared" si="16"/>
        <v>Ford Expedition Limited</v>
      </c>
      <c r="S1079" s="1" t="str" cm="1">
        <f t="array" ref="S1079">_xlfn.IFS(I1079 &gt;= 40, "High", I1079&gt;=20, "Medium", I1079&lt;20, "Low")</f>
        <v>High</v>
      </c>
      <c r="T1079" s="1" t="str" cm="1">
        <f t="array" ref="T1079">_xlfn.IFS(O1079&lt;18200, "Low", O1079&lt;=50000, "Medium", O1079&gt;50000, "High")</f>
        <v>Medium</v>
      </c>
    </row>
    <row r="1080" spans="1:20" x14ac:dyDescent="0.25">
      <c r="A1080" s="2">
        <v>2012</v>
      </c>
      <c r="B1080" s="1" t="s">
        <v>85</v>
      </c>
      <c r="C1080" s="1" t="s">
        <v>1604</v>
      </c>
      <c r="D1080" s="1" t="s">
        <v>1601</v>
      </c>
      <c r="E1080" s="1" t="s">
        <v>19</v>
      </c>
      <c r="F1080" s="1" t="s">
        <v>20</v>
      </c>
      <c r="G1080" s="1" t="s">
        <v>1743</v>
      </c>
      <c r="H1080" s="1" t="s">
        <v>22</v>
      </c>
      <c r="I1080" s="1">
        <v>46</v>
      </c>
      <c r="J1080" s="1">
        <v>34434</v>
      </c>
      <c r="K1080" s="1" t="s">
        <v>34</v>
      </c>
      <c r="L1080" s="1" t="s">
        <v>24</v>
      </c>
      <c r="M1080" s="1" t="s">
        <v>1515</v>
      </c>
      <c r="N1080" s="1">
        <v>22000</v>
      </c>
      <c r="O1080" s="12">
        <v>24300</v>
      </c>
      <c r="P1080" s="3" t="s">
        <v>68</v>
      </c>
      <c r="Q1080" s="1" cm="1">
        <f t="array" ref="Q1080">VALUE(INDEX(_xlfn.TEXTSPLIT(P1080, " "), 4))</f>
        <v>2014</v>
      </c>
      <c r="R1080" s="1" t="str">
        <f t="shared" si="16"/>
        <v>Ford Explorer XLT</v>
      </c>
      <c r="S1080" s="1" t="str" cm="1">
        <f t="array" ref="S1080">_xlfn.IFS(I1080 &gt;= 40, "High", I1080&gt;=20, "Medium", I1080&lt;20, "Low")</f>
        <v>High</v>
      </c>
      <c r="T1080" s="1" t="str" cm="1">
        <f t="array" ref="T1080">_xlfn.IFS(O1080&lt;18200, "Low", O1080&lt;=50000, "Medium", O1080&gt;50000, "High")</f>
        <v>Medium</v>
      </c>
    </row>
    <row r="1081" spans="1:20" x14ac:dyDescent="0.25">
      <c r="A1081" s="2">
        <v>2012</v>
      </c>
      <c r="B1081" s="1" t="s">
        <v>58</v>
      </c>
      <c r="C1081" s="1" t="s">
        <v>1668</v>
      </c>
      <c r="D1081" s="1" t="s">
        <v>54</v>
      </c>
      <c r="E1081" s="1" t="s">
        <v>227</v>
      </c>
      <c r="F1081" s="1" t="s">
        <v>20</v>
      </c>
      <c r="G1081" s="1" t="s">
        <v>1744</v>
      </c>
      <c r="H1081" s="1" t="s">
        <v>22</v>
      </c>
      <c r="I1081" s="1">
        <v>35</v>
      </c>
      <c r="J1081" s="1">
        <v>15828</v>
      </c>
      <c r="K1081" s="1" t="s">
        <v>91</v>
      </c>
      <c r="L1081" s="1" t="s">
        <v>24</v>
      </c>
      <c r="M1081" s="1" t="s">
        <v>1089</v>
      </c>
      <c r="N1081" s="1">
        <v>16600</v>
      </c>
      <c r="O1081" s="12">
        <v>17250</v>
      </c>
      <c r="P1081" s="3" t="s">
        <v>84</v>
      </c>
      <c r="Q1081" s="1" cm="1">
        <f t="array" ref="Q1081">VALUE(INDEX(_xlfn.TEXTSPLIT(P1081, " "), 4))</f>
        <v>2014</v>
      </c>
      <c r="R1081" s="1" t="str">
        <f t="shared" si="16"/>
        <v>Chevrolet Volt Base</v>
      </c>
      <c r="S1081" s="1" t="str" cm="1">
        <f t="array" ref="S1081">_xlfn.IFS(I1081 &gt;= 40, "High", I1081&gt;=20, "Medium", I1081&lt;20, "Low")</f>
        <v>Medium</v>
      </c>
      <c r="T1081" s="1" t="str" cm="1">
        <f t="array" ref="T1081">_xlfn.IFS(O1081&lt;18200, "Low", O1081&lt;=50000, "Medium", O1081&gt;50000, "High")</f>
        <v>Low</v>
      </c>
    </row>
    <row r="1082" spans="1:20" x14ac:dyDescent="0.25">
      <c r="A1082" s="2">
        <v>2012</v>
      </c>
      <c r="B1082" s="1" t="s">
        <v>58</v>
      </c>
      <c r="C1082" s="1" t="s">
        <v>199</v>
      </c>
      <c r="D1082" s="1" t="s">
        <v>70</v>
      </c>
      <c r="E1082" s="1" t="s">
        <v>32</v>
      </c>
      <c r="F1082" s="1" t="s">
        <v>20</v>
      </c>
      <c r="G1082" s="1" t="s">
        <v>1745</v>
      </c>
      <c r="H1082" s="1" t="s">
        <v>22</v>
      </c>
      <c r="I1082" s="1">
        <v>19</v>
      </c>
      <c r="J1082" s="1">
        <v>58457</v>
      </c>
      <c r="K1082" s="1" t="s">
        <v>23</v>
      </c>
      <c r="L1082" s="1" t="s">
        <v>34</v>
      </c>
      <c r="M1082" s="1" t="s">
        <v>946</v>
      </c>
      <c r="N1082" s="1">
        <v>9750</v>
      </c>
      <c r="O1082" s="12">
        <v>7200</v>
      </c>
      <c r="P1082" s="3" t="s">
        <v>834</v>
      </c>
      <c r="Q1082" s="1" cm="1">
        <f t="array" ref="Q1082">VALUE(INDEX(_xlfn.TEXTSPLIT(P1082, " "), 4))</f>
        <v>2014</v>
      </c>
      <c r="R1082" s="1" t="str">
        <f t="shared" si="16"/>
        <v>Chevrolet Malibu LT</v>
      </c>
      <c r="S1082" s="1" t="str" cm="1">
        <f t="array" ref="S1082">_xlfn.IFS(I1082 &gt;= 40, "High", I1082&gt;=20, "Medium", I1082&lt;20, "Low")</f>
        <v>Low</v>
      </c>
      <c r="T1082" s="1" t="str" cm="1">
        <f t="array" ref="T1082">_xlfn.IFS(O1082&lt;18200, "Low", O1082&lt;=50000, "Medium", O1082&gt;50000, "High")</f>
        <v>Low</v>
      </c>
    </row>
    <row r="1083" spans="1:20" x14ac:dyDescent="0.25">
      <c r="A1083" s="2">
        <v>2012</v>
      </c>
      <c r="B1083" s="1" t="s">
        <v>58</v>
      </c>
      <c r="C1083" s="1" t="s">
        <v>199</v>
      </c>
      <c r="D1083" s="1" t="s">
        <v>1541</v>
      </c>
      <c r="E1083" s="1" t="s">
        <v>32</v>
      </c>
      <c r="F1083" s="1" t="s">
        <v>20</v>
      </c>
      <c r="G1083" s="1" t="s">
        <v>1746</v>
      </c>
      <c r="H1083" s="1" t="s">
        <v>22</v>
      </c>
      <c r="I1083" s="1">
        <v>43</v>
      </c>
      <c r="J1083" s="1">
        <v>70402</v>
      </c>
      <c r="K1083" s="1" t="s">
        <v>23</v>
      </c>
      <c r="L1083" s="1" t="s">
        <v>34</v>
      </c>
      <c r="M1083" s="1" t="s">
        <v>1747</v>
      </c>
      <c r="N1083" s="1">
        <v>8200</v>
      </c>
      <c r="O1083" s="12">
        <v>9600</v>
      </c>
      <c r="P1083" s="3" t="s">
        <v>68</v>
      </c>
      <c r="Q1083" s="1" cm="1">
        <f t="array" ref="Q1083">VALUE(INDEX(_xlfn.TEXTSPLIT(P1083, " "), 4))</f>
        <v>2014</v>
      </c>
      <c r="R1083" s="1" t="str">
        <f t="shared" si="16"/>
        <v>Chevrolet Malibu LS Fleet</v>
      </c>
      <c r="S1083" s="1" t="str" cm="1">
        <f t="array" ref="S1083">_xlfn.IFS(I1083 &gt;= 40, "High", I1083&gt;=20, "Medium", I1083&lt;20, "Low")</f>
        <v>High</v>
      </c>
      <c r="T1083" s="1" t="str" cm="1">
        <f t="array" ref="T1083">_xlfn.IFS(O1083&lt;18200, "Low", O1083&lt;=50000, "Medium", O1083&gt;50000, "High")</f>
        <v>Low</v>
      </c>
    </row>
    <row r="1084" spans="1:20" x14ac:dyDescent="0.25">
      <c r="A1084" s="2">
        <v>2012</v>
      </c>
      <c r="B1084" s="1" t="s">
        <v>29</v>
      </c>
      <c r="C1084" s="1" t="s">
        <v>136</v>
      </c>
      <c r="D1084" s="1" t="s">
        <v>1534</v>
      </c>
      <c r="E1084" s="1" t="s">
        <v>19</v>
      </c>
      <c r="F1084" s="1" t="s">
        <v>20</v>
      </c>
      <c r="G1084" s="1" t="s">
        <v>1748</v>
      </c>
      <c r="H1084" s="1" t="s">
        <v>22</v>
      </c>
      <c r="I1084" s="1">
        <v>43</v>
      </c>
      <c r="J1084" s="1">
        <v>59718</v>
      </c>
      <c r="K1084" s="1" t="s">
        <v>24</v>
      </c>
      <c r="L1084" s="1" t="s">
        <v>24</v>
      </c>
      <c r="M1084" s="1" t="s">
        <v>35</v>
      </c>
      <c r="N1084" s="1">
        <v>31700</v>
      </c>
      <c r="O1084" s="12">
        <v>33500</v>
      </c>
      <c r="P1084" s="3" t="s">
        <v>46</v>
      </c>
      <c r="Q1084" s="1" cm="1">
        <f t="array" ref="Q1084">VALUE(INDEX(_xlfn.TEXTSPLIT(P1084, " "), 4))</f>
        <v>2014</v>
      </c>
      <c r="R1084" s="1" t="str">
        <f t="shared" si="16"/>
        <v>BMW X5 xDrive35d</v>
      </c>
      <c r="S1084" s="1" t="str" cm="1">
        <f t="array" ref="S1084">_xlfn.IFS(I1084 &gt;= 40, "High", I1084&gt;=20, "Medium", I1084&lt;20, "Low")</f>
        <v>High</v>
      </c>
      <c r="T1084" s="1" t="str" cm="1">
        <f t="array" ref="T1084">_xlfn.IFS(O1084&lt;18200, "Low", O1084&lt;=50000, "Medium", O1084&gt;50000, "High")</f>
        <v>Medium</v>
      </c>
    </row>
    <row r="1085" spans="1:20" x14ac:dyDescent="0.25">
      <c r="A1085" s="2">
        <v>2012</v>
      </c>
      <c r="B1085" s="1" t="s">
        <v>85</v>
      </c>
      <c r="C1085" s="1" t="s">
        <v>1517</v>
      </c>
      <c r="D1085" s="1" t="s">
        <v>368</v>
      </c>
      <c r="E1085" s="1" t="s">
        <v>19</v>
      </c>
      <c r="F1085" s="1" t="s">
        <v>20</v>
      </c>
      <c r="G1085" s="1" t="s">
        <v>1749</v>
      </c>
      <c r="H1085" s="1" t="s">
        <v>22</v>
      </c>
      <c r="I1085" s="1">
        <v>44</v>
      </c>
      <c r="J1085" s="1">
        <v>60399</v>
      </c>
      <c r="K1085" s="1" t="s">
        <v>91</v>
      </c>
      <c r="L1085" s="1" t="s">
        <v>24</v>
      </c>
      <c r="M1085" s="1" t="s">
        <v>1515</v>
      </c>
      <c r="N1085" s="1">
        <v>21700</v>
      </c>
      <c r="O1085" s="12">
        <v>23700</v>
      </c>
      <c r="P1085" s="3" t="s">
        <v>68</v>
      </c>
      <c r="Q1085" s="1" cm="1">
        <f t="array" ref="Q1085">VALUE(INDEX(_xlfn.TEXTSPLIT(P1085, " "), 4))</f>
        <v>2014</v>
      </c>
      <c r="R1085" s="1" t="str">
        <f t="shared" si="16"/>
        <v>Ford Edge Sport</v>
      </c>
      <c r="S1085" s="1" t="str" cm="1">
        <f t="array" ref="S1085">_xlfn.IFS(I1085 &gt;= 40, "High", I1085&gt;=20, "Medium", I1085&lt;20, "Low")</f>
        <v>High</v>
      </c>
      <c r="T1085" s="1" t="str" cm="1">
        <f t="array" ref="T1085">_xlfn.IFS(O1085&lt;18200, "Low", O1085&lt;=50000, "Medium", O1085&gt;50000, "High")</f>
        <v>Medium</v>
      </c>
    </row>
    <row r="1086" spans="1:20" x14ac:dyDescent="0.25">
      <c r="A1086" s="2">
        <v>2012</v>
      </c>
      <c r="B1086" s="1" t="s">
        <v>85</v>
      </c>
      <c r="C1086" s="1" t="s">
        <v>1525</v>
      </c>
      <c r="D1086" s="1" t="s">
        <v>1526</v>
      </c>
      <c r="E1086" s="1" t="s">
        <v>32</v>
      </c>
      <c r="F1086" s="1" t="s">
        <v>20</v>
      </c>
      <c r="G1086" s="1" t="s">
        <v>1750</v>
      </c>
      <c r="H1086" s="1" t="s">
        <v>22</v>
      </c>
      <c r="I1086" s="1">
        <v>32</v>
      </c>
      <c r="J1086" s="1">
        <v>47861</v>
      </c>
      <c r="K1086" s="1" t="s">
        <v>23</v>
      </c>
      <c r="L1086" s="1" t="s">
        <v>24</v>
      </c>
      <c r="M1086" s="1" t="s">
        <v>943</v>
      </c>
      <c r="N1086" s="1">
        <v>11200</v>
      </c>
      <c r="O1086" s="12">
        <v>6100</v>
      </c>
      <c r="P1086" s="3" t="s">
        <v>1433</v>
      </c>
      <c r="Q1086" s="1" cm="1">
        <f t="array" ref="Q1086">VALUE(INDEX(_xlfn.TEXTSPLIT(P1086, " "), 4))</f>
        <v>2015</v>
      </c>
      <c r="R1086" s="1" t="str">
        <f t="shared" si="16"/>
        <v>Ford Focus Titanium</v>
      </c>
      <c r="S1086" s="1" t="str" cm="1">
        <f t="array" ref="S1086">_xlfn.IFS(I1086 &gt;= 40, "High", I1086&gt;=20, "Medium", I1086&lt;20, "Low")</f>
        <v>Medium</v>
      </c>
      <c r="T1086" s="1" t="str" cm="1">
        <f t="array" ref="T1086">_xlfn.IFS(O1086&lt;18200, "Low", O1086&lt;=50000, "Medium", O1086&gt;50000, "High")</f>
        <v>Low</v>
      </c>
    </row>
    <row r="1087" spans="1:20" x14ac:dyDescent="0.25">
      <c r="A1087" s="2">
        <v>2012</v>
      </c>
      <c r="B1087" s="1" t="s">
        <v>1562</v>
      </c>
      <c r="C1087" s="1">
        <v>200</v>
      </c>
      <c r="D1087" s="1" t="s">
        <v>18</v>
      </c>
      <c r="E1087" s="1" t="s">
        <v>32</v>
      </c>
      <c r="F1087" s="1"/>
      <c r="G1087" s="1" t="s">
        <v>1751</v>
      </c>
      <c r="H1087" s="1" t="s">
        <v>22</v>
      </c>
      <c r="I1087" s="1">
        <v>37</v>
      </c>
      <c r="J1087" s="1">
        <v>63985</v>
      </c>
      <c r="K1087" s="1" t="s">
        <v>34</v>
      </c>
      <c r="L1087" s="1" t="s">
        <v>24</v>
      </c>
      <c r="M1087" s="1" t="s">
        <v>431</v>
      </c>
      <c r="N1087" s="1">
        <v>8325</v>
      </c>
      <c r="O1087" s="12">
        <v>8600</v>
      </c>
      <c r="P1087" s="3" t="s">
        <v>270</v>
      </c>
      <c r="Q1087" s="1" cm="1">
        <f t="array" ref="Q1087">VALUE(INDEX(_xlfn.TEXTSPLIT(P1087, " "), 4))</f>
        <v>2014</v>
      </c>
      <c r="R1087" s="1" t="str">
        <f t="shared" si="16"/>
        <v>Chrysler 200 LX</v>
      </c>
      <c r="S1087" s="1" t="str" cm="1">
        <f t="array" ref="S1087">_xlfn.IFS(I1087 &gt;= 40, "High", I1087&gt;=20, "Medium", I1087&lt;20, "Low")</f>
        <v>Medium</v>
      </c>
      <c r="T1087" s="1" t="str" cm="1">
        <f t="array" ref="T1087">_xlfn.IFS(O1087&lt;18200, "Low", O1087&lt;=50000, "Medium", O1087&gt;50000, "High")</f>
        <v>Low</v>
      </c>
    </row>
    <row r="1088" spans="1:20" x14ac:dyDescent="0.25">
      <c r="A1088" s="2">
        <v>2012</v>
      </c>
      <c r="B1088" s="1" t="s">
        <v>85</v>
      </c>
      <c r="C1088" s="1" t="s">
        <v>1517</v>
      </c>
      <c r="D1088" s="1" t="s">
        <v>1518</v>
      </c>
      <c r="E1088" s="1" t="s">
        <v>19</v>
      </c>
      <c r="F1088" s="1" t="s">
        <v>20</v>
      </c>
      <c r="G1088" s="1" t="s">
        <v>1752</v>
      </c>
      <c r="H1088" s="1" t="s">
        <v>22</v>
      </c>
      <c r="I1088" s="1">
        <v>46</v>
      </c>
      <c r="J1088" s="1">
        <v>28635</v>
      </c>
      <c r="K1088" s="1" t="s">
        <v>23</v>
      </c>
      <c r="L1088" s="1" t="s">
        <v>28</v>
      </c>
      <c r="M1088" s="1" t="s">
        <v>1515</v>
      </c>
      <c r="N1088" s="1">
        <v>19850</v>
      </c>
      <c r="O1088" s="12">
        <v>20100</v>
      </c>
      <c r="P1088" s="3" t="s">
        <v>68</v>
      </c>
      <c r="Q1088" s="1" cm="1">
        <f t="array" ref="Q1088">VALUE(INDEX(_xlfn.TEXTSPLIT(P1088, " "), 4))</f>
        <v>2014</v>
      </c>
      <c r="R1088" s="1" t="str">
        <f t="shared" si="16"/>
        <v>Ford Edge SEL</v>
      </c>
      <c r="S1088" s="1" t="str" cm="1">
        <f t="array" ref="S1088">_xlfn.IFS(I1088 &gt;= 40, "High", I1088&gt;=20, "Medium", I1088&lt;20, "Low")</f>
        <v>High</v>
      </c>
      <c r="T1088" s="1" t="str" cm="1">
        <f t="array" ref="T1088">_xlfn.IFS(O1088&lt;18200, "Low", O1088&lt;=50000, "Medium", O1088&gt;50000, "High")</f>
        <v>Medium</v>
      </c>
    </row>
    <row r="1089" spans="1:20" x14ac:dyDescent="0.25">
      <c r="A1089" s="2">
        <v>2012</v>
      </c>
      <c r="B1089" s="1" t="s">
        <v>85</v>
      </c>
      <c r="C1089" s="1" t="s">
        <v>1525</v>
      </c>
      <c r="D1089" s="1" t="s">
        <v>936</v>
      </c>
      <c r="E1089" s="1" t="s">
        <v>32</v>
      </c>
      <c r="F1089" s="1" t="s">
        <v>214</v>
      </c>
      <c r="G1089" s="1" t="s">
        <v>1753</v>
      </c>
      <c r="H1089" s="1" t="s">
        <v>22</v>
      </c>
      <c r="I1089" s="1">
        <v>37</v>
      </c>
      <c r="J1089" s="1">
        <v>23903</v>
      </c>
      <c r="K1089" s="1" t="s">
        <v>94</v>
      </c>
      <c r="L1089" s="1" t="s">
        <v>24</v>
      </c>
      <c r="M1089" s="1" t="s">
        <v>1581</v>
      </c>
      <c r="N1089" s="1">
        <v>8475</v>
      </c>
      <c r="O1089" s="12">
        <v>8200</v>
      </c>
      <c r="P1089" s="3" t="s">
        <v>68</v>
      </c>
      <c r="Q1089" s="1" cm="1">
        <f t="array" ref="Q1089">VALUE(INDEX(_xlfn.TEXTSPLIT(P1089, " "), 4))</f>
        <v>2014</v>
      </c>
      <c r="R1089" s="1" t="str">
        <f t="shared" si="16"/>
        <v>Ford Focus S</v>
      </c>
      <c r="S1089" s="1" t="str" cm="1">
        <f t="array" ref="S1089">_xlfn.IFS(I1089 &gt;= 40, "High", I1089&gt;=20, "Medium", I1089&lt;20, "Low")</f>
        <v>Medium</v>
      </c>
      <c r="T1089" s="1" t="str" cm="1">
        <f t="array" ref="T1089">_xlfn.IFS(O1089&lt;18200, "Low", O1089&lt;=50000, "Medium", O1089&gt;50000, "High")</f>
        <v>Low</v>
      </c>
    </row>
    <row r="1090" spans="1:20" x14ac:dyDescent="0.25">
      <c r="A1090" s="2">
        <v>2012</v>
      </c>
      <c r="B1090" s="1" t="s">
        <v>58</v>
      </c>
      <c r="C1090" s="1" t="s">
        <v>1754</v>
      </c>
      <c r="D1090" s="1" t="s">
        <v>266</v>
      </c>
      <c r="E1090" s="1" t="s">
        <v>1648</v>
      </c>
      <c r="F1090" s="1" t="s">
        <v>20</v>
      </c>
      <c r="G1090" s="1" t="s">
        <v>1755</v>
      </c>
      <c r="H1090" s="1" t="s">
        <v>22</v>
      </c>
      <c r="I1090" s="1">
        <v>3</v>
      </c>
      <c r="J1090" s="1">
        <v>110071</v>
      </c>
      <c r="K1090" s="1" t="s">
        <v>23</v>
      </c>
      <c r="L1090" s="1" t="s">
        <v>34</v>
      </c>
      <c r="M1090" s="1" t="s">
        <v>1756</v>
      </c>
      <c r="N1090" s="1">
        <v>8925</v>
      </c>
      <c r="O1090" s="12">
        <v>8800</v>
      </c>
      <c r="P1090" s="3" t="s">
        <v>57</v>
      </c>
      <c r="Q1090" s="1" cm="1">
        <f t="array" ref="Q1090">VALUE(INDEX(_xlfn.TEXTSPLIT(P1090, " "), 4))</f>
        <v>2014</v>
      </c>
      <c r="R1090" s="1" t="str">
        <f t="shared" si="16"/>
        <v>Chevrolet Colorado Work Truck</v>
      </c>
      <c r="S1090" s="1" t="str" cm="1">
        <f t="array" ref="S1090">_xlfn.IFS(I1090 &gt;= 40, "High", I1090&gt;=20, "Medium", I1090&lt;20, "Low")</f>
        <v>Low</v>
      </c>
      <c r="T1090" s="1" t="str" cm="1">
        <f t="array" ref="T1090">_xlfn.IFS(O1090&lt;18200, "Low", O1090&lt;=50000, "Medium", O1090&gt;50000, "High")</f>
        <v>Low</v>
      </c>
    </row>
    <row r="1091" spans="1:20" x14ac:dyDescent="0.25">
      <c r="A1091" s="2">
        <v>2012</v>
      </c>
      <c r="B1091" s="1" t="s">
        <v>58</v>
      </c>
      <c r="C1091" s="1" t="s">
        <v>1757</v>
      </c>
      <c r="D1091" s="1" t="s">
        <v>1758</v>
      </c>
      <c r="E1091" s="1" t="s">
        <v>949</v>
      </c>
      <c r="F1091" s="1" t="s">
        <v>20</v>
      </c>
      <c r="G1091" s="1" t="s">
        <v>1759</v>
      </c>
      <c r="H1091" s="1" t="s">
        <v>22</v>
      </c>
      <c r="I1091" s="1">
        <v>29</v>
      </c>
      <c r="J1091" s="1">
        <v>45664</v>
      </c>
      <c r="K1091" s="1" t="s">
        <v>23</v>
      </c>
      <c r="L1091" s="1" t="s">
        <v>34</v>
      </c>
      <c r="M1091" s="1" t="s">
        <v>1760</v>
      </c>
      <c r="N1091" s="1">
        <v>17750</v>
      </c>
      <c r="O1091" s="12">
        <v>19500</v>
      </c>
      <c r="P1091" s="3" t="s">
        <v>68</v>
      </c>
      <c r="Q1091" s="1" cm="1">
        <f t="array" ref="Q1091">VALUE(INDEX(_xlfn.TEXTSPLIT(P1091, " "), 4))</f>
        <v>2014</v>
      </c>
      <c r="R1091" s="1" t="str">
        <f t="shared" ref="R1091:R1154" si="17">_xlfn.TEXTJOIN(" ", TRUE, B1091, C1091, D1091)</f>
        <v>Chevrolet Express LS 3500</v>
      </c>
      <c r="S1091" s="1" t="str" cm="1">
        <f t="array" ref="S1091">_xlfn.IFS(I1091 &gt;= 40, "High", I1091&gt;=20, "Medium", I1091&lt;20, "Low")</f>
        <v>Medium</v>
      </c>
      <c r="T1091" s="1" t="str" cm="1">
        <f t="array" ref="T1091">_xlfn.IFS(O1091&lt;18200, "Low", O1091&lt;=50000, "Medium", O1091&gt;50000, "High")</f>
        <v>Medium</v>
      </c>
    </row>
    <row r="1092" spans="1:20" x14ac:dyDescent="0.25">
      <c r="A1092" s="2">
        <v>2012</v>
      </c>
      <c r="B1092" s="1" t="s">
        <v>85</v>
      </c>
      <c r="C1092" s="1" t="s">
        <v>1525</v>
      </c>
      <c r="D1092" s="1" t="s">
        <v>87</v>
      </c>
      <c r="E1092" s="1" t="s">
        <v>32</v>
      </c>
      <c r="F1092" s="1" t="s">
        <v>20</v>
      </c>
      <c r="G1092" s="1" t="s">
        <v>1761</v>
      </c>
      <c r="H1092" s="1" t="s">
        <v>22</v>
      </c>
      <c r="I1092" s="1">
        <v>38</v>
      </c>
      <c r="J1092" s="1">
        <v>58045</v>
      </c>
      <c r="K1092" s="1" t="s">
        <v>91</v>
      </c>
      <c r="L1092" s="1" t="s">
        <v>24</v>
      </c>
      <c r="M1092" s="1" t="s">
        <v>946</v>
      </c>
      <c r="N1092" s="1">
        <v>8550</v>
      </c>
      <c r="O1092" s="12">
        <v>9300</v>
      </c>
      <c r="P1092" s="3" t="s">
        <v>68</v>
      </c>
      <c r="Q1092" s="1" cm="1">
        <f t="array" ref="Q1092">VALUE(INDEX(_xlfn.TEXTSPLIT(P1092, " "), 4))</f>
        <v>2014</v>
      </c>
      <c r="R1092" s="1" t="str">
        <f t="shared" si="17"/>
        <v>Ford Focus SE</v>
      </c>
      <c r="S1092" s="1" t="str" cm="1">
        <f t="array" ref="S1092">_xlfn.IFS(I1092 &gt;= 40, "High", I1092&gt;=20, "Medium", I1092&lt;20, "Low")</f>
        <v>Medium</v>
      </c>
      <c r="T1092" s="1" t="str" cm="1">
        <f t="array" ref="T1092">_xlfn.IFS(O1092&lt;18200, "Low", O1092&lt;=50000, "Medium", O1092&gt;50000, "High")</f>
        <v>Low</v>
      </c>
    </row>
    <row r="1093" spans="1:20" x14ac:dyDescent="0.25">
      <c r="A1093" s="2">
        <v>2012</v>
      </c>
      <c r="B1093" s="1" t="s">
        <v>58</v>
      </c>
      <c r="C1093" s="1" t="s">
        <v>59</v>
      </c>
      <c r="D1093" s="1" t="s">
        <v>60</v>
      </c>
      <c r="E1093" s="1" t="s">
        <v>32</v>
      </c>
      <c r="F1093" s="1" t="s">
        <v>20</v>
      </c>
      <c r="G1093" s="1" t="s">
        <v>1762</v>
      </c>
      <c r="H1093" s="1" t="s">
        <v>22</v>
      </c>
      <c r="I1093" s="1">
        <v>2</v>
      </c>
      <c r="J1093" s="1">
        <v>61869</v>
      </c>
      <c r="K1093" s="1" t="s">
        <v>91</v>
      </c>
      <c r="L1093" s="1" t="s">
        <v>34</v>
      </c>
      <c r="M1093" s="1" t="s">
        <v>1617</v>
      </c>
      <c r="N1093" s="1">
        <v>8750</v>
      </c>
      <c r="O1093" s="12">
        <v>8100</v>
      </c>
      <c r="P1093" s="3" t="s">
        <v>173</v>
      </c>
      <c r="Q1093" s="1" cm="1">
        <f t="array" ref="Q1093">VALUE(INDEX(_xlfn.TEXTSPLIT(P1093, " "), 4))</f>
        <v>2015</v>
      </c>
      <c r="R1093" s="1" t="str">
        <f t="shared" si="17"/>
        <v>Chevrolet Cruze 1LT</v>
      </c>
      <c r="S1093" s="1" t="str" cm="1">
        <f t="array" ref="S1093">_xlfn.IFS(I1093 &gt;= 40, "High", I1093&gt;=20, "Medium", I1093&lt;20, "Low")</f>
        <v>Low</v>
      </c>
      <c r="T1093" s="1" t="str" cm="1">
        <f t="array" ref="T1093">_xlfn.IFS(O1093&lt;18200, "Low", O1093&lt;=50000, "Medium", O1093&gt;50000, "High")</f>
        <v>Low</v>
      </c>
    </row>
    <row r="1094" spans="1:20" x14ac:dyDescent="0.25">
      <c r="A1094" s="2">
        <v>2012</v>
      </c>
      <c r="B1094" s="1" t="s">
        <v>29</v>
      </c>
      <c r="C1094" s="1" t="s">
        <v>136</v>
      </c>
      <c r="D1094" s="1" t="s">
        <v>1520</v>
      </c>
      <c r="E1094" s="1" t="s">
        <v>19</v>
      </c>
      <c r="F1094" s="1" t="s">
        <v>20</v>
      </c>
      <c r="G1094" s="1" t="s">
        <v>1763</v>
      </c>
      <c r="H1094" s="1" t="s">
        <v>22</v>
      </c>
      <c r="I1094" s="1">
        <v>33</v>
      </c>
      <c r="J1094" s="1">
        <v>24406</v>
      </c>
      <c r="K1094" s="1" t="s">
        <v>24</v>
      </c>
      <c r="L1094" s="1" t="s">
        <v>28</v>
      </c>
      <c r="M1094" s="1" t="s">
        <v>35</v>
      </c>
      <c r="N1094" s="1">
        <v>39700</v>
      </c>
      <c r="O1094" s="12">
        <v>39000</v>
      </c>
      <c r="P1094" s="3" t="s">
        <v>46</v>
      </c>
      <c r="Q1094" s="1" cm="1">
        <f t="array" ref="Q1094">VALUE(INDEX(_xlfn.TEXTSPLIT(P1094, " "), 4))</f>
        <v>2014</v>
      </c>
      <c r="R1094" s="1" t="str">
        <f t="shared" si="17"/>
        <v>BMW X5 xDrive35i Premium</v>
      </c>
      <c r="S1094" s="1" t="str" cm="1">
        <f t="array" ref="S1094">_xlfn.IFS(I1094 &gt;= 40, "High", I1094&gt;=20, "Medium", I1094&lt;20, "Low")</f>
        <v>Medium</v>
      </c>
      <c r="T1094" s="1" t="str" cm="1">
        <f t="array" ref="T1094">_xlfn.IFS(O1094&lt;18200, "Low", O1094&lt;=50000, "Medium", O1094&gt;50000, "High")</f>
        <v>Medium</v>
      </c>
    </row>
    <row r="1095" spans="1:20" x14ac:dyDescent="0.25">
      <c r="A1095" s="2">
        <v>2012</v>
      </c>
      <c r="B1095" s="1" t="s">
        <v>58</v>
      </c>
      <c r="C1095" s="1" t="s">
        <v>1594</v>
      </c>
      <c r="D1095" s="1" t="s">
        <v>106</v>
      </c>
      <c r="E1095" s="1" t="s">
        <v>19</v>
      </c>
      <c r="F1095" s="1" t="s">
        <v>20</v>
      </c>
      <c r="G1095" s="1" t="s">
        <v>1764</v>
      </c>
      <c r="H1095" s="1" t="s">
        <v>22</v>
      </c>
      <c r="I1095" s="1">
        <v>39</v>
      </c>
      <c r="J1095" s="1">
        <v>34294</v>
      </c>
      <c r="K1095" s="1" t="s">
        <v>23</v>
      </c>
      <c r="L1095" s="1" t="s">
        <v>24</v>
      </c>
      <c r="M1095" s="1" t="s">
        <v>1089</v>
      </c>
      <c r="N1095" s="1">
        <v>13750</v>
      </c>
      <c r="O1095" s="12">
        <v>14750</v>
      </c>
      <c r="P1095" s="3" t="s">
        <v>84</v>
      </c>
      <c r="Q1095" s="1" cm="1">
        <f t="array" ref="Q1095">VALUE(INDEX(_xlfn.TEXTSPLIT(P1095, " "), 4))</f>
        <v>2014</v>
      </c>
      <c r="R1095" s="1" t="str">
        <f t="shared" si="17"/>
        <v>Chevrolet Equinox LS</v>
      </c>
      <c r="S1095" s="1" t="str" cm="1">
        <f t="array" ref="S1095">_xlfn.IFS(I1095 &gt;= 40, "High", I1095&gt;=20, "Medium", I1095&lt;20, "Low")</f>
        <v>Medium</v>
      </c>
      <c r="T1095" s="1" t="str" cm="1">
        <f t="array" ref="T1095">_xlfn.IFS(O1095&lt;18200, "Low", O1095&lt;=50000, "Medium", O1095&gt;50000, "High")</f>
        <v>Low</v>
      </c>
    </row>
    <row r="1096" spans="1:20" x14ac:dyDescent="0.25">
      <c r="A1096" s="2">
        <v>2012</v>
      </c>
      <c r="B1096" s="1" t="s">
        <v>58</v>
      </c>
      <c r="C1096" s="1" t="s">
        <v>113</v>
      </c>
      <c r="D1096" s="1" t="s">
        <v>1536</v>
      </c>
      <c r="E1096" s="1" t="s">
        <v>32</v>
      </c>
      <c r="F1096" s="1" t="s">
        <v>20</v>
      </c>
      <c r="G1096" s="1" t="s">
        <v>1765</v>
      </c>
      <c r="H1096" s="1" t="s">
        <v>22</v>
      </c>
      <c r="I1096" s="1">
        <v>3</v>
      </c>
      <c r="J1096" s="1">
        <v>59156</v>
      </c>
      <c r="K1096" s="1" t="s">
        <v>24</v>
      </c>
      <c r="L1096" s="1" t="s">
        <v>34</v>
      </c>
      <c r="M1096" s="1" t="s">
        <v>1617</v>
      </c>
      <c r="N1096" s="1">
        <v>9175</v>
      </c>
      <c r="O1096" s="12">
        <v>7900</v>
      </c>
      <c r="P1096" s="3" t="s">
        <v>173</v>
      </c>
      <c r="Q1096" s="1" cm="1">
        <f t="array" ref="Q1096">VALUE(INDEX(_xlfn.TEXTSPLIT(P1096, " "), 4))</f>
        <v>2015</v>
      </c>
      <c r="R1096" s="1" t="str">
        <f t="shared" si="17"/>
        <v>Chevrolet Impala LT Fleet</v>
      </c>
      <c r="S1096" s="1" t="str" cm="1">
        <f t="array" ref="S1096">_xlfn.IFS(I1096 &gt;= 40, "High", I1096&gt;=20, "Medium", I1096&lt;20, "Low")</f>
        <v>Low</v>
      </c>
      <c r="T1096" s="1" t="str" cm="1">
        <f t="array" ref="T1096">_xlfn.IFS(O1096&lt;18200, "Low", O1096&lt;=50000, "Medium", O1096&gt;50000, "High")</f>
        <v>Low</v>
      </c>
    </row>
    <row r="1097" spans="1:20" x14ac:dyDescent="0.25">
      <c r="A1097" s="2">
        <v>2012</v>
      </c>
      <c r="B1097" s="1" t="s">
        <v>85</v>
      </c>
      <c r="C1097" s="1" t="s">
        <v>1600</v>
      </c>
      <c r="D1097" s="1" t="s">
        <v>1766</v>
      </c>
      <c r="E1097" s="1" t="s">
        <v>1767</v>
      </c>
      <c r="F1097" s="1"/>
      <c r="G1097" s="1" t="s">
        <v>1768</v>
      </c>
      <c r="H1097" s="1" t="s">
        <v>22</v>
      </c>
      <c r="I1097" s="1">
        <v>35</v>
      </c>
      <c r="J1097" s="1">
        <v>51851</v>
      </c>
      <c r="K1097" s="1" t="s">
        <v>23</v>
      </c>
      <c r="L1097" s="1" t="s">
        <v>34</v>
      </c>
      <c r="M1097" s="1" t="s">
        <v>361</v>
      </c>
      <c r="N1097" s="1">
        <v>11950</v>
      </c>
      <c r="O1097" s="12">
        <v>12800</v>
      </c>
      <c r="P1097" s="3" t="s">
        <v>270</v>
      </c>
      <c r="Q1097" s="1" cm="1">
        <f t="array" ref="Q1097">VALUE(INDEX(_xlfn.TEXTSPLIT(P1097, " "), 4))</f>
        <v>2014</v>
      </c>
      <c r="R1097" s="1" t="str">
        <f t="shared" si="17"/>
        <v>Ford F-150 XL</v>
      </c>
      <c r="S1097" s="1" t="str" cm="1">
        <f t="array" ref="S1097">_xlfn.IFS(I1097 &gt;= 40, "High", I1097&gt;=20, "Medium", I1097&lt;20, "Low")</f>
        <v>Medium</v>
      </c>
      <c r="T1097" s="1" t="str" cm="1">
        <f t="array" ref="T1097">_xlfn.IFS(O1097&lt;18200, "Low", O1097&lt;=50000, "Medium", O1097&gt;50000, "High")</f>
        <v>Low</v>
      </c>
    </row>
    <row r="1098" spans="1:20" x14ac:dyDescent="0.25">
      <c r="A1098" s="2">
        <v>2012</v>
      </c>
      <c r="B1098" s="1" t="s">
        <v>58</v>
      </c>
      <c r="C1098" s="1" t="s">
        <v>59</v>
      </c>
      <c r="D1098" s="1" t="s">
        <v>60</v>
      </c>
      <c r="E1098" s="1" t="s">
        <v>32</v>
      </c>
      <c r="F1098" s="1" t="s">
        <v>20</v>
      </c>
      <c r="G1098" s="1" t="s">
        <v>1769</v>
      </c>
      <c r="H1098" s="1" t="s">
        <v>22</v>
      </c>
      <c r="I1098" s="1">
        <v>3</v>
      </c>
      <c r="J1098" s="1">
        <v>57128</v>
      </c>
      <c r="K1098" s="1" t="s">
        <v>23</v>
      </c>
      <c r="L1098" s="1" t="s">
        <v>34</v>
      </c>
      <c r="M1098" s="1" t="s">
        <v>1617</v>
      </c>
      <c r="N1098" s="1">
        <v>8750</v>
      </c>
      <c r="O1098" s="12">
        <v>10100</v>
      </c>
      <c r="P1098" s="3" t="s">
        <v>26</v>
      </c>
      <c r="Q1098" s="1" cm="1">
        <f t="array" ref="Q1098">VALUE(INDEX(_xlfn.TEXTSPLIT(P1098, " "), 4))</f>
        <v>2014</v>
      </c>
      <c r="R1098" s="1" t="str">
        <f t="shared" si="17"/>
        <v>Chevrolet Cruze 1LT</v>
      </c>
      <c r="S1098" s="1" t="str" cm="1">
        <f t="array" ref="S1098">_xlfn.IFS(I1098 &gt;= 40, "High", I1098&gt;=20, "Medium", I1098&lt;20, "Low")</f>
        <v>Low</v>
      </c>
      <c r="T1098" s="1" t="str" cm="1">
        <f t="array" ref="T1098">_xlfn.IFS(O1098&lt;18200, "Low", O1098&lt;=50000, "Medium", O1098&gt;50000, "High")</f>
        <v>Low</v>
      </c>
    </row>
    <row r="1099" spans="1:20" x14ac:dyDescent="0.25">
      <c r="A1099" s="2">
        <v>2012</v>
      </c>
      <c r="B1099" s="1" t="s">
        <v>85</v>
      </c>
      <c r="C1099" s="1" t="s">
        <v>1604</v>
      </c>
      <c r="D1099" s="1" t="s">
        <v>337</v>
      </c>
      <c r="E1099" s="1" t="s">
        <v>19</v>
      </c>
      <c r="F1099" s="1" t="s">
        <v>20</v>
      </c>
      <c r="G1099" s="1" t="s">
        <v>1770</v>
      </c>
      <c r="H1099" s="1" t="s">
        <v>22</v>
      </c>
      <c r="I1099" s="1">
        <v>29</v>
      </c>
      <c r="J1099" s="1">
        <v>48130</v>
      </c>
      <c r="K1099" s="1" t="s">
        <v>24</v>
      </c>
      <c r="L1099" s="1" t="s">
        <v>24</v>
      </c>
      <c r="M1099" s="1" t="s">
        <v>1606</v>
      </c>
      <c r="N1099" s="1">
        <v>25800</v>
      </c>
      <c r="O1099" s="12">
        <v>25500</v>
      </c>
      <c r="P1099" s="3" t="s">
        <v>26</v>
      </c>
      <c r="Q1099" s="1" cm="1">
        <f t="array" ref="Q1099">VALUE(INDEX(_xlfn.TEXTSPLIT(P1099, " "), 4))</f>
        <v>2014</v>
      </c>
      <c r="R1099" s="1" t="str">
        <f t="shared" si="17"/>
        <v>Ford Explorer Limited</v>
      </c>
      <c r="S1099" s="1" t="str" cm="1">
        <f t="array" ref="S1099">_xlfn.IFS(I1099 &gt;= 40, "High", I1099&gt;=20, "Medium", I1099&lt;20, "Low")</f>
        <v>Medium</v>
      </c>
      <c r="T1099" s="1" t="str" cm="1">
        <f t="array" ref="T1099">_xlfn.IFS(O1099&lt;18200, "Low", O1099&lt;=50000, "Medium", O1099&gt;50000, "High")</f>
        <v>Medium</v>
      </c>
    </row>
    <row r="1100" spans="1:20" x14ac:dyDescent="0.25">
      <c r="A1100" s="2">
        <v>2012</v>
      </c>
      <c r="B1100" s="1" t="s">
        <v>85</v>
      </c>
      <c r="C1100" s="1" t="s">
        <v>1517</v>
      </c>
      <c r="D1100" s="1" t="s">
        <v>1518</v>
      </c>
      <c r="E1100" s="1" t="s">
        <v>19</v>
      </c>
      <c r="F1100" s="1" t="s">
        <v>20</v>
      </c>
      <c r="G1100" s="1" t="s">
        <v>1771</v>
      </c>
      <c r="H1100" s="1" t="s">
        <v>22</v>
      </c>
      <c r="I1100" s="1">
        <v>49</v>
      </c>
      <c r="J1100" s="1">
        <v>15339</v>
      </c>
      <c r="K1100" s="1" t="s">
        <v>94</v>
      </c>
      <c r="L1100" s="1" t="s">
        <v>82</v>
      </c>
      <c r="M1100" s="1" t="s">
        <v>1515</v>
      </c>
      <c r="N1100" s="1">
        <v>21200</v>
      </c>
      <c r="O1100" s="12">
        <v>21100</v>
      </c>
      <c r="P1100" s="3" t="s">
        <v>68</v>
      </c>
      <c r="Q1100" s="1" cm="1">
        <f t="array" ref="Q1100">VALUE(INDEX(_xlfn.TEXTSPLIT(P1100, " "), 4))</f>
        <v>2014</v>
      </c>
      <c r="R1100" s="1" t="str">
        <f t="shared" si="17"/>
        <v>Ford Edge SEL</v>
      </c>
      <c r="S1100" s="1" t="str" cm="1">
        <f t="array" ref="S1100">_xlfn.IFS(I1100 &gt;= 40, "High", I1100&gt;=20, "Medium", I1100&lt;20, "Low")</f>
        <v>High</v>
      </c>
      <c r="T1100" s="1" t="str" cm="1">
        <f t="array" ref="T1100">_xlfn.IFS(O1100&lt;18200, "Low", O1100&lt;=50000, "Medium", O1100&gt;50000, "High")</f>
        <v>Medium</v>
      </c>
    </row>
    <row r="1101" spans="1:20" x14ac:dyDescent="0.25">
      <c r="A1101" s="2">
        <v>2012</v>
      </c>
      <c r="B1101" s="1" t="s">
        <v>1507</v>
      </c>
      <c r="C1101" s="1" t="s">
        <v>1628</v>
      </c>
      <c r="D1101" s="1" t="s">
        <v>1772</v>
      </c>
      <c r="E1101" s="1" t="s">
        <v>738</v>
      </c>
      <c r="F1101" s="1"/>
      <c r="G1101" s="1" t="s">
        <v>1773</v>
      </c>
      <c r="H1101" s="1" t="s">
        <v>22</v>
      </c>
      <c r="I1101" s="1">
        <v>32</v>
      </c>
      <c r="J1101" s="1">
        <v>59802</v>
      </c>
      <c r="K1101" s="1" t="s">
        <v>91</v>
      </c>
      <c r="L1101" s="1" t="s">
        <v>34</v>
      </c>
      <c r="M1101" s="1" t="s">
        <v>635</v>
      </c>
      <c r="N1101" s="1">
        <v>11650</v>
      </c>
      <c r="O1101" s="12">
        <v>11900</v>
      </c>
      <c r="P1101" s="3" t="s">
        <v>68</v>
      </c>
      <c r="Q1101" s="1" cm="1">
        <f t="array" ref="Q1101">VALUE(INDEX(_xlfn.TEXTSPLIT(P1101, " "), 4))</f>
        <v>2014</v>
      </c>
      <c r="R1101" s="1" t="str">
        <f t="shared" si="17"/>
        <v>Dodge Grand Caravan Crew</v>
      </c>
      <c r="S1101" s="1" t="str" cm="1">
        <f t="array" ref="S1101">_xlfn.IFS(I1101 &gt;= 40, "High", I1101&gt;=20, "Medium", I1101&lt;20, "Low")</f>
        <v>Medium</v>
      </c>
      <c r="T1101" s="1" t="str" cm="1">
        <f t="array" ref="T1101">_xlfn.IFS(O1101&lt;18200, "Low", O1101&lt;=50000, "Medium", O1101&gt;50000, "High")</f>
        <v>Low</v>
      </c>
    </row>
    <row r="1102" spans="1:20" x14ac:dyDescent="0.25">
      <c r="A1102" s="2">
        <v>2012</v>
      </c>
      <c r="B1102" s="1" t="s">
        <v>85</v>
      </c>
      <c r="C1102" s="1" t="s">
        <v>86</v>
      </c>
      <c r="D1102" s="1" t="s">
        <v>1518</v>
      </c>
      <c r="E1102" s="1" t="s">
        <v>32</v>
      </c>
      <c r="F1102" s="1" t="s">
        <v>20</v>
      </c>
      <c r="G1102" s="1" t="s">
        <v>1774</v>
      </c>
      <c r="H1102" s="1" t="s">
        <v>22</v>
      </c>
      <c r="I1102" s="1">
        <v>38</v>
      </c>
      <c r="J1102" s="1">
        <v>38531</v>
      </c>
      <c r="K1102" s="1" t="s">
        <v>23</v>
      </c>
      <c r="L1102" s="1" t="s">
        <v>24</v>
      </c>
      <c r="M1102" s="1" t="s">
        <v>1089</v>
      </c>
      <c r="N1102" s="1">
        <v>13400</v>
      </c>
      <c r="O1102" s="12">
        <v>14750</v>
      </c>
      <c r="P1102" s="3" t="s">
        <v>84</v>
      </c>
      <c r="Q1102" s="1" cm="1">
        <f t="array" ref="Q1102">VALUE(INDEX(_xlfn.TEXTSPLIT(P1102, " "), 4))</f>
        <v>2014</v>
      </c>
      <c r="R1102" s="1" t="str">
        <f t="shared" si="17"/>
        <v>Ford Fusion SEL</v>
      </c>
      <c r="S1102" s="1" t="str" cm="1">
        <f t="array" ref="S1102">_xlfn.IFS(I1102 &gt;= 40, "High", I1102&gt;=20, "Medium", I1102&lt;20, "Low")</f>
        <v>Medium</v>
      </c>
      <c r="T1102" s="1" t="str" cm="1">
        <f t="array" ref="T1102">_xlfn.IFS(O1102&lt;18200, "Low", O1102&lt;=50000, "Medium", O1102&gt;50000, "High")</f>
        <v>Low</v>
      </c>
    </row>
    <row r="1103" spans="1:20" x14ac:dyDescent="0.25">
      <c r="A1103" s="2">
        <v>2012</v>
      </c>
      <c r="B1103" s="1" t="s">
        <v>29</v>
      </c>
      <c r="C1103" s="1" t="s">
        <v>136</v>
      </c>
      <c r="D1103" s="1" t="s">
        <v>1583</v>
      </c>
      <c r="E1103" s="1" t="s">
        <v>19</v>
      </c>
      <c r="F1103" s="1" t="s">
        <v>20</v>
      </c>
      <c r="G1103" s="1" t="s">
        <v>1775</v>
      </c>
      <c r="H1103" s="1" t="s">
        <v>22</v>
      </c>
      <c r="I1103" s="1">
        <v>36</v>
      </c>
      <c r="J1103" s="1">
        <v>66901</v>
      </c>
      <c r="K1103" s="1" t="s">
        <v>23</v>
      </c>
      <c r="L1103" s="1" t="s">
        <v>28</v>
      </c>
      <c r="M1103" s="1" t="s">
        <v>35</v>
      </c>
      <c r="N1103" s="1">
        <v>30200</v>
      </c>
      <c r="O1103" s="12">
        <v>30700</v>
      </c>
      <c r="P1103" s="3" t="s">
        <v>46</v>
      </c>
      <c r="Q1103" s="1" cm="1">
        <f t="array" ref="Q1103">VALUE(INDEX(_xlfn.TEXTSPLIT(P1103, " "), 4))</f>
        <v>2014</v>
      </c>
      <c r="R1103" s="1" t="str">
        <f t="shared" si="17"/>
        <v>BMW X5 xDrive50i</v>
      </c>
      <c r="S1103" s="1" t="str" cm="1">
        <f t="array" ref="S1103">_xlfn.IFS(I1103 &gt;= 40, "High", I1103&gt;=20, "Medium", I1103&lt;20, "Low")</f>
        <v>Medium</v>
      </c>
      <c r="T1103" s="1" t="str" cm="1">
        <f t="array" ref="T1103">_xlfn.IFS(O1103&lt;18200, "Low", O1103&lt;=50000, "Medium", O1103&gt;50000, "High")</f>
        <v>Medium</v>
      </c>
    </row>
    <row r="1104" spans="1:20" x14ac:dyDescent="0.25">
      <c r="A1104" s="2">
        <v>2012</v>
      </c>
      <c r="B1104" s="1" t="s">
        <v>1776</v>
      </c>
      <c r="C1104" s="1" t="s">
        <v>1777</v>
      </c>
      <c r="D1104" s="1" t="s">
        <v>54</v>
      </c>
      <c r="E1104" s="1" t="s">
        <v>71</v>
      </c>
      <c r="F1104" s="1" t="s">
        <v>20</v>
      </c>
      <c r="G1104" s="1" t="s">
        <v>1778</v>
      </c>
      <c r="H1104" s="1" t="s">
        <v>22</v>
      </c>
      <c r="I1104" s="1">
        <v>42</v>
      </c>
      <c r="J1104" s="1">
        <v>10902</v>
      </c>
      <c r="K1104" s="1" t="s">
        <v>34</v>
      </c>
      <c r="L1104" s="1" t="s">
        <v>132</v>
      </c>
      <c r="M1104" s="1" t="s">
        <v>1779</v>
      </c>
      <c r="N1104" s="1">
        <v>149000</v>
      </c>
      <c r="O1104" s="12">
        <v>154000</v>
      </c>
      <c r="P1104" s="3" t="s">
        <v>143</v>
      </c>
      <c r="Q1104" s="1" cm="1">
        <f t="array" ref="Q1104">VALUE(INDEX(_xlfn.TEXTSPLIT(P1104, " "), 4))</f>
        <v>2014</v>
      </c>
      <c r="R1104" s="1" t="str">
        <f t="shared" si="17"/>
        <v>Ferrari California Base</v>
      </c>
      <c r="S1104" s="1" t="str" cm="1">
        <f t="array" ref="S1104">_xlfn.IFS(I1104 &gt;= 40, "High", I1104&gt;=20, "Medium", I1104&lt;20, "Low")</f>
        <v>High</v>
      </c>
      <c r="T1104" s="1" t="str" cm="1">
        <f t="array" ref="T1104">_xlfn.IFS(O1104&lt;18200, "Low", O1104&lt;=50000, "Medium", O1104&gt;50000, "High")</f>
        <v>High</v>
      </c>
    </row>
    <row r="1105" spans="1:20" x14ac:dyDescent="0.25">
      <c r="A1105" s="2">
        <v>2012</v>
      </c>
      <c r="B1105" s="1" t="s">
        <v>85</v>
      </c>
      <c r="C1105" s="1" t="s">
        <v>1525</v>
      </c>
      <c r="D1105" s="1" t="s">
        <v>87</v>
      </c>
      <c r="E1105" s="1" t="s">
        <v>227</v>
      </c>
      <c r="F1105" s="1" t="s">
        <v>20</v>
      </c>
      <c r="G1105" s="1" t="s">
        <v>1780</v>
      </c>
      <c r="H1105" s="1" t="s">
        <v>22</v>
      </c>
      <c r="I1105" s="1">
        <v>45</v>
      </c>
      <c r="J1105" s="1">
        <v>23529</v>
      </c>
      <c r="K1105" s="1" t="s">
        <v>73</v>
      </c>
      <c r="L1105" s="1" t="s">
        <v>24</v>
      </c>
      <c r="M1105" s="1" t="s">
        <v>1581</v>
      </c>
      <c r="N1105" s="1">
        <v>10500</v>
      </c>
      <c r="O1105" s="12">
        <v>11200</v>
      </c>
      <c r="P1105" s="3" t="s">
        <v>68</v>
      </c>
      <c r="Q1105" s="1" cm="1">
        <f t="array" ref="Q1105">VALUE(INDEX(_xlfn.TEXTSPLIT(P1105, " "), 4))</f>
        <v>2014</v>
      </c>
      <c r="R1105" s="1" t="str">
        <f t="shared" si="17"/>
        <v>Ford Focus SE</v>
      </c>
      <c r="S1105" s="1" t="str" cm="1">
        <f t="array" ref="S1105">_xlfn.IFS(I1105 &gt;= 40, "High", I1105&gt;=20, "Medium", I1105&lt;20, "Low")</f>
        <v>High</v>
      </c>
      <c r="T1105" s="1" t="str" cm="1">
        <f t="array" ref="T1105">_xlfn.IFS(O1105&lt;18200, "Low", O1105&lt;=50000, "Medium", O1105&gt;50000, "High")</f>
        <v>Low</v>
      </c>
    </row>
    <row r="1106" spans="1:20" x14ac:dyDescent="0.25">
      <c r="A1106" s="2">
        <v>2012</v>
      </c>
      <c r="B1106" s="1" t="s">
        <v>58</v>
      </c>
      <c r="C1106" s="1" t="s">
        <v>59</v>
      </c>
      <c r="D1106" s="1" t="s">
        <v>60</v>
      </c>
      <c r="E1106" s="1" t="s">
        <v>32</v>
      </c>
      <c r="F1106" s="1" t="s">
        <v>20</v>
      </c>
      <c r="G1106" s="1" t="s">
        <v>1781</v>
      </c>
      <c r="H1106" s="1" t="s">
        <v>22</v>
      </c>
      <c r="I1106" s="1">
        <v>3</v>
      </c>
      <c r="J1106" s="1">
        <v>53040</v>
      </c>
      <c r="K1106" s="1" t="s">
        <v>94</v>
      </c>
      <c r="L1106" s="1" t="s">
        <v>24</v>
      </c>
      <c r="M1106" s="1" t="s">
        <v>1617</v>
      </c>
      <c r="N1106" s="1">
        <v>9000</v>
      </c>
      <c r="O1106" s="12">
        <v>10200</v>
      </c>
      <c r="P1106" s="3" t="s">
        <v>26</v>
      </c>
      <c r="Q1106" s="1" cm="1">
        <f t="array" ref="Q1106">VALUE(INDEX(_xlfn.TEXTSPLIT(P1106, " "), 4))</f>
        <v>2014</v>
      </c>
      <c r="R1106" s="1" t="str">
        <f t="shared" si="17"/>
        <v>Chevrolet Cruze 1LT</v>
      </c>
      <c r="S1106" s="1" t="str" cm="1">
        <f t="array" ref="S1106">_xlfn.IFS(I1106 &gt;= 40, "High", I1106&gt;=20, "Medium", I1106&lt;20, "Low")</f>
        <v>Low</v>
      </c>
      <c r="T1106" s="1" t="str" cm="1">
        <f t="array" ref="T1106">_xlfn.IFS(O1106&lt;18200, "Low", O1106&lt;=50000, "Medium", O1106&gt;50000, "High")</f>
        <v>Low</v>
      </c>
    </row>
    <row r="1107" spans="1:20" x14ac:dyDescent="0.25">
      <c r="A1107" s="2">
        <v>2012</v>
      </c>
      <c r="B1107" s="1" t="s">
        <v>85</v>
      </c>
      <c r="C1107" s="1" t="s">
        <v>1517</v>
      </c>
      <c r="D1107" s="1" t="s">
        <v>1518</v>
      </c>
      <c r="E1107" s="1" t="s">
        <v>19</v>
      </c>
      <c r="F1107" s="1" t="s">
        <v>20</v>
      </c>
      <c r="G1107" s="1" t="s">
        <v>1782</v>
      </c>
      <c r="H1107" s="1" t="s">
        <v>22</v>
      </c>
      <c r="I1107" s="1">
        <v>43</v>
      </c>
      <c r="J1107" s="1">
        <v>65548</v>
      </c>
      <c r="K1107" s="1" t="s">
        <v>24</v>
      </c>
      <c r="L1107" s="1" t="s">
        <v>28</v>
      </c>
      <c r="M1107" s="1" t="s">
        <v>1515</v>
      </c>
      <c r="N1107" s="1">
        <v>16350</v>
      </c>
      <c r="O1107" s="12">
        <v>16600</v>
      </c>
      <c r="P1107" s="3" t="s">
        <v>1609</v>
      </c>
      <c r="Q1107" s="1" cm="1">
        <f t="array" ref="Q1107">VALUE(INDEX(_xlfn.TEXTSPLIT(P1107, " "), 4))</f>
        <v>2015</v>
      </c>
      <c r="R1107" s="1" t="str">
        <f t="shared" si="17"/>
        <v>Ford Edge SEL</v>
      </c>
      <c r="S1107" s="1" t="str" cm="1">
        <f t="array" ref="S1107">_xlfn.IFS(I1107 &gt;= 40, "High", I1107&gt;=20, "Medium", I1107&lt;20, "Low")</f>
        <v>High</v>
      </c>
      <c r="T1107" s="1" t="str" cm="1">
        <f t="array" ref="T1107">_xlfn.IFS(O1107&lt;18200, "Low", O1107&lt;=50000, "Medium", O1107&gt;50000, "High")</f>
        <v>Low</v>
      </c>
    </row>
    <row r="1108" spans="1:20" x14ac:dyDescent="0.25">
      <c r="A1108" s="2">
        <v>2012</v>
      </c>
      <c r="B1108" s="1" t="s">
        <v>58</v>
      </c>
      <c r="C1108" s="1" t="s">
        <v>199</v>
      </c>
      <c r="D1108" s="1" t="s">
        <v>70</v>
      </c>
      <c r="E1108" s="1" t="s">
        <v>32</v>
      </c>
      <c r="F1108" s="1" t="s">
        <v>20</v>
      </c>
      <c r="G1108" s="1" t="s">
        <v>1783</v>
      </c>
      <c r="H1108" s="1" t="s">
        <v>22</v>
      </c>
      <c r="I1108" s="1">
        <v>3</v>
      </c>
      <c r="J1108" s="1">
        <v>53009</v>
      </c>
      <c r="K1108" s="1" t="s">
        <v>23</v>
      </c>
      <c r="L1108" s="1" t="s">
        <v>24</v>
      </c>
      <c r="M1108" s="1" t="s">
        <v>1617</v>
      </c>
      <c r="N1108" s="1">
        <v>9575</v>
      </c>
      <c r="O1108" s="12">
        <v>10800</v>
      </c>
      <c r="P1108" s="3" t="s">
        <v>26</v>
      </c>
      <c r="Q1108" s="1" cm="1">
        <f t="array" ref="Q1108">VALUE(INDEX(_xlfn.TEXTSPLIT(P1108, " "), 4))</f>
        <v>2014</v>
      </c>
      <c r="R1108" s="1" t="str">
        <f t="shared" si="17"/>
        <v>Chevrolet Malibu LT</v>
      </c>
      <c r="S1108" s="1" t="str" cm="1">
        <f t="array" ref="S1108">_xlfn.IFS(I1108 &gt;= 40, "High", I1108&gt;=20, "Medium", I1108&lt;20, "Low")</f>
        <v>Low</v>
      </c>
      <c r="T1108" s="1" t="str" cm="1">
        <f t="array" ref="T1108">_xlfn.IFS(O1108&lt;18200, "Low", O1108&lt;=50000, "Medium", O1108&gt;50000, "High")</f>
        <v>Low</v>
      </c>
    </row>
    <row r="1109" spans="1:20" x14ac:dyDescent="0.25">
      <c r="A1109" s="2">
        <v>2012</v>
      </c>
      <c r="B1109" s="1" t="s">
        <v>85</v>
      </c>
      <c r="C1109" s="1" t="s">
        <v>1513</v>
      </c>
      <c r="D1109" s="1" t="s">
        <v>1601</v>
      </c>
      <c r="E1109" s="1" t="s">
        <v>19</v>
      </c>
      <c r="F1109" s="1" t="s">
        <v>20</v>
      </c>
      <c r="G1109" s="1" t="s">
        <v>1784</v>
      </c>
      <c r="H1109" s="1" t="s">
        <v>22</v>
      </c>
      <c r="I1109" s="1">
        <v>26</v>
      </c>
      <c r="J1109" s="1">
        <v>70977</v>
      </c>
      <c r="K1109" s="1" t="s">
        <v>91</v>
      </c>
      <c r="L1109" s="1" t="s">
        <v>24</v>
      </c>
      <c r="M1109" s="1" t="s">
        <v>56</v>
      </c>
      <c r="N1109" s="1">
        <v>12050</v>
      </c>
      <c r="O1109" s="12">
        <v>11200</v>
      </c>
      <c r="P1109" s="3" t="s">
        <v>270</v>
      </c>
      <c r="Q1109" s="1" cm="1">
        <f t="array" ref="Q1109">VALUE(INDEX(_xlfn.TEXTSPLIT(P1109, " "), 4))</f>
        <v>2014</v>
      </c>
      <c r="R1109" s="1" t="str">
        <f t="shared" si="17"/>
        <v>Ford Escape XLT</v>
      </c>
      <c r="S1109" s="1" t="str" cm="1">
        <f t="array" ref="S1109">_xlfn.IFS(I1109 &gt;= 40, "High", I1109&gt;=20, "Medium", I1109&lt;20, "Low")</f>
        <v>Medium</v>
      </c>
      <c r="T1109" s="1" t="str" cm="1">
        <f t="array" ref="T1109">_xlfn.IFS(O1109&lt;18200, "Low", O1109&lt;=50000, "Medium", O1109&gt;50000, "High")</f>
        <v>Low</v>
      </c>
    </row>
    <row r="1110" spans="1:20" x14ac:dyDescent="0.25">
      <c r="A1110" s="2">
        <v>2012</v>
      </c>
      <c r="B1110" s="1" t="s">
        <v>166</v>
      </c>
      <c r="C1110" s="1" t="s">
        <v>1785</v>
      </c>
      <c r="D1110" s="1" t="s">
        <v>1786</v>
      </c>
      <c r="E1110" s="1" t="s">
        <v>19</v>
      </c>
      <c r="F1110" s="1" t="s">
        <v>20</v>
      </c>
      <c r="G1110" s="1" t="s">
        <v>1787</v>
      </c>
      <c r="H1110" s="1" t="s">
        <v>22</v>
      </c>
      <c r="I1110" s="1">
        <v>31</v>
      </c>
      <c r="J1110" s="1">
        <v>42547</v>
      </c>
      <c r="K1110" s="1" t="s">
        <v>23</v>
      </c>
      <c r="L1110" s="1" t="s">
        <v>132</v>
      </c>
      <c r="M1110" s="1" t="s">
        <v>849</v>
      </c>
      <c r="N1110" s="1">
        <v>46200</v>
      </c>
      <c r="O1110" s="12">
        <v>45750</v>
      </c>
      <c r="P1110" s="3" t="s">
        <v>46</v>
      </c>
      <c r="Q1110" s="1" cm="1">
        <f t="array" ref="Q1110">VALUE(INDEX(_xlfn.TEXTSPLIT(P1110, " "), 4))</f>
        <v>2014</v>
      </c>
      <c r="R1110" s="1" t="str">
        <f t="shared" si="17"/>
        <v>Cadillac Escalade ESV Platinum Edition</v>
      </c>
      <c r="S1110" s="1" t="str" cm="1">
        <f t="array" ref="S1110">_xlfn.IFS(I1110 &gt;= 40, "High", I1110&gt;=20, "Medium", I1110&lt;20, "Low")</f>
        <v>Medium</v>
      </c>
      <c r="T1110" s="1" t="str" cm="1">
        <f t="array" ref="T1110">_xlfn.IFS(O1110&lt;18200, "Low", O1110&lt;=50000, "Medium", O1110&gt;50000, "High")</f>
        <v>Medium</v>
      </c>
    </row>
    <row r="1111" spans="1:20" x14ac:dyDescent="0.25">
      <c r="A1111" s="2">
        <v>2012</v>
      </c>
      <c r="B1111" s="1" t="s">
        <v>29</v>
      </c>
      <c r="C1111" s="1" t="s">
        <v>136</v>
      </c>
      <c r="D1111" s="1" t="s">
        <v>1520</v>
      </c>
      <c r="E1111" s="1" t="s">
        <v>19</v>
      </c>
      <c r="F1111" s="1" t="s">
        <v>20</v>
      </c>
      <c r="G1111" s="1" t="s">
        <v>1788</v>
      </c>
      <c r="H1111" s="1" t="s">
        <v>22</v>
      </c>
      <c r="I1111" s="1">
        <v>48</v>
      </c>
      <c r="J1111" s="1">
        <v>31330</v>
      </c>
      <c r="K1111" s="1" t="s">
        <v>34</v>
      </c>
      <c r="L1111" s="1" t="s">
        <v>24</v>
      </c>
      <c r="M1111" s="1" t="s">
        <v>35</v>
      </c>
      <c r="N1111" s="1">
        <v>38000</v>
      </c>
      <c r="O1111" s="12">
        <v>39500</v>
      </c>
      <c r="P1111" s="3" t="s">
        <v>46</v>
      </c>
      <c r="Q1111" s="1" cm="1">
        <f t="array" ref="Q1111">VALUE(INDEX(_xlfn.TEXTSPLIT(P1111, " "), 4))</f>
        <v>2014</v>
      </c>
      <c r="R1111" s="1" t="str">
        <f t="shared" si="17"/>
        <v>BMW X5 xDrive35i Premium</v>
      </c>
      <c r="S1111" s="1" t="str" cm="1">
        <f t="array" ref="S1111">_xlfn.IFS(I1111 &gt;= 40, "High", I1111&gt;=20, "Medium", I1111&lt;20, "Low")</f>
        <v>High</v>
      </c>
      <c r="T1111" s="1" t="str" cm="1">
        <f t="array" ref="T1111">_xlfn.IFS(O1111&lt;18200, "Low", O1111&lt;=50000, "Medium", O1111&gt;50000, "High")</f>
        <v>Medium</v>
      </c>
    </row>
    <row r="1112" spans="1:20" x14ac:dyDescent="0.25">
      <c r="A1112" s="2">
        <v>2012</v>
      </c>
      <c r="B1112" s="1" t="s">
        <v>29</v>
      </c>
      <c r="C1112" s="1" t="s">
        <v>136</v>
      </c>
      <c r="D1112" s="1" t="s">
        <v>1534</v>
      </c>
      <c r="E1112" s="1" t="s">
        <v>19</v>
      </c>
      <c r="F1112" s="1" t="s">
        <v>20</v>
      </c>
      <c r="G1112" s="1" t="s">
        <v>1789</v>
      </c>
      <c r="H1112" s="1" t="s">
        <v>22</v>
      </c>
      <c r="I1112" s="1">
        <v>38</v>
      </c>
      <c r="J1112" s="1">
        <v>21278</v>
      </c>
      <c r="K1112" s="1" t="s">
        <v>23</v>
      </c>
      <c r="L1112" s="1" t="s">
        <v>34</v>
      </c>
      <c r="M1112" s="1" t="s">
        <v>35</v>
      </c>
      <c r="N1112" s="1">
        <v>39300</v>
      </c>
      <c r="O1112" s="12">
        <v>41000</v>
      </c>
      <c r="P1112" s="3" t="s">
        <v>46</v>
      </c>
      <c r="Q1112" s="1" cm="1">
        <f t="array" ref="Q1112">VALUE(INDEX(_xlfn.TEXTSPLIT(P1112, " "), 4))</f>
        <v>2014</v>
      </c>
      <c r="R1112" s="1" t="str">
        <f t="shared" si="17"/>
        <v>BMW X5 xDrive35d</v>
      </c>
      <c r="S1112" s="1" t="str" cm="1">
        <f t="array" ref="S1112">_xlfn.IFS(I1112 &gt;= 40, "High", I1112&gt;=20, "Medium", I1112&lt;20, "Low")</f>
        <v>Medium</v>
      </c>
      <c r="T1112" s="1" t="str" cm="1">
        <f t="array" ref="T1112">_xlfn.IFS(O1112&lt;18200, "Low", O1112&lt;=50000, "Medium", O1112&gt;50000, "High")</f>
        <v>Medium</v>
      </c>
    </row>
    <row r="1113" spans="1:20" x14ac:dyDescent="0.25">
      <c r="A1113" s="2">
        <v>2012</v>
      </c>
      <c r="B1113" s="1" t="s">
        <v>85</v>
      </c>
      <c r="C1113" s="1" t="s">
        <v>1551</v>
      </c>
      <c r="D1113" s="1" t="s">
        <v>87</v>
      </c>
      <c r="E1113" s="1" t="s">
        <v>32</v>
      </c>
      <c r="F1113" s="1" t="s">
        <v>20</v>
      </c>
      <c r="G1113" s="1" t="s">
        <v>1790</v>
      </c>
      <c r="H1113" s="1" t="s">
        <v>22</v>
      </c>
      <c r="I1113" s="1">
        <v>5</v>
      </c>
      <c r="J1113" s="1">
        <v>2308</v>
      </c>
      <c r="K1113" s="1" t="s">
        <v>34</v>
      </c>
      <c r="L1113" s="1" t="s">
        <v>24</v>
      </c>
      <c r="M1113" s="1" t="s">
        <v>1581</v>
      </c>
      <c r="N1113" s="1">
        <v>10100</v>
      </c>
      <c r="O1113" s="12">
        <v>10500</v>
      </c>
      <c r="P1113" s="3" t="s">
        <v>68</v>
      </c>
      <c r="Q1113" s="1" cm="1">
        <f t="array" ref="Q1113">VALUE(INDEX(_xlfn.TEXTSPLIT(P1113, " "), 4))</f>
        <v>2014</v>
      </c>
      <c r="R1113" s="1" t="str">
        <f t="shared" si="17"/>
        <v>Ford Fiesta SE</v>
      </c>
      <c r="S1113" s="1" t="str" cm="1">
        <f t="array" ref="S1113">_xlfn.IFS(I1113 &gt;= 40, "High", I1113&gt;=20, "Medium", I1113&lt;20, "Low")</f>
        <v>Low</v>
      </c>
      <c r="T1113" s="1" t="str" cm="1">
        <f t="array" ref="T1113">_xlfn.IFS(O1113&lt;18200, "Low", O1113&lt;=50000, "Medium", O1113&gt;50000, "High")</f>
        <v>Low</v>
      </c>
    </row>
    <row r="1114" spans="1:20" x14ac:dyDescent="0.25">
      <c r="A1114" s="2">
        <v>2012</v>
      </c>
      <c r="B1114" s="1" t="s">
        <v>58</v>
      </c>
      <c r="C1114" s="1" t="s">
        <v>199</v>
      </c>
      <c r="D1114" s="1" t="s">
        <v>70</v>
      </c>
      <c r="E1114" s="1" t="s">
        <v>32</v>
      </c>
      <c r="F1114" s="1" t="s">
        <v>20</v>
      </c>
      <c r="G1114" s="1" t="s">
        <v>1791</v>
      </c>
      <c r="H1114" s="1" t="s">
        <v>22</v>
      </c>
      <c r="I1114" s="1">
        <v>3</v>
      </c>
      <c r="J1114" s="1">
        <v>60405</v>
      </c>
      <c r="K1114" s="1" t="s">
        <v>91</v>
      </c>
      <c r="L1114" s="1" t="s">
        <v>24</v>
      </c>
      <c r="M1114" s="1" t="s">
        <v>1617</v>
      </c>
      <c r="N1114" s="1">
        <v>9475</v>
      </c>
      <c r="O1114" s="12">
        <v>8500</v>
      </c>
      <c r="P1114" s="3" t="s">
        <v>26</v>
      </c>
      <c r="Q1114" s="1" cm="1">
        <f t="array" ref="Q1114">VALUE(INDEX(_xlfn.TEXTSPLIT(P1114, " "), 4))</f>
        <v>2014</v>
      </c>
      <c r="R1114" s="1" t="str">
        <f t="shared" si="17"/>
        <v>Chevrolet Malibu LT</v>
      </c>
      <c r="S1114" s="1" t="str" cm="1">
        <f t="array" ref="S1114">_xlfn.IFS(I1114 &gt;= 40, "High", I1114&gt;=20, "Medium", I1114&lt;20, "Low")</f>
        <v>Low</v>
      </c>
      <c r="T1114" s="1" t="str" cm="1">
        <f t="array" ref="T1114">_xlfn.IFS(O1114&lt;18200, "Low", O1114&lt;=50000, "Medium", O1114&gt;50000, "High")</f>
        <v>Low</v>
      </c>
    </row>
    <row r="1115" spans="1:20" x14ac:dyDescent="0.25">
      <c r="A1115" s="2">
        <v>2012</v>
      </c>
      <c r="B1115" s="1" t="s">
        <v>166</v>
      </c>
      <c r="C1115" s="1" t="s">
        <v>1625</v>
      </c>
      <c r="D1115" s="1" t="s">
        <v>195</v>
      </c>
      <c r="E1115" s="1" t="s">
        <v>19</v>
      </c>
      <c r="F1115" s="1" t="s">
        <v>20</v>
      </c>
      <c r="G1115" s="1" t="s">
        <v>1792</v>
      </c>
      <c r="H1115" s="1" t="s">
        <v>22</v>
      </c>
      <c r="I1115" s="1">
        <v>3</v>
      </c>
      <c r="J1115" s="1">
        <v>54683</v>
      </c>
      <c r="K1115" s="1" t="s">
        <v>24</v>
      </c>
      <c r="L1115" s="1" t="s">
        <v>28</v>
      </c>
      <c r="M1115" s="1" t="s">
        <v>292</v>
      </c>
      <c r="N1115" s="1">
        <v>35000</v>
      </c>
      <c r="O1115" s="12">
        <v>35750</v>
      </c>
      <c r="P1115" s="3" t="s">
        <v>26</v>
      </c>
      <c r="Q1115" s="1" cm="1">
        <f t="array" ref="Q1115">VALUE(INDEX(_xlfn.TEXTSPLIT(P1115, " "), 4))</f>
        <v>2014</v>
      </c>
      <c r="R1115" s="1" t="str">
        <f t="shared" si="17"/>
        <v>Cadillac Escalade Luxury</v>
      </c>
      <c r="S1115" s="1" t="str" cm="1">
        <f t="array" ref="S1115">_xlfn.IFS(I1115 &gt;= 40, "High", I1115&gt;=20, "Medium", I1115&lt;20, "Low")</f>
        <v>Low</v>
      </c>
      <c r="T1115" s="1" t="str" cm="1">
        <f t="array" ref="T1115">_xlfn.IFS(O1115&lt;18200, "Low", O1115&lt;=50000, "Medium", O1115&gt;50000, "High")</f>
        <v>Medium</v>
      </c>
    </row>
    <row r="1116" spans="1:20" x14ac:dyDescent="0.25">
      <c r="A1116" s="2">
        <v>2012</v>
      </c>
      <c r="B1116" s="1" t="s">
        <v>85</v>
      </c>
      <c r="C1116" s="1" t="s">
        <v>1517</v>
      </c>
      <c r="D1116" s="1" t="s">
        <v>337</v>
      </c>
      <c r="E1116" s="1" t="s">
        <v>19</v>
      </c>
      <c r="F1116" s="1" t="s">
        <v>20</v>
      </c>
      <c r="G1116" s="1" t="s">
        <v>1793</v>
      </c>
      <c r="H1116" s="1" t="s">
        <v>22</v>
      </c>
      <c r="I1116" s="1">
        <v>36</v>
      </c>
      <c r="J1116" s="1">
        <v>47548</v>
      </c>
      <c r="K1116" s="1" t="s">
        <v>24</v>
      </c>
      <c r="L1116" s="1" t="s">
        <v>24</v>
      </c>
      <c r="M1116" s="1" t="s">
        <v>1515</v>
      </c>
      <c r="N1116" s="1">
        <v>19050</v>
      </c>
      <c r="O1116" s="12">
        <v>19100</v>
      </c>
      <c r="P1116" s="3" t="s">
        <v>68</v>
      </c>
      <c r="Q1116" s="1" cm="1">
        <f t="array" ref="Q1116">VALUE(INDEX(_xlfn.TEXTSPLIT(P1116, " "), 4))</f>
        <v>2014</v>
      </c>
      <c r="R1116" s="1" t="str">
        <f t="shared" si="17"/>
        <v>Ford Edge Limited</v>
      </c>
      <c r="S1116" s="1" t="str" cm="1">
        <f t="array" ref="S1116">_xlfn.IFS(I1116 &gt;= 40, "High", I1116&gt;=20, "Medium", I1116&lt;20, "Low")</f>
        <v>Medium</v>
      </c>
      <c r="T1116" s="1" t="str" cm="1">
        <f t="array" ref="T1116">_xlfn.IFS(O1116&lt;18200, "Low", O1116&lt;=50000, "Medium", O1116&gt;50000, "High")</f>
        <v>Medium</v>
      </c>
    </row>
    <row r="1117" spans="1:20" x14ac:dyDescent="0.25">
      <c r="A1117" s="2">
        <v>2012</v>
      </c>
      <c r="B1117" s="1" t="s">
        <v>166</v>
      </c>
      <c r="C1117" s="1" t="s">
        <v>1625</v>
      </c>
      <c r="D1117" s="1" t="s">
        <v>195</v>
      </c>
      <c r="E1117" s="1" t="s">
        <v>19</v>
      </c>
      <c r="F1117" s="1" t="s">
        <v>20</v>
      </c>
      <c r="G1117" s="1" t="s">
        <v>1794</v>
      </c>
      <c r="H1117" s="1" t="s">
        <v>22</v>
      </c>
      <c r="I1117" s="1">
        <v>41</v>
      </c>
      <c r="J1117" s="1">
        <v>35958</v>
      </c>
      <c r="K1117" s="1" t="s">
        <v>24</v>
      </c>
      <c r="L1117" s="1" t="s">
        <v>24</v>
      </c>
      <c r="M1117" s="1" t="s">
        <v>1550</v>
      </c>
      <c r="N1117" s="1">
        <v>36600</v>
      </c>
      <c r="O1117" s="12">
        <v>39750</v>
      </c>
      <c r="P1117" s="3" t="s">
        <v>46</v>
      </c>
      <c r="Q1117" s="1" cm="1">
        <f t="array" ref="Q1117">VALUE(INDEX(_xlfn.TEXTSPLIT(P1117, " "), 4))</f>
        <v>2014</v>
      </c>
      <c r="R1117" s="1" t="str">
        <f t="shared" si="17"/>
        <v>Cadillac Escalade Luxury</v>
      </c>
      <c r="S1117" s="1" t="str" cm="1">
        <f t="array" ref="S1117">_xlfn.IFS(I1117 &gt;= 40, "High", I1117&gt;=20, "Medium", I1117&lt;20, "Low")</f>
        <v>High</v>
      </c>
      <c r="T1117" s="1" t="str" cm="1">
        <f t="array" ref="T1117">_xlfn.IFS(O1117&lt;18200, "Low", O1117&lt;=50000, "Medium", O1117&gt;50000, "High")</f>
        <v>Medium</v>
      </c>
    </row>
    <row r="1118" spans="1:20" x14ac:dyDescent="0.25">
      <c r="A1118" s="2">
        <v>2012</v>
      </c>
      <c r="B1118" s="1" t="s">
        <v>85</v>
      </c>
      <c r="C1118" s="1" t="s">
        <v>1551</v>
      </c>
      <c r="D1118" s="1" t="s">
        <v>1552</v>
      </c>
      <c r="E1118" s="1" t="s">
        <v>227</v>
      </c>
      <c r="F1118" s="1" t="s">
        <v>20</v>
      </c>
      <c r="G1118" s="1" t="s">
        <v>1795</v>
      </c>
      <c r="H1118" s="1" t="s">
        <v>22</v>
      </c>
      <c r="I1118" s="1">
        <v>35</v>
      </c>
      <c r="J1118" s="1">
        <v>55855</v>
      </c>
      <c r="K1118" s="1" t="s">
        <v>34</v>
      </c>
      <c r="L1118" s="1" t="s">
        <v>24</v>
      </c>
      <c r="M1118" s="1" t="s">
        <v>1515</v>
      </c>
      <c r="N1118" s="1">
        <v>8275</v>
      </c>
      <c r="O1118" s="12">
        <v>8200</v>
      </c>
      <c r="P1118" s="3" t="s">
        <v>68</v>
      </c>
      <c r="Q1118" s="1" cm="1">
        <f t="array" ref="Q1118">VALUE(INDEX(_xlfn.TEXTSPLIT(P1118, " "), 4))</f>
        <v>2014</v>
      </c>
      <c r="R1118" s="1" t="str">
        <f t="shared" si="17"/>
        <v>Ford Fiesta SES</v>
      </c>
      <c r="S1118" s="1" t="str" cm="1">
        <f t="array" ref="S1118">_xlfn.IFS(I1118 &gt;= 40, "High", I1118&gt;=20, "Medium", I1118&lt;20, "Low")</f>
        <v>Medium</v>
      </c>
      <c r="T1118" s="1" t="str" cm="1">
        <f t="array" ref="T1118">_xlfn.IFS(O1118&lt;18200, "Low", O1118&lt;=50000, "Medium", O1118&gt;50000, "High")</f>
        <v>Low</v>
      </c>
    </row>
    <row r="1119" spans="1:20" x14ac:dyDescent="0.25">
      <c r="A1119" s="2">
        <v>2012</v>
      </c>
      <c r="B1119" s="1" t="s">
        <v>58</v>
      </c>
      <c r="C1119" s="1" t="s">
        <v>199</v>
      </c>
      <c r="D1119" s="1" t="s">
        <v>1541</v>
      </c>
      <c r="E1119" s="1" t="s">
        <v>32</v>
      </c>
      <c r="F1119" s="1" t="s">
        <v>20</v>
      </c>
      <c r="G1119" s="1" t="s">
        <v>1796</v>
      </c>
      <c r="H1119" s="1" t="s">
        <v>22</v>
      </c>
      <c r="I1119" s="1">
        <v>32</v>
      </c>
      <c r="J1119" s="1">
        <v>50616</v>
      </c>
      <c r="K1119" s="1" t="s">
        <v>23</v>
      </c>
      <c r="L1119" s="1" t="s">
        <v>34</v>
      </c>
      <c r="M1119" s="1" t="s">
        <v>635</v>
      </c>
      <c r="N1119" s="1">
        <v>9325</v>
      </c>
      <c r="O1119" s="12">
        <v>10600</v>
      </c>
      <c r="P1119" s="3" t="s">
        <v>68</v>
      </c>
      <c r="Q1119" s="1" cm="1">
        <f t="array" ref="Q1119">VALUE(INDEX(_xlfn.TEXTSPLIT(P1119, " "), 4))</f>
        <v>2014</v>
      </c>
      <c r="R1119" s="1" t="str">
        <f t="shared" si="17"/>
        <v>Chevrolet Malibu LS Fleet</v>
      </c>
      <c r="S1119" s="1" t="str" cm="1">
        <f t="array" ref="S1119">_xlfn.IFS(I1119 &gt;= 40, "High", I1119&gt;=20, "Medium", I1119&lt;20, "Low")</f>
        <v>Medium</v>
      </c>
      <c r="T1119" s="1" t="str" cm="1">
        <f t="array" ref="T1119">_xlfn.IFS(O1119&lt;18200, "Low", O1119&lt;=50000, "Medium", O1119&gt;50000, "High")</f>
        <v>Low</v>
      </c>
    </row>
    <row r="1120" spans="1:20" x14ac:dyDescent="0.25">
      <c r="A1120" s="2">
        <v>2012</v>
      </c>
      <c r="B1120" s="1" t="s">
        <v>1562</v>
      </c>
      <c r="C1120" s="1" t="s">
        <v>1658</v>
      </c>
      <c r="D1120" s="1" t="s">
        <v>646</v>
      </c>
      <c r="E1120" s="1" t="s">
        <v>738</v>
      </c>
      <c r="F1120" s="1" t="s">
        <v>20</v>
      </c>
      <c r="G1120" s="1" t="s">
        <v>1797</v>
      </c>
      <c r="H1120" s="1" t="s">
        <v>22</v>
      </c>
      <c r="I1120" s="1">
        <v>2</v>
      </c>
      <c r="J1120" s="1">
        <v>88694</v>
      </c>
      <c r="K1120" s="1" t="s">
        <v>101</v>
      </c>
      <c r="L1120" s="1" t="s">
        <v>28</v>
      </c>
      <c r="M1120" s="1" t="s">
        <v>742</v>
      </c>
      <c r="N1120" s="1">
        <v>10250</v>
      </c>
      <c r="O1120" s="12">
        <v>8700</v>
      </c>
      <c r="P1120" s="3" t="s">
        <v>57</v>
      </c>
      <c r="Q1120" s="1" cm="1">
        <f t="array" ref="Q1120">VALUE(INDEX(_xlfn.TEXTSPLIT(P1120, " "), 4))</f>
        <v>2014</v>
      </c>
      <c r="R1120" s="1" t="str">
        <f t="shared" si="17"/>
        <v>Chrysler Town and Country Touring</v>
      </c>
      <c r="S1120" s="1" t="str" cm="1">
        <f t="array" ref="S1120">_xlfn.IFS(I1120 &gt;= 40, "High", I1120&gt;=20, "Medium", I1120&lt;20, "Low")</f>
        <v>Low</v>
      </c>
      <c r="T1120" s="1" t="str" cm="1">
        <f t="array" ref="T1120">_xlfn.IFS(O1120&lt;18200, "Low", O1120&lt;=50000, "Medium", O1120&gt;50000, "High")</f>
        <v>Low</v>
      </c>
    </row>
    <row r="1121" spans="1:20" x14ac:dyDescent="0.25">
      <c r="A1121" s="2">
        <v>2012</v>
      </c>
      <c r="B1121" s="1" t="s">
        <v>58</v>
      </c>
      <c r="C1121" s="1" t="s">
        <v>283</v>
      </c>
      <c r="D1121" s="1" t="s">
        <v>70</v>
      </c>
      <c r="E1121" s="1" t="s">
        <v>1648</v>
      </c>
      <c r="F1121" s="1" t="s">
        <v>20</v>
      </c>
      <c r="G1121" s="1" t="s">
        <v>1798</v>
      </c>
      <c r="H1121" s="1" t="s">
        <v>22</v>
      </c>
      <c r="I1121" s="1">
        <v>36</v>
      </c>
      <c r="J1121" s="1">
        <v>41875</v>
      </c>
      <c r="K1121" s="1" t="s">
        <v>24</v>
      </c>
      <c r="L1121" s="1" t="s">
        <v>24</v>
      </c>
      <c r="M1121" s="1" t="s">
        <v>109</v>
      </c>
      <c r="N1121" s="1">
        <v>19700</v>
      </c>
      <c r="O1121" s="12">
        <v>20100</v>
      </c>
      <c r="P1121" s="3" t="s">
        <v>68</v>
      </c>
      <c r="Q1121" s="1" cm="1">
        <f t="array" ref="Q1121">VALUE(INDEX(_xlfn.TEXTSPLIT(P1121, " "), 4))</f>
        <v>2014</v>
      </c>
      <c r="R1121" s="1" t="str">
        <f t="shared" si="17"/>
        <v>Chevrolet Silverado 1500 LT</v>
      </c>
      <c r="S1121" s="1" t="str" cm="1">
        <f t="array" ref="S1121">_xlfn.IFS(I1121 &gt;= 40, "High", I1121&gt;=20, "Medium", I1121&lt;20, "Low")</f>
        <v>Medium</v>
      </c>
      <c r="T1121" s="1" t="str" cm="1">
        <f t="array" ref="T1121">_xlfn.IFS(O1121&lt;18200, "Low", O1121&lt;=50000, "Medium", O1121&gt;50000, "High")</f>
        <v>Medium</v>
      </c>
    </row>
    <row r="1122" spans="1:20" x14ac:dyDescent="0.25">
      <c r="A1122" s="2">
        <v>2012</v>
      </c>
      <c r="B1122" s="1" t="s">
        <v>29</v>
      </c>
      <c r="C1122" s="1" t="s">
        <v>136</v>
      </c>
      <c r="D1122" s="1" t="s">
        <v>1520</v>
      </c>
      <c r="E1122" s="1" t="s">
        <v>19</v>
      </c>
      <c r="F1122" s="1" t="s">
        <v>20</v>
      </c>
      <c r="G1122" s="1" t="s">
        <v>1799</v>
      </c>
      <c r="H1122" s="1" t="s">
        <v>22</v>
      </c>
      <c r="I1122" s="1">
        <v>41</v>
      </c>
      <c r="J1122" s="1">
        <v>43405</v>
      </c>
      <c r="K1122" s="1" t="s">
        <v>34</v>
      </c>
      <c r="L1122" s="1" t="s">
        <v>24</v>
      </c>
      <c r="M1122" s="1" t="s">
        <v>35</v>
      </c>
      <c r="N1122" s="1">
        <v>35100</v>
      </c>
      <c r="O1122" s="12">
        <v>37500</v>
      </c>
      <c r="P1122" s="3" t="s">
        <v>46</v>
      </c>
      <c r="Q1122" s="1" cm="1">
        <f t="array" ref="Q1122">VALUE(INDEX(_xlfn.TEXTSPLIT(P1122, " "), 4))</f>
        <v>2014</v>
      </c>
      <c r="R1122" s="1" t="str">
        <f t="shared" si="17"/>
        <v>BMW X5 xDrive35i Premium</v>
      </c>
      <c r="S1122" s="1" t="str" cm="1">
        <f t="array" ref="S1122">_xlfn.IFS(I1122 &gt;= 40, "High", I1122&gt;=20, "Medium", I1122&lt;20, "Low")</f>
        <v>High</v>
      </c>
      <c r="T1122" s="1" t="str" cm="1">
        <f t="array" ref="T1122">_xlfn.IFS(O1122&lt;18200, "Low", O1122&lt;=50000, "Medium", O1122&gt;50000, "High")</f>
        <v>Medium</v>
      </c>
    </row>
    <row r="1123" spans="1:20" x14ac:dyDescent="0.25">
      <c r="A1123" s="2">
        <v>2012</v>
      </c>
      <c r="B1123" s="1" t="s">
        <v>58</v>
      </c>
      <c r="C1123" s="1" t="s">
        <v>1800</v>
      </c>
      <c r="D1123" s="1" t="s">
        <v>70</v>
      </c>
      <c r="E1123" s="1" t="s">
        <v>32</v>
      </c>
      <c r="F1123" s="1" t="s">
        <v>20</v>
      </c>
      <c r="G1123" s="1" t="s">
        <v>1801</v>
      </c>
      <c r="H1123" s="1" t="s">
        <v>22</v>
      </c>
      <c r="I1123" s="1">
        <v>19</v>
      </c>
      <c r="J1123" s="1">
        <v>50621</v>
      </c>
      <c r="K1123" s="1" t="s">
        <v>73</v>
      </c>
      <c r="L1123" s="1" t="s">
        <v>34</v>
      </c>
      <c r="M1123" s="1" t="s">
        <v>635</v>
      </c>
      <c r="N1123" s="1">
        <v>6900</v>
      </c>
      <c r="O1123" s="12">
        <v>5700</v>
      </c>
      <c r="P1123" s="3" t="s">
        <v>68</v>
      </c>
      <c r="Q1123" s="1" cm="1">
        <f t="array" ref="Q1123">VALUE(INDEX(_xlfn.TEXTSPLIT(P1123, " "), 4))</f>
        <v>2014</v>
      </c>
      <c r="R1123" s="1" t="str">
        <f t="shared" si="17"/>
        <v>Chevrolet Sonic LT</v>
      </c>
      <c r="S1123" s="1" t="str" cm="1">
        <f t="array" ref="S1123">_xlfn.IFS(I1123 &gt;= 40, "High", I1123&gt;=20, "Medium", I1123&lt;20, "Low")</f>
        <v>Low</v>
      </c>
      <c r="T1123" s="1" t="str" cm="1">
        <f t="array" ref="T1123">_xlfn.IFS(O1123&lt;18200, "Low", O1123&lt;=50000, "Medium", O1123&gt;50000, "High")</f>
        <v>Low</v>
      </c>
    </row>
    <row r="1124" spans="1:20" x14ac:dyDescent="0.25">
      <c r="A1124" s="2">
        <v>2012</v>
      </c>
      <c r="B1124" s="1" t="s">
        <v>166</v>
      </c>
      <c r="C1124" s="1" t="s">
        <v>301</v>
      </c>
      <c r="D1124" s="1" t="s">
        <v>195</v>
      </c>
      <c r="E1124" s="1" t="s">
        <v>19</v>
      </c>
      <c r="F1124" s="1" t="s">
        <v>20</v>
      </c>
      <c r="G1124" s="1" t="s">
        <v>1802</v>
      </c>
      <c r="H1124" s="1" t="s">
        <v>22</v>
      </c>
      <c r="I1124" s="1">
        <v>34</v>
      </c>
      <c r="J1124" s="1">
        <v>63739</v>
      </c>
      <c r="K1124" s="1" t="s">
        <v>23</v>
      </c>
      <c r="L1124" s="1" t="s">
        <v>24</v>
      </c>
      <c r="M1124" s="1" t="s">
        <v>1089</v>
      </c>
      <c r="N1124" s="1">
        <v>18850</v>
      </c>
      <c r="O1124" s="12">
        <v>17750</v>
      </c>
      <c r="P1124" s="3" t="s">
        <v>500</v>
      </c>
      <c r="Q1124" s="1" cm="1">
        <f t="array" ref="Q1124">VALUE(INDEX(_xlfn.TEXTSPLIT(P1124, " "), 4))</f>
        <v>2015</v>
      </c>
      <c r="R1124" s="1" t="str">
        <f t="shared" si="17"/>
        <v>Cadillac SRX Luxury</v>
      </c>
      <c r="S1124" s="1" t="str" cm="1">
        <f t="array" ref="S1124">_xlfn.IFS(I1124 &gt;= 40, "High", I1124&gt;=20, "Medium", I1124&lt;20, "Low")</f>
        <v>Medium</v>
      </c>
      <c r="T1124" s="1" t="str" cm="1">
        <f t="array" ref="T1124">_xlfn.IFS(O1124&lt;18200, "Low", O1124&lt;=50000, "Medium", O1124&gt;50000, "High")</f>
        <v>Low</v>
      </c>
    </row>
    <row r="1125" spans="1:20" x14ac:dyDescent="0.25">
      <c r="A1125" s="2">
        <v>2012</v>
      </c>
      <c r="B1125" s="1" t="s">
        <v>85</v>
      </c>
      <c r="C1125" s="1" t="s">
        <v>1604</v>
      </c>
      <c r="D1125" s="1" t="s">
        <v>54</v>
      </c>
      <c r="E1125" s="1" t="s">
        <v>19</v>
      </c>
      <c r="F1125" s="1" t="s">
        <v>20</v>
      </c>
      <c r="G1125" s="1" t="s">
        <v>1803</v>
      </c>
      <c r="H1125" s="1" t="s">
        <v>22</v>
      </c>
      <c r="I1125" s="1">
        <v>35</v>
      </c>
      <c r="J1125" s="1">
        <v>37704</v>
      </c>
      <c r="K1125" s="1" t="s">
        <v>94</v>
      </c>
      <c r="L1125" s="1" t="s">
        <v>82</v>
      </c>
      <c r="M1125" s="1" t="s">
        <v>1606</v>
      </c>
      <c r="N1125" s="1">
        <v>17050</v>
      </c>
      <c r="O1125" s="12">
        <v>18000</v>
      </c>
      <c r="P1125" s="3" t="s">
        <v>26</v>
      </c>
      <c r="Q1125" s="1" cm="1">
        <f t="array" ref="Q1125">VALUE(INDEX(_xlfn.TEXTSPLIT(P1125, " "), 4))</f>
        <v>2014</v>
      </c>
      <c r="R1125" s="1" t="str">
        <f t="shared" si="17"/>
        <v>Ford Explorer Base</v>
      </c>
      <c r="S1125" s="1" t="str" cm="1">
        <f t="array" ref="S1125">_xlfn.IFS(I1125 &gt;= 40, "High", I1125&gt;=20, "Medium", I1125&lt;20, "Low")</f>
        <v>Medium</v>
      </c>
      <c r="T1125" s="1" t="str" cm="1">
        <f t="array" ref="T1125">_xlfn.IFS(O1125&lt;18200, "Low", O1125&lt;=50000, "Medium", O1125&gt;50000, "High")</f>
        <v>Low</v>
      </c>
    </row>
    <row r="1126" spans="1:20" x14ac:dyDescent="0.25">
      <c r="A1126" s="2">
        <v>2012</v>
      </c>
      <c r="B1126" s="1" t="s">
        <v>58</v>
      </c>
      <c r="C1126" s="1" t="s">
        <v>113</v>
      </c>
      <c r="D1126" s="1" t="s">
        <v>114</v>
      </c>
      <c r="E1126" s="1" t="s">
        <v>32</v>
      </c>
      <c r="F1126" s="1" t="s">
        <v>20</v>
      </c>
      <c r="G1126" s="1" t="s">
        <v>1804</v>
      </c>
      <c r="H1126" s="1" t="s">
        <v>22</v>
      </c>
      <c r="I1126" s="1">
        <v>3</v>
      </c>
      <c r="J1126" s="1">
        <v>64637</v>
      </c>
      <c r="K1126" s="1" t="s">
        <v>23</v>
      </c>
      <c r="L1126" s="1" t="s">
        <v>34</v>
      </c>
      <c r="M1126" s="1" t="s">
        <v>1617</v>
      </c>
      <c r="N1126" s="1">
        <v>9475</v>
      </c>
      <c r="O1126" s="12">
        <v>8900</v>
      </c>
      <c r="P1126" s="3" t="s">
        <v>26</v>
      </c>
      <c r="Q1126" s="1" cm="1">
        <f t="array" ref="Q1126">VALUE(INDEX(_xlfn.TEXTSPLIT(P1126, " "), 4))</f>
        <v>2014</v>
      </c>
      <c r="R1126" s="1" t="str">
        <f t="shared" si="17"/>
        <v>Chevrolet Impala LTZ</v>
      </c>
      <c r="S1126" s="1" t="str" cm="1">
        <f t="array" ref="S1126">_xlfn.IFS(I1126 &gt;= 40, "High", I1126&gt;=20, "Medium", I1126&lt;20, "Low")</f>
        <v>Low</v>
      </c>
      <c r="T1126" s="1" t="str" cm="1">
        <f t="array" ref="T1126">_xlfn.IFS(O1126&lt;18200, "Low", O1126&lt;=50000, "Medium", O1126&gt;50000, "High")</f>
        <v>Low</v>
      </c>
    </row>
    <row r="1127" spans="1:20" x14ac:dyDescent="0.25">
      <c r="A1127" s="2">
        <v>2012</v>
      </c>
      <c r="B1127" s="1" t="s">
        <v>58</v>
      </c>
      <c r="C1127" s="1" t="s">
        <v>113</v>
      </c>
      <c r="D1127" s="1" t="s">
        <v>1541</v>
      </c>
      <c r="E1127" s="1" t="s">
        <v>32</v>
      </c>
      <c r="F1127" s="1" t="s">
        <v>20</v>
      </c>
      <c r="G1127" s="1" t="s">
        <v>1805</v>
      </c>
      <c r="H1127" s="1" t="s">
        <v>22</v>
      </c>
      <c r="I1127" s="1">
        <v>36</v>
      </c>
      <c r="J1127" s="1">
        <v>81991</v>
      </c>
      <c r="K1127" s="1" t="s">
        <v>24</v>
      </c>
      <c r="L1127" s="1" t="s">
        <v>24</v>
      </c>
      <c r="M1127" s="1" t="s">
        <v>635</v>
      </c>
      <c r="N1127" s="1">
        <v>7700</v>
      </c>
      <c r="O1127" s="12">
        <v>8200</v>
      </c>
      <c r="P1127" s="3" t="s">
        <v>68</v>
      </c>
      <c r="Q1127" s="1" cm="1">
        <f t="array" ref="Q1127">VALUE(INDEX(_xlfn.TEXTSPLIT(P1127, " "), 4))</f>
        <v>2014</v>
      </c>
      <c r="R1127" s="1" t="str">
        <f t="shared" si="17"/>
        <v>Chevrolet Impala LS Fleet</v>
      </c>
      <c r="S1127" s="1" t="str" cm="1">
        <f t="array" ref="S1127">_xlfn.IFS(I1127 &gt;= 40, "High", I1127&gt;=20, "Medium", I1127&lt;20, "Low")</f>
        <v>Medium</v>
      </c>
      <c r="T1127" s="1" t="str" cm="1">
        <f t="array" ref="T1127">_xlfn.IFS(O1127&lt;18200, "Low", O1127&lt;=50000, "Medium", O1127&gt;50000, "High")</f>
        <v>Low</v>
      </c>
    </row>
    <row r="1128" spans="1:20" x14ac:dyDescent="0.25">
      <c r="A1128" s="2">
        <v>2012</v>
      </c>
      <c r="B1128" s="1" t="s">
        <v>1806</v>
      </c>
      <c r="C1128" s="1" t="s">
        <v>1807</v>
      </c>
      <c r="D1128" s="1" t="s">
        <v>87</v>
      </c>
      <c r="E1128" s="1" t="s">
        <v>32</v>
      </c>
      <c r="F1128" s="1" t="s">
        <v>20</v>
      </c>
      <c r="G1128" s="1" t="s">
        <v>1808</v>
      </c>
      <c r="H1128" s="1" t="s">
        <v>22</v>
      </c>
      <c r="I1128" s="1">
        <v>26</v>
      </c>
      <c r="J1128" s="1">
        <v>24390</v>
      </c>
      <c r="K1128" s="1" t="s">
        <v>24</v>
      </c>
      <c r="L1128" s="1" t="s">
        <v>24</v>
      </c>
      <c r="M1128" s="1" t="s">
        <v>1266</v>
      </c>
      <c r="N1128" s="1">
        <v>13500</v>
      </c>
      <c r="O1128" s="12">
        <v>13000</v>
      </c>
      <c r="P1128" s="3" t="s">
        <v>68</v>
      </c>
      <c r="Q1128" s="1" cm="1">
        <f t="array" ref="Q1128">VALUE(INDEX(_xlfn.TEXTSPLIT(P1128, " "), 4))</f>
        <v>2014</v>
      </c>
      <c r="R1128" s="1" t="str">
        <f t="shared" si="17"/>
        <v>Honda Accord SE</v>
      </c>
      <c r="S1128" s="1" t="str" cm="1">
        <f t="array" ref="S1128">_xlfn.IFS(I1128 &gt;= 40, "High", I1128&gt;=20, "Medium", I1128&lt;20, "Low")</f>
        <v>Medium</v>
      </c>
      <c r="T1128" s="1" t="str" cm="1">
        <f t="array" ref="T1128">_xlfn.IFS(O1128&lt;18200, "Low", O1128&lt;=50000, "Medium", O1128&gt;50000, "High")</f>
        <v>Low</v>
      </c>
    </row>
    <row r="1129" spans="1:20" x14ac:dyDescent="0.25">
      <c r="A1129" s="2">
        <v>2012</v>
      </c>
      <c r="B1129" s="1" t="s">
        <v>1806</v>
      </c>
      <c r="C1129" s="1" t="s">
        <v>1809</v>
      </c>
      <c r="D1129" s="1" t="s">
        <v>735</v>
      </c>
      <c r="E1129" s="1" t="s">
        <v>19</v>
      </c>
      <c r="F1129" s="1" t="s">
        <v>20</v>
      </c>
      <c r="G1129" s="1" t="s">
        <v>1810</v>
      </c>
      <c r="H1129" s="1" t="s">
        <v>22</v>
      </c>
      <c r="I1129" s="1">
        <v>42</v>
      </c>
      <c r="J1129" s="1">
        <v>32923</v>
      </c>
      <c r="K1129" s="1" t="s">
        <v>94</v>
      </c>
      <c r="L1129" s="1" t="s">
        <v>34</v>
      </c>
      <c r="M1129" s="1" t="s">
        <v>1266</v>
      </c>
      <c r="N1129" s="1">
        <v>17500</v>
      </c>
      <c r="O1129" s="12">
        <v>18200</v>
      </c>
      <c r="P1129" s="3" t="s">
        <v>68</v>
      </c>
      <c r="Q1129" s="1" cm="1">
        <f t="array" ref="Q1129">VALUE(INDEX(_xlfn.TEXTSPLIT(P1129, " "), 4))</f>
        <v>2014</v>
      </c>
      <c r="R1129" s="1" t="str">
        <f t="shared" si="17"/>
        <v>Honda CR-V EX</v>
      </c>
      <c r="S1129" s="1" t="str" cm="1">
        <f t="array" ref="S1129">_xlfn.IFS(I1129 &gt;= 40, "High", I1129&gt;=20, "Medium", I1129&lt;20, "Low")</f>
        <v>High</v>
      </c>
      <c r="T1129" s="1" t="str" cm="1">
        <f t="array" ref="T1129">_xlfn.IFS(O1129&lt;18200, "Low", O1129&lt;=50000, "Medium", O1129&gt;50000, "High")</f>
        <v>Medium</v>
      </c>
    </row>
    <row r="1130" spans="1:20" x14ac:dyDescent="0.25">
      <c r="A1130" s="2">
        <v>2012</v>
      </c>
      <c r="B1130" s="1" t="s">
        <v>98</v>
      </c>
      <c r="C1130" s="1" t="s">
        <v>336</v>
      </c>
      <c r="D1130" s="1" t="s">
        <v>337</v>
      </c>
      <c r="E1130" s="1" t="s">
        <v>19</v>
      </c>
      <c r="F1130" s="1" t="s">
        <v>20</v>
      </c>
      <c r="G1130" s="1" t="s">
        <v>1811</v>
      </c>
      <c r="H1130" s="1" t="s">
        <v>22</v>
      </c>
      <c r="I1130" s="1">
        <v>43</v>
      </c>
      <c r="J1130" s="1">
        <v>31776</v>
      </c>
      <c r="K1130" s="1" t="s">
        <v>91</v>
      </c>
      <c r="L1130" s="1" t="s">
        <v>24</v>
      </c>
      <c r="M1130" s="1" t="s">
        <v>339</v>
      </c>
      <c r="N1130" s="1">
        <v>17350</v>
      </c>
      <c r="O1130" s="12">
        <v>15250</v>
      </c>
      <c r="P1130" s="3" t="s">
        <v>84</v>
      </c>
      <c r="Q1130" s="1" cm="1">
        <f t="array" ref="Q1130">VALUE(INDEX(_xlfn.TEXTSPLIT(P1130, " "), 4))</f>
        <v>2014</v>
      </c>
      <c r="R1130" s="1" t="str">
        <f t="shared" si="17"/>
        <v>Hyundai Santa Fe Limited</v>
      </c>
      <c r="S1130" s="1" t="str" cm="1">
        <f t="array" ref="S1130">_xlfn.IFS(I1130 &gt;= 40, "High", I1130&gt;=20, "Medium", I1130&lt;20, "Low")</f>
        <v>High</v>
      </c>
      <c r="T1130" s="1" t="str" cm="1">
        <f t="array" ref="T1130">_xlfn.IFS(O1130&lt;18200, "Low", O1130&lt;=50000, "Medium", O1130&gt;50000, "High")</f>
        <v>Low</v>
      </c>
    </row>
    <row r="1131" spans="1:20" x14ac:dyDescent="0.25">
      <c r="A1131" s="2">
        <v>2012</v>
      </c>
      <c r="B1131" s="1" t="s">
        <v>98</v>
      </c>
      <c r="C1131" s="1" t="s">
        <v>99</v>
      </c>
      <c r="D1131" s="1" t="s">
        <v>337</v>
      </c>
      <c r="E1131" s="1" t="s">
        <v>32</v>
      </c>
      <c r="F1131" s="1" t="s">
        <v>20</v>
      </c>
      <c r="G1131" s="1" t="s">
        <v>1812</v>
      </c>
      <c r="H1131" s="1" t="s">
        <v>22</v>
      </c>
      <c r="I1131" s="1">
        <v>37</v>
      </c>
      <c r="J1131" s="1">
        <v>48562</v>
      </c>
      <c r="K1131" s="1" t="s">
        <v>91</v>
      </c>
      <c r="L1131" s="1" t="s">
        <v>34</v>
      </c>
      <c r="M1131" s="1" t="s">
        <v>350</v>
      </c>
      <c r="N1131" s="1">
        <v>14300</v>
      </c>
      <c r="O1131" s="12">
        <v>14000</v>
      </c>
      <c r="P1131" s="3" t="s">
        <v>1813</v>
      </c>
      <c r="Q1131" s="1" cm="1">
        <f t="array" ref="Q1131">VALUE(INDEX(_xlfn.TEXTSPLIT(P1131, " "), 4))</f>
        <v>2015</v>
      </c>
      <c r="R1131" s="1" t="str">
        <f t="shared" si="17"/>
        <v>Hyundai Sonata Limited</v>
      </c>
      <c r="S1131" s="1" t="str" cm="1">
        <f t="array" ref="S1131">_xlfn.IFS(I1131 &gt;= 40, "High", I1131&gt;=20, "Medium", I1131&lt;20, "Low")</f>
        <v>Medium</v>
      </c>
      <c r="T1131" s="1" t="str" cm="1">
        <f t="array" ref="T1131">_xlfn.IFS(O1131&lt;18200, "Low", O1131&lt;=50000, "Medium", O1131&gt;50000, "High")</f>
        <v>Low</v>
      </c>
    </row>
    <row r="1132" spans="1:20" x14ac:dyDescent="0.25">
      <c r="A1132" s="2">
        <v>2012</v>
      </c>
      <c r="B1132" s="1" t="s">
        <v>1806</v>
      </c>
      <c r="C1132" s="1" t="s">
        <v>1807</v>
      </c>
      <c r="D1132" s="1" t="s">
        <v>18</v>
      </c>
      <c r="E1132" s="1" t="s">
        <v>32</v>
      </c>
      <c r="F1132" s="1" t="s">
        <v>20</v>
      </c>
      <c r="G1132" s="1" t="s">
        <v>1814</v>
      </c>
      <c r="H1132" s="1" t="s">
        <v>22</v>
      </c>
      <c r="I1132" s="1">
        <v>23</v>
      </c>
      <c r="J1132" s="1">
        <v>32212</v>
      </c>
      <c r="K1132" s="1" t="s">
        <v>34</v>
      </c>
      <c r="L1132" s="1" t="s">
        <v>34</v>
      </c>
      <c r="M1132" s="1" t="s">
        <v>1266</v>
      </c>
      <c r="N1132" s="1">
        <v>12400</v>
      </c>
      <c r="O1132" s="12">
        <v>12300</v>
      </c>
      <c r="P1132" s="3" t="s">
        <v>915</v>
      </c>
      <c r="Q1132" s="1" cm="1">
        <f t="array" ref="Q1132">VALUE(INDEX(_xlfn.TEXTSPLIT(P1132, " "), 4))</f>
        <v>2015</v>
      </c>
      <c r="R1132" s="1" t="str">
        <f t="shared" si="17"/>
        <v>Honda Accord LX</v>
      </c>
      <c r="S1132" s="1" t="str" cm="1">
        <f t="array" ref="S1132">_xlfn.IFS(I1132 &gt;= 40, "High", I1132&gt;=20, "Medium", I1132&lt;20, "Low")</f>
        <v>Medium</v>
      </c>
      <c r="T1132" s="1" t="str" cm="1">
        <f t="array" ref="T1132">_xlfn.IFS(O1132&lt;18200, "Low", O1132&lt;=50000, "Medium", O1132&gt;50000, "High")</f>
        <v>Low</v>
      </c>
    </row>
    <row r="1133" spans="1:20" x14ac:dyDescent="0.25">
      <c r="A1133" s="2">
        <v>2012</v>
      </c>
      <c r="B1133" s="1" t="s">
        <v>98</v>
      </c>
      <c r="C1133" s="1" t="s">
        <v>219</v>
      </c>
      <c r="D1133" s="1" t="s">
        <v>337</v>
      </c>
      <c r="E1133" s="1" t="s">
        <v>32</v>
      </c>
      <c r="F1133" s="1" t="s">
        <v>20</v>
      </c>
      <c r="G1133" s="1" t="s">
        <v>1815</v>
      </c>
      <c r="H1133" s="1" t="s">
        <v>22</v>
      </c>
      <c r="I1133" s="1">
        <v>36</v>
      </c>
      <c r="J1133" s="1">
        <v>28514</v>
      </c>
      <c r="K1133" s="1" t="s">
        <v>34</v>
      </c>
      <c r="L1133" s="1" t="s">
        <v>34</v>
      </c>
      <c r="M1133" s="1" t="s">
        <v>350</v>
      </c>
      <c r="N1133" s="1">
        <v>12550</v>
      </c>
      <c r="O1133" s="12">
        <v>12700</v>
      </c>
      <c r="P1133" s="3" t="s">
        <v>84</v>
      </c>
      <c r="Q1133" s="1" cm="1">
        <f t="array" ref="Q1133">VALUE(INDEX(_xlfn.TEXTSPLIT(P1133, " "), 4))</f>
        <v>2014</v>
      </c>
      <c r="R1133" s="1" t="str">
        <f t="shared" si="17"/>
        <v>Hyundai Elantra Limited</v>
      </c>
      <c r="S1133" s="1" t="str" cm="1">
        <f t="array" ref="S1133">_xlfn.IFS(I1133 &gt;= 40, "High", I1133&gt;=20, "Medium", I1133&lt;20, "Low")</f>
        <v>Medium</v>
      </c>
      <c r="T1133" s="1" t="str" cm="1">
        <f t="array" ref="T1133">_xlfn.IFS(O1133&lt;18200, "Low", O1133&lt;=50000, "Medium", O1133&gt;50000, "High")</f>
        <v>Low</v>
      </c>
    </row>
    <row r="1134" spans="1:20" x14ac:dyDescent="0.25">
      <c r="A1134" s="2">
        <v>2012</v>
      </c>
      <c r="B1134" s="1" t="s">
        <v>85</v>
      </c>
      <c r="C1134" s="1" t="s">
        <v>86</v>
      </c>
      <c r="D1134" s="1" t="s">
        <v>87</v>
      </c>
      <c r="E1134" s="1" t="s">
        <v>32</v>
      </c>
      <c r="F1134" s="1" t="s">
        <v>20</v>
      </c>
      <c r="G1134" s="1" t="s">
        <v>1816</v>
      </c>
      <c r="H1134" s="1" t="s">
        <v>22</v>
      </c>
      <c r="I1134" s="1">
        <v>38</v>
      </c>
      <c r="J1134" s="1">
        <v>34063</v>
      </c>
      <c r="K1134" s="1" t="s">
        <v>24</v>
      </c>
      <c r="L1134" s="1" t="s">
        <v>24</v>
      </c>
      <c r="M1134" s="1" t="s">
        <v>1515</v>
      </c>
      <c r="N1134" s="1">
        <v>11450</v>
      </c>
      <c r="O1134" s="12">
        <v>11400</v>
      </c>
      <c r="P1134" s="3" t="s">
        <v>68</v>
      </c>
      <c r="Q1134" s="1" cm="1">
        <f t="array" ref="Q1134">VALUE(INDEX(_xlfn.TEXTSPLIT(P1134, " "), 4))</f>
        <v>2014</v>
      </c>
      <c r="R1134" s="1" t="str">
        <f t="shared" si="17"/>
        <v>Ford Fusion SE</v>
      </c>
      <c r="S1134" s="1" t="str" cm="1">
        <f t="array" ref="S1134">_xlfn.IFS(I1134 &gt;= 40, "High", I1134&gt;=20, "Medium", I1134&lt;20, "Low")</f>
        <v>Medium</v>
      </c>
      <c r="T1134" s="1" t="str" cm="1">
        <f t="array" ref="T1134">_xlfn.IFS(O1134&lt;18200, "Low", O1134&lt;=50000, "Medium", O1134&gt;50000, "High")</f>
        <v>Low</v>
      </c>
    </row>
    <row r="1135" spans="1:20" x14ac:dyDescent="0.25">
      <c r="A1135" s="2">
        <v>2012</v>
      </c>
      <c r="B1135" s="1" t="s">
        <v>318</v>
      </c>
      <c r="C1135" s="1" t="s">
        <v>323</v>
      </c>
      <c r="D1135" s="1" t="s">
        <v>1817</v>
      </c>
      <c r="E1135" s="1" t="s">
        <v>323</v>
      </c>
      <c r="F1135" s="1" t="s">
        <v>20</v>
      </c>
      <c r="G1135" s="1" t="s">
        <v>1818</v>
      </c>
      <c r="H1135" s="1" t="s">
        <v>22</v>
      </c>
      <c r="I1135" s="1">
        <v>46</v>
      </c>
      <c r="J1135" s="1">
        <v>21486</v>
      </c>
      <c r="K1135" s="1" t="s">
        <v>34</v>
      </c>
      <c r="L1135" s="1" t="s">
        <v>24</v>
      </c>
      <c r="M1135" s="1" t="s">
        <v>322</v>
      </c>
      <c r="N1135" s="1">
        <v>19650</v>
      </c>
      <c r="O1135" s="12">
        <v>20000</v>
      </c>
      <c r="P1135" s="3" t="s">
        <v>46</v>
      </c>
      <c r="Q1135" s="1" cm="1">
        <f t="array" ref="Q1135">VALUE(INDEX(_xlfn.TEXTSPLIT(P1135, " "), 4))</f>
        <v>2014</v>
      </c>
      <c r="R1135" s="1" t="str">
        <f t="shared" si="17"/>
        <v>Infiniti G Sedan G25</v>
      </c>
      <c r="S1135" s="1" t="str" cm="1">
        <f t="array" ref="S1135">_xlfn.IFS(I1135 &gt;= 40, "High", I1135&gt;=20, "Medium", I1135&lt;20, "Low")</f>
        <v>High</v>
      </c>
      <c r="T1135" s="1" t="str" cm="1">
        <f t="array" ref="T1135">_xlfn.IFS(O1135&lt;18200, "Low", O1135&lt;=50000, "Medium", O1135&gt;50000, "High")</f>
        <v>Medium</v>
      </c>
    </row>
    <row r="1136" spans="1:20" x14ac:dyDescent="0.25">
      <c r="A1136" s="2">
        <v>2012</v>
      </c>
      <c r="B1136" s="1" t="s">
        <v>85</v>
      </c>
      <c r="C1136" s="1" t="s">
        <v>1819</v>
      </c>
      <c r="D1136" s="1" t="s">
        <v>1196</v>
      </c>
      <c r="E1136" s="1" t="s">
        <v>107</v>
      </c>
      <c r="F1136" s="1" t="s">
        <v>20</v>
      </c>
      <c r="G1136" s="1" t="s">
        <v>1820</v>
      </c>
      <c r="H1136" s="1" t="s">
        <v>22</v>
      </c>
      <c r="I1136" s="1">
        <v>26</v>
      </c>
      <c r="J1136" s="1">
        <v>32535</v>
      </c>
      <c r="K1136" s="1" t="s">
        <v>24</v>
      </c>
      <c r="L1136" s="1" t="s">
        <v>24</v>
      </c>
      <c r="M1136" s="1" t="s">
        <v>1515</v>
      </c>
      <c r="N1136" s="1">
        <v>13600</v>
      </c>
      <c r="O1136" s="12">
        <v>11500</v>
      </c>
      <c r="P1136" s="3" t="s">
        <v>68</v>
      </c>
      <c r="Q1136" s="1" cm="1">
        <f t="array" ref="Q1136">VALUE(INDEX(_xlfn.TEXTSPLIT(P1136, " "), 4))</f>
        <v>2014</v>
      </c>
      <c r="R1136" s="1" t="str">
        <f t="shared" si="17"/>
        <v>Ford Mustang V6</v>
      </c>
      <c r="S1136" s="1" t="str" cm="1">
        <f t="array" ref="S1136">_xlfn.IFS(I1136 &gt;= 40, "High", I1136&gt;=20, "Medium", I1136&lt;20, "Low")</f>
        <v>Medium</v>
      </c>
      <c r="T1136" s="1" t="str" cm="1">
        <f t="array" ref="T1136">_xlfn.IFS(O1136&lt;18200, "Low", O1136&lt;=50000, "Medium", O1136&gt;50000, "High")</f>
        <v>Low</v>
      </c>
    </row>
    <row r="1137" spans="1:20" x14ac:dyDescent="0.25">
      <c r="A1137" s="2">
        <v>2012</v>
      </c>
      <c r="B1137" s="1" t="s">
        <v>98</v>
      </c>
      <c r="C1137" s="1" t="s">
        <v>219</v>
      </c>
      <c r="D1137" s="1" t="s">
        <v>337</v>
      </c>
      <c r="E1137" s="1" t="s">
        <v>32</v>
      </c>
      <c r="F1137" s="1" t="s">
        <v>20</v>
      </c>
      <c r="G1137" s="1" t="s">
        <v>1821</v>
      </c>
      <c r="H1137" s="1" t="s">
        <v>22</v>
      </c>
      <c r="I1137" s="1">
        <v>36</v>
      </c>
      <c r="J1137" s="1">
        <v>33191</v>
      </c>
      <c r="K1137" s="1" t="s">
        <v>23</v>
      </c>
      <c r="L1137" s="1" t="s">
        <v>24</v>
      </c>
      <c r="M1137" s="1" t="s">
        <v>350</v>
      </c>
      <c r="N1137" s="1">
        <v>12250</v>
      </c>
      <c r="O1137" s="12">
        <v>12800</v>
      </c>
      <c r="P1137" s="3" t="s">
        <v>84</v>
      </c>
      <c r="Q1137" s="1" cm="1">
        <f t="array" ref="Q1137">VALUE(INDEX(_xlfn.TEXTSPLIT(P1137, " "), 4))</f>
        <v>2014</v>
      </c>
      <c r="R1137" s="1" t="str">
        <f t="shared" si="17"/>
        <v>Hyundai Elantra Limited</v>
      </c>
      <c r="S1137" s="1" t="str" cm="1">
        <f t="array" ref="S1137">_xlfn.IFS(I1137 &gt;= 40, "High", I1137&gt;=20, "Medium", I1137&lt;20, "Low")</f>
        <v>Medium</v>
      </c>
      <c r="T1137" s="1" t="str" cm="1">
        <f t="array" ref="T1137">_xlfn.IFS(O1137&lt;18200, "Low", O1137&lt;=50000, "Medium", O1137&gt;50000, "High")</f>
        <v>Low</v>
      </c>
    </row>
    <row r="1138" spans="1:20" x14ac:dyDescent="0.25">
      <c r="A1138" s="2">
        <v>2012</v>
      </c>
      <c r="B1138" s="1" t="s">
        <v>1806</v>
      </c>
      <c r="C1138" s="1" t="s">
        <v>1807</v>
      </c>
      <c r="D1138" s="1" t="s">
        <v>18</v>
      </c>
      <c r="E1138" s="1" t="s">
        <v>32</v>
      </c>
      <c r="F1138" s="1" t="s">
        <v>20</v>
      </c>
      <c r="G1138" s="1" t="s">
        <v>1822</v>
      </c>
      <c r="H1138" s="1" t="s">
        <v>22</v>
      </c>
      <c r="I1138" s="1">
        <v>37</v>
      </c>
      <c r="J1138" s="1">
        <v>53340</v>
      </c>
      <c r="K1138" s="1" t="s">
        <v>34</v>
      </c>
      <c r="L1138" s="1" t="s">
        <v>34</v>
      </c>
      <c r="M1138" s="1" t="s">
        <v>1327</v>
      </c>
      <c r="N1138" s="1">
        <v>11100</v>
      </c>
      <c r="O1138" s="12">
        <v>12300</v>
      </c>
      <c r="P1138" s="3" t="s">
        <v>68</v>
      </c>
      <c r="Q1138" s="1" cm="1">
        <f t="array" ref="Q1138">VALUE(INDEX(_xlfn.TEXTSPLIT(P1138, " "), 4))</f>
        <v>2014</v>
      </c>
      <c r="R1138" s="1" t="str">
        <f t="shared" si="17"/>
        <v>Honda Accord LX</v>
      </c>
      <c r="S1138" s="1" t="str" cm="1">
        <f t="array" ref="S1138">_xlfn.IFS(I1138 &gt;= 40, "High", I1138&gt;=20, "Medium", I1138&lt;20, "Low")</f>
        <v>Medium</v>
      </c>
      <c r="T1138" s="1" t="str" cm="1">
        <f t="array" ref="T1138">_xlfn.IFS(O1138&lt;18200, "Low", O1138&lt;=50000, "Medium", O1138&gt;50000, "High")</f>
        <v>Low</v>
      </c>
    </row>
    <row r="1139" spans="1:20" x14ac:dyDescent="0.25">
      <c r="A1139" s="2">
        <v>2012</v>
      </c>
      <c r="B1139" s="1" t="s">
        <v>98</v>
      </c>
      <c r="C1139" s="1" t="s">
        <v>99</v>
      </c>
      <c r="D1139" s="1" t="s">
        <v>348</v>
      </c>
      <c r="E1139" s="1" t="s">
        <v>32</v>
      </c>
      <c r="F1139" s="1" t="s">
        <v>20</v>
      </c>
      <c r="G1139" s="1" t="s">
        <v>1823</v>
      </c>
      <c r="H1139" s="1" t="s">
        <v>22</v>
      </c>
      <c r="I1139" s="1">
        <v>38</v>
      </c>
      <c r="J1139" s="1">
        <v>80181</v>
      </c>
      <c r="K1139" s="1" t="s">
        <v>23</v>
      </c>
      <c r="L1139" s="1" t="s">
        <v>28</v>
      </c>
      <c r="M1139" s="1" t="s">
        <v>635</v>
      </c>
      <c r="N1139" s="1">
        <v>9150</v>
      </c>
      <c r="O1139" s="12">
        <v>10100</v>
      </c>
      <c r="P1139" s="3" t="s">
        <v>68</v>
      </c>
      <c r="Q1139" s="1" cm="1">
        <f t="array" ref="Q1139">VALUE(INDEX(_xlfn.TEXTSPLIT(P1139, " "), 4))</f>
        <v>2014</v>
      </c>
      <c r="R1139" s="1" t="str">
        <f t="shared" si="17"/>
        <v>Hyundai Sonata GLS</v>
      </c>
      <c r="S1139" s="1" t="str" cm="1">
        <f t="array" ref="S1139">_xlfn.IFS(I1139 &gt;= 40, "High", I1139&gt;=20, "Medium", I1139&lt;20, "Low")</f>
        <v>Medium</v>
      </c>
      <c r="T1139" s="1" t="str" cm="1">
        <f t="array" ref="T1139">_xlfn.IFS(O1139&lt;18200, "Low", O1139&lt;=50000, "Medium", O1139&gt;50000, "High")</f>
        <v>Low</v>
      </c>
    </row>
    <row r="1140" spans="1:20" x14ac:dyDescent="0.25">
      <c r="A1140" s="2">
        <v>2012</v>
      </c>
      <c r="B1140" s="1" t="s">
        <v>1806</v>
      </c>
      <c r="C1140" s="1" t="s">
        <v>1807</v>
      </c>
      <c r="D1140" s="1" t="s">
        <v>1824</v>
      </c>
      <c r="E1140" s="1" t="s">
        <v>32</v>
      </c>
      <c r="F1140" s="1" t="s">
        <v>20</v>
      </c>
      <c r="G1140" s="1" t="s">
        <v>1825</v>
      </c>
      <c r="H1140" s="1" t="s">
        <v>22</v>
      </c>
      <c r="I1140" s="1">
        <v>44</v>
      </c>
      <c r="J1140" s="1">
        <v>12218</v>
      </c>
      <c r="K1140" s="1" t="s">
        <v>34</v>
      </c>
      <c r="L1140" s="1" t="s">
        <v>34</v>
      </c>
      <c r="M1140" s="1" t="s">
        <v>1266</v>
      </c>
      <c r="N1140" s="1">
        <v>13450</v>
      </c>
      <c r="O1140" s="12">
        <v>15300</v>
      </c>
      <c r="P1140" s="3" t="s">
        <v>68</v>
      </c>
      <c r="Q1140" s="1" cm="1">
        <f t="array" ref="Q1140">VALUE(INDEX(_xlfn.TEXTSPLIT(P1140, " "), 4))</f>
        <v>2014</v>
      </c>
      <c r="R1140" s="1" t="str">
        <f t="shared" si="17"/>
        <v>Honda Accord LX-P</v>
      </c>
      <c r="S1140" s="1" t="str" cm="1">
        <f t="array" ref="S1140">_xlfn.IFS(I1140 &gt;= 40, "High", I1140&gt;=20, "Medium", I1140&lt;20, "Low")</f>
        <v>High</v>
      </c>
      <c r="T1140" s="1" t="str" cm="1">
        <f t="array" ref="T1140">_xlfn.IFS(O1140&lt;18200, "Low", O1140&lt;=50000, "Medium", O1140&gt;50000, "High")</f>
        <v>Low</v>
      </c>
    </row>
    <row r="1141" spans="1:20" x14ac:dyDescent="0.25">
      <c r="A1141" s="2">
        <v>2012</v>
      </c>
      <c r="B1141" s="1" t="s">
        <v>85</v>
      </c>
      <c r="C1141" s="1" t="s">
        <v>1819</v>
      </c>
      <c r="D1141" s="1" t="s">
        <v>1196</v>
      </c>
      <c r="E1141" s="1" t="s">
        <v>71</v>
      </c>
      <c r="F1141" s="1" t="s">
        <v>20</v>
      </c>
      <c r="G1141" s="1" t="s">
        <v>1826</v>
      </c>
      <c r="H1141" s="1" t="s">
        <v>22</v>
      </c>
      <c r="I1141" s="1">
        <v>32</v>
      </c>
      <c r="J1141" s="1">
        <v>65201</v>
      </c>
      <c r="K1141" s="1" t="s">
        <v>23</v>
      </c>
      <c r="L1141" s="1" t="s">
        <v>24</v>
      </c>
      <c r="M1141" s="1" t="s">
        <v>56</v>
      </c>
      <c r="N1141" s="1">
        <v>10450</v>
      </c>
      <c r="O1141" s="12">
        <v>10700</v>
      </c>
      <c r="P1141" s="3" t="s">
        <v>57</v>
      </c>
      <c r="Q1141" s="1" cm="1">
        <f t="array" ref="Q1141">VALUE(INDEX(_xlfn.TEXTSPLIT(P1141, " "), 4))</f>
        <v>2014</v>
      </c>
      <c r="R1141" s="1" t="str">
        <f t="shared" si="17"/>
        <v>Ford Mustang V6</v>
      </c>
      <c r="S1141" s="1" t="str" cm="1">
        <f t="array" ref="S1141">_xlfn.IFS(I1141 &gt;= 40, "High", I1141&gt;=20, "Medium", I1141&lt;20, "Low")</f>
        <v>Medium</v>
      </c>
      <c r="T1141" s="1" t="str" cm="1">
        <f t="array" ref="T1141">_xlfn.IFS(O1141&lt;18200, "Low", O1141&lt;=50000, "Medium", O1141&gt;50000, "High")</f>
        <v>Low</v>
      </c>
    </row>
    <row r="1142" spans="1:20" x14ac:dyDescent="0.25">
      <c r="A1142" s="2">
        <v>2012</v>
      </c>
      <c r="B1142" s="1" t="s">
        <v>85</v>
      </c>
      <c r="C1142" s="1" t="s">
        <v>86</v>
      </c>
      <c r="D1142" s="1" t="s">
        <v>87</v>
      </c>
      <c r="E1142" s="1" t="s">
        <v>32</v>
      </c>
      <c r="F1142" s="1" t="s">
        <v>20</v>
      </c>
      <c r="G1142" s="1" t="s">
        <v>1827</v>
      </c>
      <c r="H1142" s="1" t="s">
        <v>22</v>
      </c>
      <c r="I1142" s="1">
        <v>35</v>
      </c>
      <c r="J1142" s="1">
        <v>64035</v>
      </c>
      <c r="K1142" s="1" t="s">
        <v>94</v>
      </c>
      <c r="L1142" s="1" t="s">
        <v>34</v>
      </c>
      <c r="M1142" s="1" t="s">
        <v>431</v>
      </c>
      <c r="N1142" s="1">
        <v>9550</v>
      </c>
      <c r="O1142" s="12">
        <v>8900</v>
      </c>
      <c r="P1142" s="3" t="s">
        <v>783</v>
      </c>
      <c r="Q1142" s="1" cm="1">
        <f t="array" ref="Q1142">VALUE(INDEX(_xlfn.TEXTSPLIT(P1142, " "), 4))</f>
        <v>2015</v>
      </c>
      <c r="R1142" s="1" t="str">
        <f t="shared" si="17"/>
        <v>Ford Fusion SE</v>
      </c>
      <c r="S1142" s="1" t="str" cm="1">
        <f t="array" ref="S1142">_xlfn.IFS(I1142 &gt;= 40, "High", I1142&gt;=20, "Medium", I1142&lt;20, "Low")</f>
        <v>Medium</v>
      </c>
      <c r="T1142" s="1" t="str" cm="1">
        <f t="array" ref="T1142">_xlfn.IFS(O1142&lt;18200, "Low", O1142&lt;=50000, "Medium", O1142&gt;50000, "High")</f>
        <v>Low</v>
      </c>
    </row>
    <row r="1143" spans="1:20" x14ac:dyDescent="0.25">
      <c r="A1143" s="2">
        <v>2012</v>
      </c>
      <c r="B1143" s="1" t="s">
        <v>318</v>
      </c>
      <c r="C1143" s="1" t="s">
        <v>323</v>
      </c>
      <c r="D1143" s="1" t="s">
        <v>1817</v>
      </c>
      <c r="E1143" s="1" t="s">
        <v>323</v>
      </c>
      <c r="F1143" s="1" t="s">
        <v>20</v>
      </c>
      <c r="G1143" s="1" t="s">
        <v>1828</v>
      </c>
      <c r="H1143" s="1" t="s">
        <v>22</v>
      </c>
      <c r="I1143" s="1">
        <v>42</v>
      </c>
      <c r="J1143" s="1">
        <v>24485</v>
      </c>
      <c r="K1143" s="1" t="s">
        <v>94</v>
      </c>
      <c r="L1143" s="1" t="s">
        <v>28</v>
      </c>
      <c r="M1143" s="1" t="s">
        <v>322</v>
      </c>
      <c r="N1143" s="1">
        <v>19350</v>
      </c>
      <c r="O1143" s="12">
        <v>19000</v>
      </c>
      <c r="P1143" s="3" t="s">
        <v>46</v>
      </c>
      <c r="Q1143" s="1" cm="1">
        <f t="array" ref="Q1143">VALUE(INDEX(_xlfn.TEXTSPLIT(P1143, " "), 4))</f>
        <v>2014</v>
      </c>
      <c r="R1143" s="1" t="str">
        <f t="shared" si="17"/>
        <v>Infiniti G Sedan G25</v>
      </c>
      <c r="S1143" s="1" t="str" cm="1">
        <f t="array" ref="S1143">_xlfn.IFS(I1143 &gt;= 40, "High", I1143&gt;=20, "Medium", I1143&lt;20, "Low")</f>
        <v>High</v>
      </c>
      <c r="T1143" s="1" t="str" cm="1">
        <f t="array" ref="T1143">_xlfn.IFS(O1143&lt;18200, "Low", O1143&lt;=50000, "Medium", O1143&gt;50000, "High")</f>
        <v>Medium</v>
      </c>
    </row>
    <row r="1144" spans="1:20" x14ac:dyDescent="0.25">
      <c r="A1144" s="2">
        <v>2012</v>
      </c>
      <c r="B1144" s="1" t="s">
        <v>1806</v>
      </c>
      <c r="C1144" s="1" t="s">
        <v>1829</v>
      </c>
      <c r="D1144" s="1" t="s">
        <v>18</v>
      </c>
      <c r="E1144" s="1" t="s">
        <v>32</v>
      </c>
      <c r="F1144" s="1" t="s">
        <v>20</v>
      </c>
      <c r="G1144" s="1" t="s">
        <v>1830</v>
      </c>
      <c r="H1144" s="1" t="s">
        <v>22</v>
      </c>
      <c r="I1144" s="1">
        <v>26</v>
      </c>
      <c r="J1144" s="1">
        <v>73995</v>
      </c>
      <c r="K1144" s="1" t="s">
        <v>34</v>
      </c>
      <c r="L1144" s="1" t="s">
        <v>34</v>
      </c>
      <c r="M1144" s="1" t="s">
        <v>1266</v>
      </c>
      <c r="N1144" s="1">
        <v>9350</v>
      </c>
      <c r="O1144" s="12">
        <v>8900</v>
      </c>
      <c r="P1144" s="3" t="s">
        <v>68</v>
      </c>
      <c r="Q1144" s="1" cm="1">
        <f t="array" ref="Q1144">VALUE(INDEX(_xlfn.TEXTSPLIT(P1144, " "), 4))</f>
        <v>2014</v>
      </c>
      <c r="R1144" s="1" t="str">
        <f t="shared" si="17"/>
        <v>Honda Civic LX</v>
      </c>
      <c r="S1144" s="1" t="str" cm="1">
        <f t="array" ref="S1144">_xlfn.IFS(I1144 &gt;= 40, "High", I1144&gt;=20, "Medium", I1144&lt;20, "Low")</f>
        <v>Medium</v>
      </c>
      <c r="T1144" s="1" t="str" cm="1">
        <f t="array" ref="T1144">_xlfn.IFS(O1144&lt;18200, "Low", O1144&lt;=50000, "Medium", O1144&gt;50000, "High")</f>
        <v>Low</v>
      </c>
    </row>
    <row r="1145" spans="1:20" x14ac:dyDescent="0.25">
      <c r="A1145" s="2">
        <v>2012</v>
      </c>
      <c r="B1145" s="1" t="s">
        <v>98</v>
      </c>
      <c r="C1145" s="1" t="s">
        <v>99</v>
      </c>
      <c r="D1145" s="1" t="s">
        <v>348</v>
      </c>
      <c r="E1145" s="1" t="s">
        <v>32</v>
      </c>
      <c r="F1145" s="1" t="s">
        <v>20</v>
      </c>
      <c r="G1145" s="1" t="s">
        <v>1831</v>
      </c>
      <c r="H1145" s="1" t="s">
        <v>22</v>
      </c>
      <c r="I1145" s="1">
        <v>43</v>
      </c>
      <c r="J1145" s="1">
        <v>27949</v>
      </c>
      <c r="K1145" s="1" t="s">
        <v>24</v>
      </c>
      <c r="L1145" s="1" t="s">
        <v>82</v>
      </c>
      <c r="M1145" s="1" t="s">
        <v>350</v>
      </c>
      <c r="N1145" s="1">
        <v>11550</v>
      </c>
      <c r="O1145" s="12">
        <v>12900</v>
      </c>
      <c r="P1145" s="3" t="s">
        <v>84</v>
      </c>
      <c r="Q1145" s="1" cm="1">
        <f t="array" ref="Q1145">VALUE(INDEX(_xlfn.TEXTSPLIT(P1145, " "), 4))</f>
        <v>2014</v>
      </c>
      <c r="R1145" s="1" t="str">
        <f t="shared" si="17"/>
        <v>Hyundai Sonata GLS</v>
      </c>
      <c r="S1145" s="1" t="str" cm="1">
        <f t="array" ref="S1145">_xlfn.IFS(I1145 &gt;= 40, "High", I1145&gt;=20, "Medium", I1145&lt;20, "Low")</f>
        <v>High</v>
      </c>
      <c r="T1145" s="1" t="str" cm="1">
        <f t="array" ref="T1145">_xlfn.IFS(O1145&lt;18200, "Low", O1145&lt;=50000, "Medium", O1145&gt;50000, "High")</f>
        <v>Low</v>
      </c>
    </row>
    <row r="1146" spans="1:20" x14ac:dyDescent="0.25">
      <c r="A1146" s="2">
        <v>2012</v>
      </c>
      <c r="B1146" s="1" t="s">
        <v>98</v>
      </c>
      <c r="C1146" s="1" t="s">
        <v>340</v>
      </c>
      <c r="D1146" s="1">
        <v>3.8</v>
      </c>
      <c r="E1146" s="1" t="s">
        <v>32</v>
      </c>
      <c r="F1146" s="1" t="s">
        <v>20</v>
      </c>
      <c r="G1146" s="1" t="s">
        <v>1832</v>
      </c>
      <c r="H1146" s="1" t="s">
        <v>22</v>
      </c>
      <c r="I1146" s="1">
        <v>35</v>
      </c>
      <c r="J1146" s="1">
        <v>44190</v>
      </c>
      <c r="K1146" s="1" t="s">
        <v>73</v>
      </c>
      <c r="L1146" s="1" t="s">
        <v>28</v>
      </c>
      <c r="M1146" s="1" t="s">
        <v>350</v>
      </c>
      <c r="N1146" s="1">
        <v>15850</v>
      </c>
      <c r="O1146" s="12">
        <v>15000</v>
      </c>
      <c r="P1146" s="3" t="s">
        <v>84</v>
      </c>
      <c r="Q1146" s="1" cm="1">
        <f t="array" ref="Q1146">VALUE(INDEX(_xlfn.TEXTSPLIT(P1146, " "), 4))</f>
        <v>2014</v>
      </c>
      <c r="R1146" s="1" t="str">
        <f t="shared" si="17"/>
        <v>Hyundai Genesis 3.8</v>
      </c>
      <c r="S1146" s="1" t="str" cm="1">
        <f t="array" ref="S1146">_xlfn.IFS(I1146 &gt;= 40, "High", I1146&gt;=20, "Medium", I1146&lt;20, "Low")</f>
        <v>Medium</v>
      </c>
      <c r="T1146" s="1" t="str" cm="1">
        <f t="array" ref="T1146">_xlfn.IFS(O1146&lt;18200, "Low", O1146&lt;=50000, "Medium", O1146&gt;50000, "High")</f>
        <v>Low</v>
      </c>
    </row>
    <row r="1147" spans="1:20" x14ac:dyDescent="0.25">
      <c r="A1147" s="2">
        <v>2012</v>
      </c>
      <c r="B1147" s="1" t="s">
        <v>1806</v>
      </c>
      <c r="C1147" s="1" t="s">
        <v>1833</v>
      </c>
      <c r="D1147" s="1" t="s">
        <v>368</v>
      </c>
      <c r="E1147" s="1" t="s">
        <v>227</v>
      </c>
      <c r="F1147" s="1" t="s">
        <v>214</v>
      </c>
      <c r="G1147" s="1" t="s">
        <v>1834</v>
      </c>
      <c r="H1147" s="1" t="s">
        <v>22</v>
      </c>
      <c r="I1147" s="1">
        <v>2</v>
      </c>
      <c r="J1147" s="1">
        <v>80733</v>
      </c>
      <c r="K1147" s="1" t="s">
        <v>24</v>
      </c>
      <c r="L1147" s="1" t="s">
        <v>24</v>
      </c>
      <c r="M1147" s="1" t="s">
        <v>1266</v>
      </c>
      <c r="N1147" s="1">
        <v>9600</v>
      </c>
      <c r="O1147" s="12">
        <v>7000</v>
      </c>
      <c r="P1147" s="3" t="s">
        <v>915</v>
      </c>
      <c r="Q1147" s="1" cm="1">
        <f t="array" ref="Q1147">VALUE(INDEX(_xlfn.TEXTSPLIT(P1147, " "), 4))</f>
        <v>2015</v>
      </c>
      <c r="R1147" s="1" t="str">
        <f t="shared" si="17"/>
        <v>Honda Fit Sport</v>
      </c>
      <c r="S1147" s="1" t="str" cm="1">
        <f t="array" ref="S1147">_xlfn.IFS(I1147 &gt;= 40, "High", I1147&gt;=20, "Medium", I1147&lt;20, "Low")</f>
        <v>Low</v>
      </c>
      <c r="T1147" s="1" t="str" cm="1">
        <f t="array" ref="T1147">_xlfn.IFS(O1147&lt;18200, "Low", O1147&lt;=50000, "Medium", O1147&gt;50000, "High")</f>
        <v>Low</v>
      </c>
    </row>
    <row r="1148" spans="1:20" x14ac:dyDescent="0.25">
      <c r="A1148" s="2">
        <v>2012</v>
      </c>
      <c r="B1148" s="1" t="s">
        <v>98</v>
      </c>
      <c r="C1148" s="1" t="s">
        <v>99</v>
      </c>
      <c r="D1148" s="1" t="s">
        <v>348</v>
      </c>
      <c r="E1148" s="1" t="s">
        <v>32</v>
      </c>
      <c r="F1148" s="1" t="s">
        <v>20</v>
      </c>
      <c r="G1148" s="1" t="s">
        <v>1835</v>
      </c>
      <c r="H1148" s="1" t="s">
        <v>22</v>
      </c>
      <c r="I1148" s="1">
        <v>38</v>
      </c>
      <c r="J1148" s="1">
        <v>34363</v>
      </c>
      <c r="K1148" s="1" t="s">
        <v>23</v>
      </c>
      <c r="L1148" s="1" t="s">
        <v>28</v>
      </c>
      <c r="M1148" s="1" t="s">
        <v>350</v>
      </c>
      <c r="N1148" s="1">
        <v>11700</v>
      </c>
      <c r="O1148" s="12">
        <v>11700</v>
      </c>
      <c r="P1148" s="3" t="s">
        <v>365</v>
      </c>
      <c r="Q1148" s="1" cm="1">
        <f t="array" ref="Q1148">VALUE(INDEX(_xlfn.TEXTSPLIT(P1148, " "), 4))</f>
        <v>2015</v>
      </c>
      <c r="R1148" s="1" t="str">
        <f t="shared" si="17"/>
        <v>Hyundai Sonata GLS</v>
      </c>
      <c r="S1148" s="1" t="str" cm="1">
        <f t="array" ref="S1148">_xlfn.IFS(I1148 &gt;= 40, "High", I1148&gt;=20, "Medium", I1148&lt;20, "Low")</f>
        <v>Medium</v>
      </c>
      <c r="T1148" s="1" t="str" cm="1">
        <f t="array" ref="T1148">_xlfn.IFS(O1148&lt;18200, "Low", O1148&lt;=50000, "Medium", O1148&gt;50000, "High")</f>
        <v>Low</v>
      </c>
    </row>
    <row r="1149" spans="1:20" x14ac:dyDescent="0.25">
      <c r="A1149" s="2">
        <v>2012</v>
      </c>
      <c r="B1149" s="1" t="s">
        <v>1806</v>
      </c>
      <c r="C1149" s="1" t="s">
        <v>1807</v>
      </c>
      <c r="D1149" s="1" t="s">
        <v>18</v>
      </c>
      <c r="E1149" s="1" t="s">
        <v>32</v>
      </c>
      <c r="F1149" s="1" t="s">
        <v>20</v>
      </c>
      <c r="G1149" s="1" t="s">
        <v>1836</v>
      </c>
      <c r="H1149" s="1" t="s">
        <v>22</v>
      </c>
      <c r="I1149" s="1">
        <v>25</v>
      </c>
      <c r="J1149" s="1">
        <v>20370</v>
      </c>
      <c r="K1149" s="1" t="s">
        <v>91</v>
      </c>
      <c r="L1149" s="1" t="s">
        <v>34</v>
      </c>
      <c r="M1149" s="1" t="s">
        <v>1327</v>
      </c>
      <c r="N1149" s="1">
        <v>12550</v>
      </c>
      <c r="O1149" s="12">
        <v>12200</v>
      </c>
      <c r="P1149" s="3" t="s">
        <v>68</v>
      </c>
      <c r="Q1149" s="1" cm="1">
        <f t="array" ref="Q1149">VALUE(INDEX(_xlfn.TEXTSPLIT(P1149, " "), 4))</f>
        <v>2014</v>
      </c>
      <c r="R1149" s="1" t="str">
        <f t="shared" si="17"/>
        <v>Honda Accord LX</v>
      </c>
      <c r="S1149" s="1" t="str" cm="1">
        <f t="array" ref="S1149">_xlfn.IFS(I1149 &gt;= 40, "High", I1149&gt;=20, "Medium", I1149&lt;20, "Low")</f>
        <v>Medium</v>
      </c>
      <c r="T1149" s="1" t="str" cm="1">
        <f t="array" ref="T1149">_xlfn.IFS(O1149&lt;18200, "Low", O1149&lt;=50000, "Medium", O1149&gt;50000, "High")</f>
        <v>Low</v>
      </c>
    </row>
    <row r="1150" spans="1:20" x14ac:dyDescent="0.25">
      <c r="A1150" s="2">
        <v>2012</v>
      </c>
      <c r="B1150" s="1" t="s">
        <v>1806</v>
      </c>
      <c r="C1150" s="1" t="s">
        <v>1837</v>
      </c>
      <c r="D1150" s="1" t="s">
        <v>18</v>
      </c>
      <c r="E1150" s="1" t="s">
        <v>19</v>
      </c>
      <c r="F1150" s="1" t="s">
        <v>20</v>
      </c>
      <c r="G1150" s="1" t="s">
        <v>1838</v>
      </c>
      <c r="H1150" s="1" t="s">
        <v>22</v>
      </c>
      <c r="I1150" s="1">
        <v>19</v>
      </c>
      <c r="J1150" s="1">
        <v>31884</v>
      </c>
      <c r="K1150" s="1" t="s">
        <v>34</v>
      </c>
      <c r="L1150" s="1" t="s">
        <v>34</v>
      </c>
      <c r="M1150" s="1" t="s">
        <v>1327</v>
      </c>
      <c r="N1150" s="1">
        <v>18100</v>
      </c>
      <c r="O1150" s="12">
        <v>13900</v>
      </c>
      <c r="P1150" s="3" t="s">
        <v>68</v>
      </c>
      <c r="Q1150" s="1" cm="1">
        <f t="array" ref="Q1150">VALUE(INDEX(_xlfn.TEXTSPLIT(P1150, " "), 4))</f>
        <v>2014</v>
      </c>
      <c r="R1150" s="1" t="str">
        <f t="shared" si="17"/>
        <v>Honda Pilot LX</v>
      </c>
      <c r="S1150" s="1" t="str" cm="1">
        <f t="array" ref="S1150">_xlfn.IFS(I1150 &gt;= 40, "High", I1150&gt;=20, "Medium", I1150&lt;20, "Low")</f>
        <v>Low</v>
      </c>
      <c r="T1150" s="1" t="str" cm="1">
        <f t="array" ref="T1150">_xlfn.IFS(O1150&lt;18200, "Low", O1150&lt;=50000, "Medium", O1150&gt;50000, "High")</f>
        <v>Low</v>
      </c>
    </row>
    <row r="1151" spans="1:20" x14ac:dyDescent="0.25">
      <c r="A1151" s="2">
        <v>2012</v>
      </c>
      <c r="B1151" s="1" t="s">
        <v>98</v>
      </c>
      <c r="C1151" s="1" t="s">
        <v>99</v>
      </c>
      <c r="D1151" s="1" t="s">
        <v>337</v>
      </c>
      <c r="E1151" s="1" t="s">
        <v>32</v>
      </c>
      <c r="F1151" s="1" t="s">
        <v>20</v>
      </c>
      <c r="G1151" s="1" t="s">
        <v>1839</v>
      </c>
      <c r="H1151" s="1" t="s">
        <v>22</v>
      </c>
      <c r="I1151" s="1">
        <v>44</v>
      </c>
      <c r="J1151" s="1">
        <v>32160</v>
      </c>
      <c r="K1151" s="1" t="s">
        <v>23</v>
      </c>
      <c r="L1151" s="1" t="s">
        <v>24</v>
      </c>
      <c r="M1151" s="1" t="s">
        <v>350</v>
      </c>
      <c r="N1151" s="1">
        <v>15850</v>
      </c>
      <c r="O1151" s="12">
        <v>16700</v>
      </c>
      <c r="P1151" s="3" t="s">
        <v>84</v>
      </c>
      <c r="Q1151" s="1" cm="1">
        <f t="array" ref="Q1151">VALUE(INDEX(_xlfn.TEXTSPLIT(P1151, " "), 4))</f>
        <v>2014</v>
      </c>
      <c r="R1151" s="1" t="str">
        <f t="shared" si="17"/>
        <v>Hyundai Sonata Limited</v>
      </c>
      <c r="S1151" s="1" t="str" cm="1">
        <f t="array" ref="S1151">_xlfn.IFS(I1151 &gt;= 40, "High", I1151&gt;=20, "Medium", I1151&lt;20, "Low")</f>
        <v>High</v>
      </c>
      <c r="T1151" s="1" t="str" cm="1">
        <f t="array" ref="T1151">_xlfn.IFS(O1151&lt;18200, "Low", O1151&lt;=50000, "Medium", O1151&gt;50000, "High")</f>
        <v>Low</v>
      </c>
    </row>
    <row r="1152" spans="1:20" x14ac:dyDescent="0.25">
      <c r="A1152" s="2">
        <v>2012</v>
      </c>
      <c r="B1152" s="1" t="s">
        <v>1806</v>
      </c>
      <c r="C1152" s="1" t="s">
        <v>1840</v>
      </c>
      <c r="D1152" s="1" t="s">
        <v>18</v>
      </c>
      <c r="E1152" s="1" t="s">
        <v>738</v>
      </c>
      <c r="F1152" s="1" t="s">
        <v>20</v>
      </c>
      <c r="G1152" s="1" t="s">
        <v>1841</v>
      </c>
      <c r="H1152" s="1" t="s">
        <v>22</v>
      </c>
      <c r="I1152" s="1">
        <v>39</v>
      </c>
      <c r="J1152" s="1">
        <v>38076</v>
      </c>
      <c r="K1152" s="1" t="s">
        <v>34</v>
      </c>
      <c r="L1152" s="1" t="s">
        <v>34</v>
      </c>
      <c r="M1152" s="1" t="s">
        <v>1266</v>
      </c>
      <c r="N1152" s="1">
        <v>15150</v>
      </c>
      <c r="O1152" s="12">
        <v>17400</v>
      </c>
      <c r="P1152" s="3" t="s">
        <v>68</v>
      </c>
      <c r="Q1152" s="1" cm="1">
        <f t="array" ref="Q1152">VALUE(INDEX(_xlfn.TEXTSPLIT(P1152, " "), 4))</f>
        <v>2014</v>
      </c>
      <c r="R1152" s="1" t="str">
        <f t="shared" si="17"/>
        <v>Honda Odyssey LX</v>
      </c>
      <c r="S1152" s="1" t="str" cm="1">
        <f t="array" ref="S1152">_xlfn.IFS(I1152 &gt;= 40, "High", I1152&gt;=20, "Medium", I1152&lt;20, "Low")</f>
        <v>Medium</v>
      </c>
      <c r="T1152" s="1" t="str" cm="1">
        <f t="array" ref="T1152">_xlfn.IFS(O1152&lt;18200, "Low", O1152&lt;=50000, "Medium", O1152&gt;50000, "High")</f>
        <v>Low</v>
      </c>
    </row>
    <row r="1153" spans="1:20" x14ac:dyDescent="0.25">
      <c r="A1153" s="2">
        <v>2012</v>
      </c>
      <c r="B1153" s="1" t="s">
        <v>1806</v>
      </c>
      <c r="C1153" s="1" t="s">
        <v>1829</v>
      </c>
      <c r="D1153" s="1" t="s">
        <v>735</v>
      </c>
      <c r="E1153" s="1" t="s">
        <v>32</v>
      </c>
      <c r="F1153" s="1" t="s">
        <v>20</v>
      </c>
      <c r="G1153" s="1" t="s">
        <v>1842</v>
      </c>
      <c r="H1153" s="1" t="s">
        <v>22</v>
      </c>
      <c r="I1153" s="1">
        <v>24</v>
      </c>
      <c r="J1153" s="1">
        <v>47076</v>
      </c>
      <c r="K1153" s="1" t="s">
        <v>23</v>
      </c>
      <c r="L1153" s="1" t="s">
        <v>34</v>
      </c>
      <c r="M1153" s="1" t="s">
        <v>1327</v>
      </c>
      <c r="N1153" s="1">
        <v>11550</v>
      </c>
      <c r="O1153" s="12">
        <v>10600</v>
      </c>
      <c r="P1153" s="3" t="s">
        <v>68</v>
      </c>
      <c r="Q1153" s="1" cm="1">
        <f t="array" ref="Q1153">VALUE(INDEX(_xlfn.TEXTSPLIT(P1153, " "), 4))</f>
        <v>2014</v>
      </c>
      <c r="R1153" s="1" t="str">
        <f t="shared" si="17"/>
        <v>Honda Civic EX</v>
      </c>
      <c r="S1153" s="1" t="str" cm="1">
        <f t="array" ref="S1153">_xlfn.IFS(I1153 &gt;= 40, "High", I1153&gt;=20, "Medium", I1153&lt;20, "Low")</f>
        <v>Medium</v>
      </c>
      <c r="T1153" s="1" t="str" cm="1">
        <f t="array" ref="T1153">_xlfn.IFS(O1153&lt;18200, "Low", O1153&lt;=50000, "Medium", O1153&gt;50000, "High")</f>
        <v>Low</v>
      </c>
    </row>
    <row r="1154" spans="1:20" x14ac:dyDescent="0.25">
      <c r="A1154" s="2">
        <v>2012</v>
      </c>
      <c r="B1154" s="1" t="s">
        <v>85</v>
      </c>
      <c r="C1154" s="1" t="s">
        <v>86</v>
      </c>
      <c r="D1154" s="1" t="s">
        <v>87</v>
      </c>
      <c r="E1154" s="1" t="s">
        <v>32</v>
      </c>
      <c r="F1154" s="1" t="s">
        <v>20</v>
      </c>
      <c r="G1154" s="1" t="s">
        <v>1843</v>
      </c>
      <c r="H1154" s="1" t="s">
        <v>22</v>
      </c>
      <c r="I1154" s="1">
        <v>35</v>
      </c>
      <c r="J1154" s="1">
        <v>58023</v>
      </c>
      <c r="K1154" s="1" t="s">
        <v>91</v>
      </c>
      <c r="L1154" s="1" t="s">
        <v>34</v>
      </c>
      <c r="M1154" s="1" t="s">
        <v>1089</v>
      </c>
      <c r="N1154" s="1">
        <v>9875</v>
      </c>
      <c r="O1154" s="12">
        <v>10500</v>
      </c>
      <c r="P1154" s="3" t="s">
        <v>84</v>
      </c>
      <c r="Q1154" s="1" cm="1">
        <f t="array" ref="Q1154">VALUE(INDEX(_xlfn.TEXTSPLIT(P1154, " "), 4))</f>
        <v>2014</v>
      </c>
      <c r="R1154" s="1" t="str">
        <f t="shared" si="17"/>
        <v>Ford Fusion SE</v>
      </c>
      <c r="S1154" s="1" t="str" cm="1">
        <f t="array" ref="S1154">_xlfn.IFS(I1154 &gt;= 40, "High", I1154&gt;=20, "Medium", I1154&lt;20, "Low")</f>
        <v>Medium</v>
      </c>
      <c r="T1154" s="1" t="str" cm="1">
        <f t="array" ref="T1154">_xlfn.IFS(O1154&lt;18200, "Low", O1154&lt;=50000, "Medium", O1154&gt;50000, "High")</f>
        <v>Low</v>
      </c>
    </row>
    <row r="1155" spans="1:20" x14ac:dyDescent="0.25">
      <c r="A1155" s="2">
        <v>2012</v>
      </c>
      <c r="B1155" s="1" t="s">
        <v>1806</v>
      </c>
      <c r="C1155" s="1" t="s">
        <v>1829</v>
      </c>
      <c r="D1155" s="1" t="s">
        <v>18</v>
      </c>
      <c r="E1155" s="1" t="s">
        <v>32</v>
      </c>
      <c r="F1155" s="1" t="s">
        <v>20</v>
      </c>
      <c r="G1155" s="1" t="s">
        <v>1844</v>
      </c>
      <c r="H1155" s="1" t="s">
        <v>22</v>
      </c>
      <c r="I1155" s="1">
        <v>42</v>
      </c>
      <c r="J1155" s="1">
        <v>28391</v>
      </c>
      <c r="K1155" s="1" t="s">
        <v>23</v>
      </c>
      <c r="L1155" s="1" t="s">
        <v>34</v>
      </c>
      <c r="M1155" s="1" t="s">
        <v>1327</v>
      </c>
      <c r="N1155" s="1">
        <v>11500</v>
      </c>
      <c r="O1155" s="12">
        <v>13000</v>
      </c>
      <c r="P1155" s="3" t="s">
        <v>68</v>
      </c>
      <c r="Q1155" s="1" cm="1">
        <f t="array" ref="Q1155">VALUE(INDEX(_xlfn.TEXTSPLIT(P1155, " "), 4))</f>
        <v>2014</v>
      </c>
      <c r="R1155" s="1" t="str">
        <f t="shared" ref="R1155:R1218" si="18">_xlfn.TEXTJOIN(" ", TRUE, B1155, C1155, D1155)</f>
        <v>Honda Civic LX</v>
      </c>
      <c r="S1155" s="1" t="str" cm="1">
        <f t="array" ref="S1155">_xlfn.IFS(I1155 &gt;= 40, "High", I1155&gt;=20, "Medium", I1155&lt;20, "Low")</f>
        <v>High</v>
      </c>
      <c r="T1155" s="1" t="str" cm="1">
        <f t="array" ref="T1155">_xlfn.IFS(O1155&lt;18200, "Low", O1155&lt;=50000, "Medium", O1155&gt;50000, "High")</f>
        <v>Low</v>
      </c>
    </row>
    <row r="1156" spans="1:20" x14ac:dyDescent="0.25">
      <c r="A1156" s="2">
        <v>2012</v>
      </c>
      <c r="B1156" s="1" t="s">
        <v>1806</v>
      </c>
      <c r="C1156" s="1" t="s">
        <v>1829</v>
      </c>
      <c r="D1156" s="1" t="s">
        <v>18</v>
      </c>
      <c r="E1156" s="1" t="s">
        <v>32</v>
      </c>
      <c r="F1156" s="1" t="s">
        <v>20</v>
      </c>
      <c r="G1156" s="1" t="s">
        <v>1845</v>
      </c>
      <c r="H1156" s="1" t="s">
        <v>22</v>
      </c>
      <c r="I1156" s="1">
        <v>19</v>
      </c>
      <c r="J1156" s="1">
        <v>63540</v>
      </c>
      <c r="K1156" s="1" t="s">
        <v>34</v>
      </c>
      <c r="L1156" s="1" t="s">
        <v>34</v>
      </c>
      <c r="M1156" s="1" t="s">
        <v>1327</v>
      </c>
      <c r="N1156" s="1">
        <v>9825</v>
      </c>
      <c r="O1156" s="12">
        <v>4300</v>
      </c>
      <c r="P1156" s="3" t="s">
        <v>68</v>
      </c>
      <c r="Q1156" s="1" cm="1">
        <f t="array" ref="Q1156">VALUE(INDEX(_xlfn.TEXTSPLIT(P1156, " "), 4))</f>
        <v>2014</v>
      </c>
      <c r="R1156" s="1" t="str">
        <f t="shared" si="18"/>
        <v>Honda Civic LX</v>
      </c>
      <c r="S1156" s="1" t="str" cm="1">
        <f t="array" ref="S1156">_xlfn.IFS(I1156 &gt;= 40, "High", I1156&gt;=20, "Medium", I1156&lt;20, "Low")</f>
        <v>Low</v>
      </c>
      <c r="T1156" s="1" t="str" cm="1">
        <f t="array" ref="T1156">_xlfn.IFS(O1156&lt;18200, "Low", O1156&lt;=50000, "Medium", O1156&gt;50000, "High")</f>
        <v>Low</v>
      </c>
    </row>
    <row r="1157" spans="1:20" x14ac:dyDescent="0.25">
      <c r="A1157" s="2">
        <v>2012</v>
      </c>
      <c r="B1157" s="1" t="s">
        <v>85</v>
      </c>
      <c r="C1157" s="1" t="s">
        <v>1819</v>
      </c>
      <c r="D1157" s="1" t="s">
        <v>1196</v>
      </c>
      <c r="E1157" s="1" t="s">
        <v>71</v>
      </c>
      <c r="F1157" s="1"/>
      <c r="G1157" s="1" t="s">
        <v>1846</v>
      </c>
      <c r="H1157" s="1" t="s">
        <v>22</v>
      </c>
      <c r="I1157" s="1">
        <v>37</v>
      </c>
      <c r="J1157" s="1">
        <v>48023</v>
      </c>
      <c r="K1157" s="1" t="s">
        <v>94</v>
      </c>
      <c r="L1157" s="1" t="s">
        <v>34</v>
      </c>
      <c r="M1157" s="1" t="s">
        <v>431</v>
      </c>
      <c r="N1157" s="1">
        <v>11600</v>
      </c>
      <c r="O1157" s="12">
        <v>11800</v>
      </c>
      <c r="P1157" s="3" t="s">
        <v>270</v>
      </c>
      <c r="Q1157" s="1" cm="1">
        <f t="array" ref="Q1157">VALUE(INDEX(_xlfn.TEXTSPLIT(P1157, " "), 4))</f>
        <v>2014</v>
      </c>
      <c r="R1157" s="1" t="str">
        <f t="shared" si="18"/>
        <v>Ford Mustang V6</v>
      </c>
      <c r="S1157" s="1" t="str" cm="1">
        <f t="array" ref="S1157">_xlfn.IFS(I1157 &gt;= 40, "High", I1157&gt;=20, "Medium", I1157&lt;20, "Low")</f>
        <v>Medium</v>
      </c>
      <c r="T1157" s="1" t="str" cm="1">
        <f t="array" ref="T1157">_xlfn.IFS(O1157&lt;18200, "Low", O1157&lt;=50000, "Medium", O1157&gt;50000, "High")</f>
        <v>Low</v>
      </c>
    </row>
    <row r="1158" spans="1:20" x14ac:dyDescent="0.25">
      <c r="A1158" s="2">
        <v>2012</v>
      </c>
      <c r="B1158" s="1" t="s">
        <v>1806</v>
      </c>
      <c r="C1158" s="1" t="s">
        <v>1829</v>
      </c>
      <c r="D1158" s="1" t="s">
        <v>18</v>
      </c>
      <c r="E1158" s="1" t="s">
        <v>32</v>
      </c>
      <c r="F1158" s="1" t="s">
        <v>20</v>
      </c>
      <c r="G1158" s="1" t="s">
        <v>1847</v>
      </c>
      <c r="H1158" s="1" t="s">
        <v>22</v>
      </c>
      <c r="I1158" s="1">
        <v>39</v>
      </c>
      <c r="J1158" s="1">
        <v>38131</v>
      </c>
      <c r="K1158" s="1" t="s">
        <v>23</v>
      </c>
      <c r="L1158" s="1" t="s">
        <v>34</v>
      </c>
      <c r="M1158" s="1" t="s">
        <v>1327</v>
      </c>
      <c r="N1158" s="1">
        <v>11050</v>
      </c>
      <c r="O1158" s="12">
        <v>12200</v>
      </c>
      <c r="P1158" s="3" t="s">
        <v>68</v>
      </c>
      <c r="Q1158" s="1" cm="1">
        <f t="array" ref="Q1158">VALUE(INDEX(_xlfn.TEXTSPLIT(P1158, " "), 4))</f>
        <v>2014</v>
      </c>
      <c r="R1158" s="1" t="str">
        <f t="shared" si="18"/>
        <v>Honda Civic LX</v>
      </c>
      <c r="S1158" s="1" t="str" cm="1">
        <f t="array" ref="S1158">_xlfn.IFS(I1158 &gt;= 40, "High", I1158&gt;=20, "Medium", I1158&lt;20, "Low")</f>
        <v>Medium</v>
      </c>
      <c r="T1158" s="1" t="str" cm="1">
        <f t="array" ref="T1158">_xlfn.IFS(O1158&lt;18200, "Low", O1158&lt;=50000, "Medium", O1158&gt;50000, "High")</f>
        <v>Low</v>
      </c>
    </row>
    <row r="1159" spans="1:20" x14ac:dyDescent="0.25">
      <c r="A1159" s="2">
        <v>2012</v>
      </c>
      <c r="B1159" s="1" t="s">
        <v>1806</v>
      </c>
      <c r="C1159" s="1" t="s">
        <v>1829</v>
      </c>
      <c r="D1159" s="1" t="s">
        <v>18</v>
      </c>
      <c r="E1159" s="1" t="s">
        <v>32</v>
      </c>
      <c r="F1159" s="1" t="s">
        <v>20</v>
      </c>
      <c r="G1159" s="1" t="s">
        <v>1848</v>
      </c>
      <c r="H1159" s="1" t="s">
        <v>22</v>
      </c>
      <c r="I1159" s="1">
        <v>34</v>
      </c>
      <c r="J1159" s="1">
        <v>35782</v>
      </c>
      <c r="K1159" s="1" t="s">
        <v>24</v>
      </c>
      <c r="L1159" s="1" t="s">
        <v>34</v>
      </c>
      <c r="M1159" s="1" t="s">
        <v>56</v>
      </c>
      <c r="N1159" s="1">
        <v>11150</v>
      </c>
      <c r="O1159" s="12">
        <v>12100</v>
      </c>
      <c r="P1159" s="3" t="s">
        <v>270</v>
      </c>
      <c r="Q1159" s="1" cm="1">
        <f t="array" ref="Q1159">VALUE(INDEX(_xlfn.TEXTSPLIT(P1159, " "), 4))</f>
        <v>2014</v>
      </c>
      <c r="R1159" s="1" t="str">
        <f t="shared" si="18"/>
        <v>Honda Civic LX</v>
      </c>
      <c r="S1159" s="1" t="str" cm="1">
        <f t="array" ref="S1159">_xlfn.IFS(I1159 &gt;= 40, "High", I1159&gt;=20, "Medium", I1159&lt;20, "Low")</f>
        <v>Medium</v>
      </c>
      <c r="T1159" s="1" t="str" cm="1">
        <f t="array" ref="T1159">_xlfn.IFS(O1159&lt;18200, "Low", O1159&lt;=50000, "Medium", O1159&gt;50000, "High")</f>
        <v>Low</v>
      </c>
    </row>
    <row r="1160" spans="1:20" x14ac:dyDescent="0.25">
      <c r="A1160" s="2">
        <v>2012</v>
      </c>
      <c r="B1160" s="1" t="s">
        <v>85</v>
      </c>
      <c r="C1160" s="1" t="s">
        <v>86</v>
      </c>
      <c r="D1160" s="1" t="s">
        <v>1518</v>
      </c>
      <c r="E1160" s="1" t="s">
        <v>32</v>
      </c>
      <c r="F1160" s="1" t="s">
        <v>20</v>
      </c>
      <c r="G1160" s="1" t="s">
        <v>1849</v>
      </c>
      <c r="H1160" s="1" t="s">
        <v>22</v>
      </c>
      <c r="I1160" s="1">
        <v>37</v>
      </c>
      <c r="J1160" s="1">
        <v>70151</v>
      </c>
      <c r="K1160" s="1" t="s">
        <v>24</v>
      </c>
      <c r="L1160" s="1" t="s">
        <v>34</v>
      </c>
      <c r="M1160" s="1" t="s">
        <v>431</v>
      </c>
      <c r="N1160" s="1">
        <v>9700</v>
      </c>
      <c r="O1160" s="12">
        <v>9500</v>
      </c>
      <c r="P1160" s="3" t="s">
        <v>57</v>
      </c>
      <c r="Q1160" s="1" cm="1">
        <f t="array" ref="Q1160">VALUE(INDEX(_xlfn.TEXTSPLIT(P1160, " "), 4))</f>
        <v>2014</v>
      </c>
      <c r="R1160" s="1" t="str">
        <f t="shared" si="18"/>
        <v>Ford Fusion SEL</v>
      </c>
      <c r="S1160" s="1" t="str" cm="1">
        <f t="array" ref="S1160">_xlfn.IFS(I1160 &gt;= 40, "High", I1160&gt;=20, "Medium", I1160&lt;20, "Low")</f>
        <v>Medium</v>
      </c>
      <c r="T1160" s="1" t="str" cm="1">
        <f t="array" ref="T1160">_xlfn.IFS(O1160&lt;18200, "Low", O1160&lt;=50000, "Medium", O1160&gt;50000, "High")</f>
        <v>Low</v>
      </c>
    </row>
    <row r="1161" spans="1:20" x14ac:dyDescent="0.25">
      <c r="A1161" s="2">
        <v>2012</v>
      </c>
      <c r="B1161" s="1" t="s">
        <v>98</v>
      </c>
      <c r="C1161" s="1" t="s">
        <v>219</v>
      </c>
      <c r="D1161" s="1" t="s">
        <v>348</v>
      </c>
      <c r="E1161" s="1" t="s">
        <v>32</v>
      </c>
      <c r="F1161" s="1" t="s">
        <v>20</v>
      </c>
      <c r="G1161" s="1" t="s">
        <v>1850</v>
      </c>
      <c r="H1161" s="1" t="s">
        <v>22</v>
      </c>
      <c r="I1161" s="1">
        <v>28</v>
      </c>
      <c r="J1161" s="1">
        <v>33305</v>
      </c>
      <c r="K1161" s="1" t="s">
        <v>23</v>
      </c>
      <c r="L1161" s="1" t="s">
        <v>28</v>
      </c>
      <c r="M1161" s="1" t="s">
        <v>350</v>
      </c>
      <c r="N1161" s="1">
        <v>10400</v>
      </c>
      <c r="O1161" s="12">
        <v>9700</v>
      </c>
      <c r="P1161" s="3" t="s">
        <v>593</v>
      </c>
      <c r="Q1161" s="1" cm="1">
        <f t="array" ref="Q1161">VALUE(INDEX(_xlfn.TEXTSPLIT(P1161, " "), 4))</f>
        <v>2015</v>
      </c>
      <c r="R1161" s="1" t="str">
        <f t="shared" si="18"/>
        <v>Hyundai Elantra GLS</v>
      </c>
      <c r="S1161" s="1" t="str" cm="1">
        <f t="array" ref="S1161">_xlfn.IFS(I1161 &gt;= 40, "High", I1161&gt;=20, "Medium", I1161&lt;20, "Low")</f>
        <v>Medium</v>
      </c>
      <c r="T1161" s="1" t="str" cm="1">
        <f t="array" ref="T1161">_xlfn.IFS(O1161&lt;18200, "Low", O1161&lt;=50000, "Medium", O1161&gt;50000, "High")</f>
        <v>Low</v>
      </c>
    </row>
    <row r="1162" spans="1:20" x14ac:dyDescent="0.25">
      <c r="A1162" s="2">
        <v>2012</v>
      </c>
      <c r="B1162" s="1" t="s">
        <v>85</v>
      </c>
      <c r="C1162" s="1" t="s">
        <v>86</v>
      </c>
      <c r="D1162" s="1" t="s">
        <v>1671</v>
      </c>
      <c r="E1162" s="1" t="s">
        <v>32</v>
      </c>
      <c r="F1162" s="1" t="s">
        <v>20</v>
      </c>
      <c r="G1162" s="1" t="s">
        <v>1851</v>
      </c>
      <c r="H1162" s="1" t="s">
        <v>22</v>
      </c>
      <c r="I1162" s="1">
        <v>41</v>
      </c>
      <c r="J1162" s="1">
        <v>65771</v>
      </c>
      <c r="K1162" s="1" t="s">
        <v>94</v>
      </c>
      <c r="L1162" s="1" t="s">
        <v>24</v>
      </c>
      <c r="M1162" s="1" t="s">
        <v>1747</v>
      </c>
      <c r="N1162" s="1">
        <v>11900</v>
      </c>
      <c r="O1162" s="12">
        <v>12200</v>
      </c>
      <c r="P1162" s="3" t="s">
        <v>915</v>
      </c>
      <c r="Q1162" s="1" cm="1">
        <f t="array" ref="Q1162">VALUE(INDEX(_xlfn.TEXTSPLIT(P1162, " "), 4))</f>
        <v>2015</v>
      </c>
      <c r="R1162" s="1" t="str">
        <f t="shared" si="18"/>
        <v>Ford Fusion Hybrid</v>
      </c>
      <c r="S1162" s="1" t="str" cm="1">
        <f t="array" ref="S1162">_xlfn.IFS(I1162 &gt;= 40, "High", I1162&gt;=20, "Medium", I1162&lt;20, "Low")</f>
        <v>High</v>
      </c>
      <c r="T1162" s="1" t="str" cm="1">
        <f t="array" ref="T1162">_xlfn.IFS(O1162&lt;18200, "Low", O1162&lt;=50000, "Medium", O1162&gt;50000, "High")</f>
        <v>Low</v>
      </c>
    </row>
    <row r="1163" spans="1:20" x14ac:dyDescent="0.25">
      <c r="A1163" s="2">
        <v>2012</v>
      </c>
      <c r="B1163" s="1" t="s">
        <v>1806</v>
      </c>
      <c r="C1163" s="1" t="s">
        <v>1807</v>
      </c>
      <c r="D1163" s="1" t="s">
        <v>1852</v>
      </c>
      <c r="E1163" s="1" t="s">
        <v>107</v>
      </c>
      <c r="F1163" s="1" t="s">
        <v>20</v>
      </c>
      <c r="G1163" s="1" t="s">
        <v>1853</v>
      </c>
      <c r="H1163" s="1" t="s">
        <v>22</v>
      </c>
      <c r="I1163" s="1">
        <v>42</v>
      </c>
      <c r="J1163" s="1">
        <v>33096</v>
      </c>
      <c r="K1163" s="1" t="s">
        <v>24</v>
      </c>
      <c r="L1163" s="1" t="s">
        <v>24</v>
      </c>
      <c r="M1163" s="1" t="s">
        <v>1266</v>
      </c>
      <c r="N1163" s="1">
        <v>12650</v>
      </c>
      <c r="O1163" s="12">
        <v>13600</v>
      </c>
      <c r="P1163" s="3" t="s">
        <v>68</v>
      </c>
      <c r="Q1163" s="1" cm="1">
        <f t="array" ref="Q1163">VALUE(INDEX(_xlfn.TEXTSPLIT(P1163, " "), 4))</f>
        <v>2014</v>
      </c>
      <c r="R1163" s="1" t="str">
        <f t="shared" si="18"/>
        <v>Honda Accord LX-S</v>
      </c>
      <c r="S1163" s="1" t="str" cm="1">
        <f t="array" ref="S1163">_xlfn.IFS(I1163 &gt;= 40, "High", I1163&gt;=20, "Medium", I1163&lt;20, "Low")</f>
        <v>High</v>
      </c>
      <c r="T1163" s="1" t="str" cm="1">
        <f t="array" ref="T1163">_xlfn.IFS(O1163&lt;18200, "Low", O1163&lt;=50000, "Medium", O1163&gt;50000, "High")</f>
        <v>Low</v>
      </c>
    </row>
    <row r="1164" spans="1:20" x14ac:dyDescent="0.25">
      <c r="A1164" s="2">
        <v>2012</v>
      </c>
      <c r="B1164" s="1" t="s">
        <v>98</v>
      </c>
      <c r="C1164" s="1" t="s">
        <v>444</v>
      </c>
      <c r="D1164" s="1" t="s">
        <v>348</v>
      </c>
      <c r="E1164" s="1" t="s">
        <v>19</v>
      </c>
      <c r="F1164" s="1" t="s">
        <v>20</v>
      </c>
      <c r="G1164" s="1" t="s">
        <v>1854</v>
      </c>
      <c r="H1164" s="1" t="s">
        <v>22</v>
      </c>
      <c r="I1164" s="1">
        <v>37</v>
      </c>
      <c r="J1164" s="1">
        <v>42446</v>
      </c>
      <c r="K1164" s="1" t="s">
        <v>24</v>
      </c>
      <c r="L1164" s="1" t="s">
        <v>24</v>
      </c>
      <c r="M1164" s="1" t="s">
        <v>350</v>
      </c>
      <c r="N1164" s="1">
        <v>14050</v>
      </c>
      <c r="O1164" s="12">
        <v>13500</v>
      </c>
      <c r="P1164" s="3" t="s">
        <v>84</v>
      </c>
      <c r="Q1164" s="1" cm="1">
        <f t="array" ref="Q1164">VALUE(INDEX(_xlfn.TEXTSPLIT(P1164, " "), 4))</f>
        <v>2014</v>
      </c>
      <c r="R1164" s="1" t="str">
        <f t="shared" si="18"/>
        <v>Hyundai Tucson GLS</v>
      </c>
      <c r="S1164" s="1" t="str" cm="1">
        <f t="array" ref="S1164">_xlfn.IFS(I1164 &gt;= 40, "High", I1164&gt;=20, "Medium", I1164&lt;20, "Low")</f>
        <v>Medium</v>
      </c>
      <c r="T1164" s="1" t="str" cm="1">
        <f t="array" ref="T1164">_xlfn.IFS(O1164&lt;18200, "Low", O1164&lt;=50000, "Medium", O1164&gt;50000, "High")</f>
        <v>Low</v>
      </c>
    </row>
    <row r="1165" spans="1:20" x14ac:dyDescent="0.25">
      <c r="A1165" s="2">
        <v>2012</v>
      </c>
      <c r="B1165" s="1" t="s">
        <v>98</v>
      </c>
      <c r="C1165" s="1" t="s">
        <v>363</v>
      </c>
      <c r="D1165" s="1" t="s">
        <v>54</v>
      </c>
      <c r="E1165" s="1" t="s">
        <v>32</v>
      </c>
      <c r="F1165" s="1" t="s">
        <v>20</v>
      </c>
      <c r="G1165" s="1" t="s">
        <v>1855</v>
      </c>
      <c r="H1165" s="1" t="s">
        <v>22</v>
      </c>
      <c r="I1165" s="1">
        <v>42</v>
      </c>
      <c r="J1165" s="1">
        <v>11427</v>
      </c>
      <c r="K1165" s="1" t="s">
        <v>94</v>
      </c>
      <c r="L1165" s="1" t="s">
        <v>34</v>
      </c>
      <c r="M1165" s="1" t="s">
        <v>350</v>
      </c>
      <c r="N1165" s="1">
        <v>15000</v>
      </c>
      <c r="O1165" s="12">
        <v>16400</v>
      </c>
      <c r="P1165" s="3" t="s">
        <v>84</v>
      </c>
      <c r="Q1165" s="1" cm="1">
        <f t="array" ref="Q1165">VALUE(INDEX(_xlfn.TEXTSPLIT(P1165, " "), 4))</f>
        <v>2014</v>
      </c>
      <c r="R1165" s="1" t="str">
        <f t="shared" si="18"/>
        <v>Hyundai Sonata Hybrid Base</v>
      </c>
      <c r="S1165" s="1" t="str" cm="1">
        <f t="array" ref="S1165">_xlfn.IFS(I1165 &gt;= 40, "High", I1165&gt;=20, "Medium", I1165&lt;20, "Low")</f>
        <v>High</v>
      </c>
      <c r="T1165" s="1" t="str" cm="1">
        <f t="array" ref="T1165">_xlfn.IFS(O1165&lt;18200, "Low", O1165&lt;=50000, "Medium", O1165&gt;50000, "High")</f>
        <v>Low</v>
      </c>
    </row>
    <row r="1166" spans="1:20" x14ac:dyDescent="0.25">
      <c r="A1166" s="2">
        <v>2012</v>
      </c>
      <c r="B1166" s="1" t="s">
        <v>98</v>
      </c>
      <c r="C1166" s="1" t="s">
        <v>340</v>
      </c>
      <c r="D1166" s="1">
        <v>4.5999999999999996</v>
      </c>
      <c r="E1166" s="1" t="s">
        <v>32</v>
      </c>
      <c r="F1166" s="1" t="s">
        <v>20</v>
      </c>
      <c r="G1166" s="1" t="s">
        <v>1856</v>
      </c>
      <c r="H1166" s="1" t="s">
        <v>22</v>
      </c>
      <c r="I1166" s="1">
        <v>37</v>
      </c>
      <c r="J1166" s="1">
        <v>28067</v>
      </c>
      <c r="K1166" s="1" t="s">
        <v>73</v>
      </c>
      <c r="L1166" s="1" t="s">
        <v>82</v>
      </c>
      <c r="M1166" s="1" t="s">
        <v>350</v>
      </c>
      <c r="N1166" s="1">
        <v>20600</v>
      </c>
      <c r="O1166" s="12">
        <v>19800</v>
      </c>
      <c r="P1166" s="3" t="s">
        <v>210</v>
      </c>
      <c r="Q1166" s="1" cm="1">
        <f t="array" ref="Q1166">VALUE(INDEX(_xlfn.TEXTSPLIT(P1166, " "), 4))</f>
        <v>2015</v>
      </c>
      <c r="R1166" s="1" t="str">
        <f t="shared" si="18"/>
        <v>Hyundai Genesis 4.6</v>
      </c>
      <c r="S1166" s="1" t="str" cm="1">
        <f t="array" ref="S1166">_xlfn.IFS(I1166 &gt;= 40, "High", I1166&gt;=20, "Medium", I1166&lt;20, "Low")</f>
        <v>Medium</v>
      </c>
      <c r="T1166" s="1" t="str" cm="1">
        <f t="array" ref="T1166">_xlfn.IFS(O1166&lt;18200, "Low", O1166&lt;=50000, "Medium", O1166&gt;50000, "High")</f>
        <v>Medium</v>
      </c>
    </row>
    <row r="1167" spans="1:20" x14ac:dyDescent="0.25">
      <c r="A1167" s="2">
        <v>2012</v>
      </c>
      <c r="B1167" s="1" t="s">
        <v>1806</v>
      </c>
      <c r="C1167" s="1" t="s">
        <v>1807</v>
      </c>
      <c r="D1167" s="1" t="s">
        <v>87</v>
      </c>
      <c r="E1167" s="1" t="s">
        <v>32</v>
      </c>
      <c r="F1167" s="1" t="s">
        <v>20</v>
      </c>
      <c r="G1167" s="1" t="s">
        <v>1857</v>
      </c>
      <c r="H1167" s="1" t="s">
        <v>22</v>
      </c>
      <c r="I1167" s="1">
        <v>36</v>
      </c>
      <c r="J1167" s="1">
        <v>49800</v>
      </c>
      <c r="K1167" s="1" t="s">
        <v>23</v>
      </c>
      <c r="L1167" s="1" t="s">
        <v>28</v>
      </c>
      <c r="M1167" s="1" t="s">
        <v>1266</v>
      </c>
      <c r="N1167" s="1">
        <v>12300</v>
      </c>
      <c r="O1167" s="12">
        <v>13500</v>
      </c>
      <c r="P1167" s="3" t="s">
        <v>68</v>
      </c>
      <c r="Q1167" s="1" cm="1">
        <f t="array" ref="Q1167">VALUE(INDEX(_xlfn.TEXTSPLIT(P1167, " "), 4))</f>
        <v>2014</v>
      </c>
      <c r="R1167" s="1" t="str">
        <f t="shared" si="18"/>
        <v>Honda Accord SE</v>
      </c>
      <c r="S1167" s="1" t="str" cm="1">
        <f t="array" ref="S1167">_xlfn.IFS(I1167 &gt;= 40, "High", I1167&gt;=20, "Medium", I1167&lt;20, "Low")</f>
        <v>Medium</v>
      </c>
      <c r="T1167" s="1" t="str" cm="1">
        <f t="array" ref="T1167">_xlfn.IFS(O1167&lt;18200, "Low", O1167&lt;=50000, "Medium", O1167&gt;50000, "High")</f>
        <v>Low</v>
      </c>
    </row>
    <row r="1168" spans="1:20" x14ac:dyDescent="0.25">
      <c r="A1168" s="2">
        <v>2012</v>
      </c>
      <c r="B1168" s="1" t="s">
        <v>98</v>
      </c>
      <c r="C1168" s="1" t="s">
        <v>99</v>
      </c>
      <c r="D1168" s="1" t="s">
        <v>348</v>
      </c>
      <c r="E1168" s="1" t="s">
        <v>32</v>
      </c>
      <c r="F1168" s="1" t="s">
        <v>20</v>
      </c>
      <c r="G1168" s="1" t="s">
        <v>1858</v>
      </c>
      <c r="H1168" s="1" t="s">
        <v>22</v>
      </c>
      <c r="I1168" s="1">
        <v>41</v>
      </c>
      <c r="J1168" s="1">
        <v>39132</v>
      </c>
      <c r="K1168" s="1" t="s">
        <v>94</v>
      </c>
      <c r="L1168" s="1" t="s">
        <v>34</v>
      </c>
      <c r="M1168" s="1" t="s">
        <v>350</v>
      </c>
      <c r="N1168" s="1">
        <v>10950</v>
      </c>
      <c r="O1168" s="12">
        <v>12100</v>
      </c>
      <c r="P1168" s="3" t="s">
        <v>84</v>
      </c>
      <c r="Q1168" s="1" cm="1">
        <f t="array" ref="Q1168">VALUE(INDEX(_xlfn.TEXTSPLIT(P1168, " "), 4))</f>
        <v>2014</v>
      </c>
      <c r="R1168" s="1" t="str">
        <f t="shared" si="18"/>
        <v>Hyundai Sonata GLS</v>
      </c>
      <c r="S1168" s="1" t="str" cm="1">
        <f t="array" ref="S1168">_xlfn.IFS(I1168 &gt;= 40, "High", I1168&gt;=20, "Medium", I1168&lt;20, "Low")</f>
        <v>High</v>
      </c>
      <c r="T1168" s="1" t="str" cm="1">
        <f t="array" ref="T1168">_xlfn.IFS(O1168&lt;18200, "Low", O1168&lt;=50000, "Medium", O1168&gt;50000, "High")</f>
        <v>Low</v>
      </c>
    </row>
    <row r="1169" spans="1:20" x14ac:dyDescent="0.25">
      <c r="A1169" s="2">
        <v>2012</v>
      </c>
      <c r="B1169" s="1" t="s">
        <v>1806</v>
      </c>
      <c r="C1169" s="1" t="s">
        <v>1809</v>
      </c>
      <c r="D1169" s="1" t="s">
        <v>735</v>
      </c>
      <c r="E1169" s="1" t="s">
        <v>19</v>
      </c>
      <c r="F1169" s="1" t="s">
        <v>20</v>
      </c>
      <c r="G1169" s="1" t="s">
        <v>1859</v>
      </c>
      <c r="H1169" s="1" t="s">
        <v>22</v>
      </c>
      <c r="I1169" s="1">
        <v>39</v>
      </c>
      <c r="J1169" s="1">
        <v>19438</v>
      </c>
      <c r="K1169" s="1" t="s">
        <v>288</v>
      </c>
      <c r="L1169" s="1" t="s">
        <v>34</v>
      </c>
      <c r="M1169" s="1" t="s">
        <v>1327</v>
      </c>
      <c r="N1169" s="1">
        <v>18400</v>
      </c>
      <c r="O1169" s="12">
        <v>18600</v>
      </c>
      <c r="P1169" s="3" t="s">
        <v>68</v>
      </c>
      <c r="Q1169" s="1" cm="1">
        <f t="array" ref="Q1169">VALUE(INDEX(_xlfn.TEXTSPLIT(P1169, " "), 4))</f>
        <v>2014</v>
      </c>
      <c r="R1169" s="1" t="str">
        <f t="shared" si="18"/>
        <v>Honda CR-V EX</v>
      </c>
      <c r="S1169" s="1" t="str" cm="1">
        <f t="array" ref="S1169">_xlfn.IFS(I1169 &gt;= 40, "High", I1169&gt;=20, "Medium", I1169&lt;20, "Low")</f>
        <v>Medium</v>
      </c>
      <c r="T1169" s="1" t="str" cm="1">
        <f t="array" ref="T1169">_xlfn.IFS(O1169&lt;18200, "Low", O1169&lt;=50000, "Medium", O1169&gt;50000, "High")</f>
        <v>Medium</v>
      </c>
    </row>
    <row r="1170" spans="1:20" x14ac:dyDescent="0.25">
      <c r="A1170" s="2">
        <v>2012</v>
      </c>
      <c r="B1170" s="1" t="s">
        <v>85</v>
      </c>
      <c r="C1170" s="1" t="s">
        <v>86</v>
      </c>
      <c r="D1170" s="1" t="s">
        <v>1518</v>
      </c>
      <c r="E1170" s="1" t="s">
        <v>32</v>
      </c>
      <c r="F1170" s="1" t="s">
        <v>20</v>
      </c>
      <c r="G1170" s="1" t="s">
        <v>1860</v>
      </c>
      <c r="H1170" s="1" t="s">
        <v>22</v>
      </c>
      <c r="I1170" s="1">
        <v>38</v>
      </c>
      <c r="J1170" s="1">
        <v>75658</v>
      </c>
      <c r="K1170" s="1" t="s">
        <v>23</v>
      </c>
      <c r="L1170" s="1" t="s">
        <v>82</v>
      </c>
      <c r="M1170" s="1" t="s">
        <v>431</v>
      </c>
      <c r="N1170" s="1">
        <v>8750</v>
      </c>
      <c r="O1170" s="12">
        <v>9200</v>
      </c>
      <c r="P1170" s="3" t="s">
        <v>270</v>
      </c>
      <c r="Q1170" s="1" cm="1">
        <f t="array" ref="Q1170">VALUE(INDEX(_xlfn.TEXTSPLIT(P1170, " "), 4))</f>
        <v>2014</v>
      </c>
      <c r="R1170" s="1" t="str">
        <f t="shared" si="18"/>
        <v>Ford Fusion SEL</v>
      </c>
      <c r="S1170" s="1" t="str" cm="1">
        <f t="array" ref="S1170">_xlfn.IFS(I1170 &gt;= 40, "High", I1170&gt;=20, "Medium", I1170&lt;20, "Low")</f>
        <v>Medium</v>
      </c>
      <c r="T1170" s="1" t="str" cm="1">
        <f t="array" ref="T1170">_xlfn.IFS(O1170&lt;18200, "Low", O1170&lt;=50000, "Medium", O1170&gt;50000, "High")</f>
        <v>Low</v>
      </c>
    </row>
    <row r="1171" spans="1:20" x14ac:dyDescent="0.25">
      <c r="A1171" s="2">
        <v>2012</v>
      </c>
      <c r="B1171" s="1" t="s">
        <v>98</v>
      </c>
      <c r="C1171" s="1" t="s">
        <v>99</v>
      </c>
      <c r="D1171" s="1" t="s">
        <v>337</v>
      </c>
      <c r="E1171" s="1" t="s">
        <v>32</v>
      </c>
      <c r="F1171" s="1" t="s">
        <v>20</v>
      </c>
      <c r="G1171" s="1" t="s">
        <v>1861</v>
      </c>
      <c r="H1171" s="1" t="s">
        <v>22</v>
      </c>
      <c r="I1171" s="1">
        <v>44</v>
      </c>
      <c r="J1171" s="1">
        <v>25054</v>
      </c>
      <c r="K1171" s="1" t="s">
        <v>23</v>
      </c>
      <c r="L1171" s="1" t="s">
        <v>24</v>
      </c>
      <c r="M1171" s="1" t="s">
        <v>350</v>
      </c>
      <c r="N1171" s="1">
        <v>16450</v>
      </c>
      <c r="O1171" s="12">
        <v>17100</v>
      </c>
      <c r="P1171" s="3" t="s">
        <v>164</v>
      </c>
      <c r="Q1171" s="1" cm="1">
        <f t="array" ref="Q1171">VALUE(INDEX(_xlfn.TEXTSPLIT(P1171, " "), 4))</f>
        <v>2015</v>
      </c>
      <c r="R1171" s="1" t="str">
        <f t="shared" si="18"/>
        <v>Hyundai Sonata Limited</v>
      </c>
      <c r="S1171" s="1" t="str" cm="1">
        <f t="array" ref="S1171">_xlfn.IFS(I1171 &gt;= 40, "High", I1171&gt;=20, "Medium", I1171&lt;20, "Low")</f>
        <v>High</v>
      </c>
      <c r="T1171" s="1" t="str" cm="1">
        <f t="array" ref="T1171">_xlfn.IFS(O1171&lt;18200, "Low", O1171&lt;=50000, "Medium", O1171&gt;50000, "High")</f>
        <v>Low</v>
      </c>
    </row>
    <row r="1172" spans="1:20" x14ac:dyDescent="0.25">
      <c r="A1172" s="2">
        <v>2012</v>
      </c>
      <c r="B1172" s="1" t="s">
        <v>98</v>
      </c>
      <c r="C1172" s="1" t="s">
        <v>219</v>
      </c>
      <c r="D1172" s="1" t="s">
        <v>348</v>
      </c>
      <c r="E1172" s="1" t="s">
        <v>32</v>
      </c>
      <c r="F1172" s="1" t="s">
        <v>20</v>
      </c>
      <c r="G1172" s="1" t="s">
        <v>1862</v>
      </c>
      <c r="H1172" s="1" t="s">
        <v>22</v>
      </c>
      <c r="I1172" s="1">
        <v>27</v>
      </c>
      <c r="J1172" s="1">
        <v>35970</v>
      </c>
      <c r="K1172" s="1" t="s">
        <v>91</v>
      </c>
      <c r="L1172" s="1" t="s">
        <v>34</v>
      </c>
      <c r="M1172" s="1" t="s">
        <v>350</v>
      </c>
      <c r="N1172" s="1">
        <v>10250</v>
      </c>
      <c r="O1172" s="12">
        <v>10700</v>
      </c>
      <c r="P1172" s="3" t="s">
        <v>84</v>
      </c>
      <c r="Q1172" s="1" cm="1">
        <f t="array" ref="Q1172">VALUE(INDEX(_xlfn.TEXTSPLIT(P1172, " "), 4))</f>
        <v>2014</v>
      </c>
      <c r="R1172" s="1" t="str">
        <f t="shared" si="18"/>
        <v>Hyundai Elantra GLS</v>
      </c>
      <c r="S1172" s="1" t="str" cm="1">
        <f t="array" ref="S1172">_xlfn.IFS(I1172 &gt;= 40, "High", I1172&gt;=20, "Medium", I1172&lt;20, "Low")</f>
        <v>Medium</v>
      </c>
      <c r="T1172" s="1" t="str" cm="1">
        <f t="array" ref="T1172">_xlfn.IFS(O1172&lt;18200, "Low", O1172&lt;=50000, "Medium", O1172&gt;50000, "High")</f>
        <v>Low</v>
      </c>
    </row>
    <row r="1173" spans="1:20" x14ac:dyDescent="0.25">
      <c r="A1173" s="2">
        <v>2012</v>
      </c>
      <c r="B1173" s="1" t="s">
        <v>98</v>
      </c>
      <c r="C1173" s="1" t="s">
        <v>219</v>
      </c>
      <c r="D1173" s="1" t="s">
        <v>348</v>
      </c>
      <c r="E1173" s="1" t="s">
        <v>32</v>
      </c>
      <c r="F1173" s="1" t="s">
        <v>20</v>
      </c>
      <c r="G1173" s="1" t="s">
        <v>1863</v>
      </c>
      <c r="H1173" s="1" t="s">
        <v>22</v>
      </c>
      <c r="I1173" s="1">
        <v>19</v>
      </c>
      <c r="J1173" s="1">
        <v>47843</v>
      </c>
      <c r="K1173" s="1" t="s">
        <v>94</v>
      </c>
      <c r="L1173" s="1" t="s">
        <v>28</v>
      </c>
      <c r="M1173" s="1" t="s">
        <v>946</v>
      </c>
      <c r="N1173" s="1">
        <v>9675</v>
      </c>
      <c r="O1173" s="12">
        <v>8000</v>
      </c>
      <c r="P1173" s="3" t="s">
        <v>68</v>
      </c>
      <c r="Q1173" s="1" cm="1">
        <f t="array" ref="Q1173">VALUE(INDEX(_xlfn.TEXTSPLIT(P1173, " "), 4))</f>
        <v>2014</v>
      </c>
      <c r="R1173" s="1" t="str">
        <f t="shared" si="18"/>
        <v>Hyundai Elantra GLS</v>
      </c>
      <c r="S1173" s="1" t="str" cm="1">
        <f t="array" ref="S1173">_xlfn.IFS(I1173 &gt;= 40, "High", I1173&gt;=20, "Medium", I1173&lt;20, "Low")</f>
        <v>Low</v>
      </c>
      <c r="T1173" s="1" t="str" cm="1">
        <f t="array" ref="T1173">_xlfn.IFS(O1173&lt;18200, "Low", O1173&lt;=50000, "Medium", O1173&gt;50000, "High")</f>
        <v>Low</v>
      </c>
    </row>
    <row r="1174" spans="1:20" x14ac:dyDescent="0.25">
      <c r="A1174" s="2">
        <v>2012</v>
      </c>
      <c r="B1174" s="1" t="s">
        <v>98</v>
      </c>
      <c r="C1174" s="1" t="s">
        <v>398</v>
      </c>
      <c r="D1174" s="1" t="s">
        <v>422</v>
      </c>
      <c r="E1174" s="1" t="s">
        <v>227</v>
      </c>
      <c r="F1174" s="1" t="s">
        <v>20</v>
      </c>
      <c r="G1174" s="1" t="s">
        <v>1864</v>
      </c>
      <c r="H1174" s="1" t="s">
        <v>22</v>
      </c>
      <c r="I1174" s="1">
        <v>28</v>
      </c>
      <c r="J1174" s="1">
        <v>34840</v>
      </c>
      <c r="K1174" s="1" t="s">
        <v>34</v>
      </c>
      <c r="L1174" s="1" t="s">
        <v>24</v>
      </c>
      <c r="M1174" s="1" t="s">
        <v>350</v>
      </c>
      <c r="N1174" s="1">
        <v>8875</v>
      </c>
      <c r="O1174" s="12">
        <v>8500</v>
      </c>
      <c r="P1174" s="3" t="s">
        <v>210</v>
      </c>
      <c r="Q1174" s="1" cm="1">
        <f t="array" ref="Q1174">VALUE(INDEX(_xlfn.TEXTSPLIT(P1174, " "), 4))</f>
        <v>2015</v>
      </c>
      <c r="R1174" s="1" t="str">
        <f t="shared" si="18"/>
        <v>Hyundai Accent GS</v>
      </c>
      <c r="S1174" s="1" t="str" cm="1">
        <f t="array" ref="S1174">_xlfn.IFS(I1174 &gt;= 40, "High", I1174&gt;=20, "Medium", I1174&lt;20, "Low")</f>
        <v>Medium</v>
      </c>
      <c r="T1174" s="1" t="str" cm="1">
        <f t="array" ref="T1174">_xlfn.IFS(O1174&lt;18200, "Low", O1174&lt;=50000, "Medium", O1174&gt;50000, "High")</f>
        <v>Low</v>
      </c>
    </row>
    <row r="1175" spans="1:20" x14ac:dyDescent="0.25">
      <c r="A1175" s="2">
        <v>2012</v>
      </c>
      <c r="B1175" s="1" t="s">
        <v>1806</v>
      </c>
      <c r="C1175" s="1" t="s">
        <v>1807</v>
      </c>
      <c r="D1175" s="1" t="s">
        <v>18</v>
      </c>
      <c r="E1175" s="1" t="s">
        <v>32</v>
      </c>
      <c r="F1175" s="1" t="s">
        <v>20</v>
      </c>
      <c r="G1175" s="1" t="s">
        <v>1865</v>
      </c>
      <c r="H1175" s="1" t="s">
        <v>22</v>
      </c>
      <c r="I1175" s="1">
        <v>34</v>
      </c>
      <c r="J1175" s="1">
        <v>43155</v>
      </c>
      <c r="K1175" s="1" t="s">
        <v>94</v>
      </c>
      <c r="L1175" s="1" t="s">
        <v>34</v>
      </c>
      <c r="M1175" s="1" t="s">
        <v>1327</v>
      </c>
      <c r="N1175" s="1">
        <v>11550</v>
      </c>
      <c r="O1175" s="12">
        <v>12500</v>
      </c>
      <c r="P1175" s="3" t="s">
        <v>68</v>
      </c>
      <c r="Q1175" s="1" cm="1">
        <f t="array" ref="Q1175">VALUE(INDEX(_xlfn.TEXTSPLIT(P1175, " "), 4))</f>
        <v>2014</v>
      </c>
      <c r="R1175" s="1" t="str">
        <f t="shared" si="18"/>
        <v>Honda Accord LX</v>
      </c>
      <c r="S1175" s="1" t="str" cm="1">
        <f t="array" ref="S1175">_xlfn.IFS(I1175 &gt;= 40, "High", I1175&gt;=20, "Medium", I1175&lt;20, "Low")</f>
        <v>Medium</v>
      </c>
      <c r="T1175" s="1" t="str" cm="1">
        <f t="array" ref="T1175">_xlfn.IFS(O1175&lt;18200, "Low", O1175&lt;=50000, "Medium", O1175&gt;50000, "High")</f>
        <v>Low</v>
      </c>
    </row>
    <row r="1176" spans="1:20" x14ac:dyDescent="0.25">
      <c r="A1176" s="2">
        <v>2012</v>
      </c>
      <c r="B1176" s="1" t="s">
        <v>1806</v>
      </c>
      <c r="C1176" s="1" t="s">
        <v>1807</v>
      </c>
      <c r="D1176" s="1" t="s">
        <v>1866</v>
      </c>
      <c r="E1176" s="1" t="s">
        <v>32</v>
      </c>
      <c r="F1176" s="1" t="s">
        <v>20</v>
      </c>
      <c r="G1176" s="1" t="s">
        <v>1867</v>
      </c>
      <c r="H1176" s="1" t="s">
        <v>22</v>
      </c>
      <c r="I1176" s="1">
        <v>36</v>
      </c>
      <c r="J1176" s="1">
        <v>36233</v>
      </c>
      <c r="K1176" s="1" t="s">
        <v>34</v>
      </c>
      <c r="L1176" s="1" t="s">
        <v>34</v>
      </c>
      <c r="M1176" s="1" t="s">
        <v>1266</v>
      </c>
      <c r="N1176" s="1">
        <v>14950</v>
      </c>
      <c r="O1176" s="12">
        <v>14600</v>
      </c>
      <c r="P1176" s="3" t="s">
        <v>68</v>
      </c>
      <c r="Q1176" s="1" cm="1">
        <f t="array" ref="Q1176">VALUE(INDEX(_xlfn.TEXTSPLIT(P1176, " "), 4))</f>
        <v>2014</v>
      </c>
      <c r="R1176" s="1" t="str">
        <f t="shared" si="18"/>
        <v>Honda Accord EX V-6</v>
      </c>
      <c r="S1176" s="1" t="str" cm="1">
        <f t="array" ref="S1176">_xlfn.IFS(I1176 &gt;= 40, "High", I1176&gt;=20, "Medium", I1176&lt;20, "Low")</f>
        <v>Medium</v>
      </c>
      <c r="T1176" s="1" t="str" cm="1">
        <f t="array" ref="T1176">_xlfn.IFS(O1176&lt;18200, "Low", O1176&lt;=50000, "Medium", O1176&gt;50000, "High")</f>
        <v>Low</v>
      </c>
    </row>
    <row r="1177" spans="1:20" x14ac:dyDescent="0.25">
      <c r="A1177" s="2">
        <v>2012</v>
      </c>
      <c r="B1177" s="1" t="s">
        <v>1806</v>
      </c>
      <c r="C1177" s="1" t="s">
        <v>1837</v>
      </c>
      <c r="D1177" s="1" t="s">
        <v>1868</v>
      </c>
      <c r="E1177" s="1" t="s">
        <v>19</v>
      </c>
      <c r="F1177" s="1" t="s">
        <v>20</v>
      </c>
      <c r="G1177" s="1" t="s">
        <v>1869</v>
      </c>
      <c r="H1177" s="1" t="s">
        <v>22</v>
      </c>
      <c r="I1177" s="1">
        <v>37</v>
      </c>
      <c r="J1177" s="1">
        <v>48942</v>
      </c>
      <c r="K1177" s="1" t="s">
        <v>23</v>
      </c>
      <c r="L1177" s="1" t="s">
        <v>34</v>
      </c>
      <c r="M1177" s="1" t="s">
        <v>1266</v>
      </c>
      <c r="N1177" s="1">
        <v>22700</v>
      </c>
      <c r="O1177" s="12">
        <v>22800</v>
      </c>
      <c r="P1177" s="3" t="s">
        <v>110</v>
      </c>
      <c r="Q1177" s="1" cm="1">
        <f t="array" ref="Q1177">VALUE(INDEX(_xlfn.TEXTSPLIT(P1177, " "), 4))</f>
        <v>2014</v>
      </c>
      <c r="R1177" s="1" t="str">
        <f t="shared" si="18"/>
        <v>Honda Pilot EX-L</v>
      </c>
      <c r="S1177" s="1" t="str" cm="1">
        <f t="array" ref="S1177">_xlfn.IFS(I1177 &gt;= 40, "High", I1177&gt;=20, "Medium", I1177&lt;20, "Low")</f>
        <v>Medium</v>
      </c>
      <c r="T1177" s="1" t="str" cm="1">
        <f t="array" ref="T1177">_xlfn.IFS(O1177&lt;18200, "Low", O1177&lt;=50000, "Medium", O1177&gt;50000, "High")</f>
        <v>Medium</v>
      </c>
    </row>
    <row r="1178" spans="1:20" x14ac:dyDescent="0.25">
      <c r="A1178" s="2">
        <v>2012</v>
      </c>
      <c r="B1178" s="1" t="s">
        <v>1806</v>
      </c>
      <c r="C1178" s="1" t="s">
        <v>1807</v>
      </c>
      <c r="D1178" s="1" t="s">
        <v>1870</v>
      </c>
      <c r="E1178" s="1" t="s">
        <v>107</v>
      </c>
      <c r="F1178" s="1" t="s">
        <v>20</v>
      </c>
      <c r="G1178" s="1" t="s">
        <v>1871</v>
      </c>
      <c r="H1178" s="1" t="s">
        <v>22</v>
      </c>
      <c r="I1178" s="1">
        <v>41</v>
      </c>
      <c r="J1178" s="1">
        <v>34331</v>
      </c>
      <c r="K1178" s="1" t="s">
        <v>24</v>
      </c>
      <c r="L1178" s="1" t="s">
        <v>24</v>
      </c>
      <c r="M1178" s="1" t="s">
        <v>1327</v>
      </c>
      <c r="N1178" s="1">
        <v>16300</v>
      </c>
      <c r="O1178" s="12">
        <v>17400</v>
      </c>
      <c r="P1178" s="3" t="s">
        <v>68</v>
      </c>
      <c r="Q1178" s="1" cm="1">
        <f t="array" ref="Q1178">VALUE(INDEX(_xlfn.TEXTSPLIT(P1178, " "), 4))</f>
        <v>2014</v>
      </c>
      <c r="R1178" s="1" t="str">
        <f t="shared" si="18"/>
        <v>Honda Accord EX-L V-6</v>
      </c>
      <c r="S1178" s="1" t="str" cm="1">
        <f t="array" ref="S1178">_xlfn.IFS(I1178 &gt;= 40, "High", I1178&gt;=20, "Medium", I1178&lt;20, "Low")</f>
        <v>High</v>
      </c>
      <c r="T1178" s="1" t="str" cm="1">
        <f t="array" ref="T1178">_xlfn.IFS(O1178&lt;18200, "Low", O1178&lt;=50000, "Medium", O1178&gt;50000, "High")</f>
        <v>Low</v>
      </c>
    </row>
    <row r="1179" spans="1:20" x14ac:dyDescent="0.25">
      <c r="A1179" s="2">
        <v>2012</v>
      </c>
      <c r="B1179" s="1" t="s">
        <v>1806</v>
      </c>
      <c r="C1179" s="1" t="s">
        <v>1807</v>
      </c>
      <c r="D1179" s="1" t="s">
        <v>87</v>
      </c>
      <c r="E1179" s="1" t="s">
        <v>32</v>
      </c>
      <c r="F1179" s="1" t="s">
        <v>20</v>
      </c>
      <c r="G1179" s="1" t="s">
        <v>1872</v>
      </c>
      <c r="H1179" s="1" t="s">
        <v>22</v>
      </c>
      <c r="I1179" s="1">
        <v>19</v>
      </c>
      <c r="J1179" s="1">
        <v>24169</v>
      </c>
      <c r="K1179" s="1" t="s">
        <v>34</v>
      </c>
      <c r="L1179" s="1" t="s">
        <v>24</v>
      </c>
      <c r="M1179" s="1" t="s">
        <v>1266</v>
      </c>
      <c r="N1179" s="1">
        <v>13950</v>
      </c>
      <c r="O1179" s="12">
        <v>13300</v>
      </c>
      <c r="P1179" s="3" t="s">
        <v>915</v>
      </c>
      <c r="Q1179" s="1" cm="1">
        <f t="array" ref="Q1179">VALUE(INDEX(_xlfn.TEXTSPLIT(P1179, " "), 4))</f>
        <v>2015</v>
      </c>
      <c r="R1179" s="1" t="str">
        <f t="shared" si="18"/>
        <v>Honda Accord SE</v>
      </c>
      <c r="S1179" s="1" t="str" cm="1">
        <f t="array" ref="S1179">_xlfn.IFS(I1179 &gt;= 40, "High", I1179&gt;=20, "Medium", I1179&lt;20, "Low")</f>
        <v>Low</v>
      </c>
      <c r="T1179" s="1" t="str" cm="1">
        <f t="array" ref="T1179">_xlfn.IFS(O1179&lt;18200, "Low", O1179&lt;=50000, "Medium", O1179&gt;50000, "High")</f>
        <v>Low</v>
      </c>
    </row>
    <row r="1180" spans="1:20" x14ac:dyDescent="0.25">
      <c r="A1180" s="2">
        <v>2012</v>
      </c>
      <c r="B1180" s="1" t="s">
        <v>1806</v>
      </c>
      <c r="C1180" s="1" t="s">
        <v>1840</v>
      </c>
      <c r="D1180" s="1" t="s">
        <v>735</v>
      </c>
      <c r="E1180" s="1" t="s">
        <v>738</v>
      </c>
      <c r="F1180" s="1" t="s">
        <v>20</v>
      </c>
      <c r="G1180" s="1" t="s">
        <v>1873</v>
      </c>
      <c r="H1180" s="1" t="s">
        <v>22</v>
      </c>
      <c r="I1180" s="1">
        <v>38</v>
      </c>
      <c r="J1180" s="1">
        <v>32967</v>
      </c>
      <c r="K1180" s="1" t="s">
        <v>288</v>
      </c>
      <c r="L1180" s="1" t="s">
        <v>28</v>
      </c>
      <c r="M1180" s="1" t="s">
        <v>1266</v>
      </c>
      <c r="N1180" s="1">
        <v>18050</v>
      </c>
      <c r="O1180" s="12">
        <v>20100</v>
      </c>
      <c r="P1180" s="3" t="s">
        <v>110</v>
      </c>
      <c r="Q1180" s="1" cm="1">
        <f t="array" ref="Q1180">VALUE(INDEX(_xlfn.TEXTSPLIT(P1180, " "), 4))</f>
        <v>2014</v>
      </c>
      <c r="R1180" s="1" t="str">
        <f t="shared" si="18"/>
        <v>Honda Odyssey EX</v>
      </c>
      <c r="S1180" s="1" t="str" cm="1">
        <f t="array" ref="S1180">_xlfn.IFS(I1180 &gt;= 40, "High", I1180&gt;=20, "Medium", I1180&lt;20, "Low")</f>
        <v>Medium</v>
      </c>
      <c r="T1180" s="1" t="str" cm="1">
        <f t="array" ref="T1180">_xlfn.IFS(O1180&lt;18200, "Low", O1180&lt;=50000, "Medium", O1180&gt;50000, "High")</f>
        <v>Medium</v>
      </c>
    </row>
    <row r="1181" spans="1:20" x14ac:dyDescent="0.25">
      <c r="A1181" s="2">
        <v>2012</v>
      </c>
      <c r="B1181" s="1" t="s">
        <v>98</v>
      </c>
      <c r="C1181" s="1" t="s">
        <v>99</v>
      </c>
      <c r="D1181" s="1" t="s">
        <v>348</v>
      </c>
      <c r="E1181" s="1" t="s">
        <v>32</v>
      </c>
      <c r="F1181" s="1" t="s">
        <v>20</v>
      </c>
      <c r="G1181" s="1" t="s">
        <v>1874</v>
      </c>
      <c r="H1181" s="1" t="s">
        <v>22</v>
      </c>
      <c r="I1181" s="1">
        <v>29</v>
      </c>
      <c r="J1181" s="1">
        <v>37801</v>
      </c>
      <c r="K1181" s="1" t="s">
        <v>34</v>
      </c>
      <c r="L1181" s="1" t="s">
        <v>28</v>
      </c>
      <c r="M1181" s="1" t="s">
        <v>350</v>
      </c>
      <c r="N1181" s="1">
        <v>11050</v>
      </c>
      <c r="O1181" s="12">
        <v>10800</v>
      </c>
      <c r="P1181" s="3" t="s">
        <v>84</v>
      </c>
      <c r="Q1181" s="1" cm="1">
        <f t="array" ref="Q1181">VALUE(INDEX(_xlfn.TEXTSPLIT(P1181, " "), 4))</f>
        <v>2014</v>
      </c>
      <c r="R1181" s="1" t="str">
        <f t="shared" si="18"/>
        <v>Hyundai Sonata GLS</v>
      </c>
      <c r="S1181" s="1" t="str" cm="1">
        <f t="array" ref="S1181">_xlfn.IFS(I1181 &gt;= 40, "High", I1181&gt;=20, "Medium", I1181&lt;20, "Low")</f>
        <v>Medium</v>
      </c>
      <c r="T1181" s="1" t="str" cm="1">
        <f t="array" ref="T1181">_xlfn.IFS(O1181&lt;18200, "Low", O1181&lt;=50000, "Medium", O1181&gt;50000, "High")</f>
        <v>Low</v>
      </c>
    </row>
    <row r="1182" spans="1:20" x14ac:dyDescent="0.25">
      <c r="A1182" s="2">
        <v>2012</v>
      </c>
      <c r="B1182" s="1" t="s">
        <v>1806</v>
      </c>
      <c r="C1182" s="1" t="s">
        <v>1807</v>
      </c>
      <c r="D1182" s="1" t="s">
        <v>18</v>
      </c>
      <c r="E1182" s="1" t="s">
        <v>32</v>
      </c>
      <c r="F1182" s="1" t="s">
        <v>20</v>
      </c>
      <c r="G1182" s="1" t="s">
        <v>1875</v>
      </c>
      <c r="H1182" s="1" t="s">
        <v>22</v>
      </c>
      <c r="I1182" s="1">
        <v>39</v>
      </c>
      <c r="J1182" s="1">
        <v>43775</v>
      </c>
      <c r="K1182" s="1" t="s">
        <v>24</v>
      </c>
      <c r="L1182" s="1" t="s">
        <v>28</v>
      </c>
      <c r="M1182" s="1" t="s">
        <v>1266</v>
      </c>
      <c r="N1182" s="1">
        <v>11550</v>
      </c>
      <c r="O1182" s="12">
        <v>13000</v>
      </c>
      <c r="P1182" s="3" t="s">
        <v>68</v>
      </c>
      <c r="Q1182" s="1" cm="1">
        <f t="array" ref="Q1182">VALUE(INDEX(_xlfn.TEXTSPLIT(P1182, " "), 4))</f>
        <v>2014</v>
      </c>
      <c r="R1182" s="1" t="str">
        <f t="shared" si="18"/>
        <v>Honda Accord LX</v>
      </c>
      <c r="S1182" s="1" t="str" cm="1">
        <f t="array" ref="S1182">_xlfn.IFS(I1182 &gt;= 40, "High", I1182&gt;=20, "Medium", I1182&lt;20, "Low")</f>
        <v>Medium</v>
      </c>
      <c r="T1182" s="1" t="str" cm="1">
        <f t="array" ref="T1182">_xlfn.IFS(O1182&lt;18200, "Low", O1182&lt;=50000, "Medium", O1182&gt;50000, "High")</f>
        <v>Low</v>
      </c>
    </row>
    <row r="1183" spans="1:20" x14ac:dyDescent="0.25">
      <c r="A1183" s="2">
        <v>2012</v>
      </c>
      <c r="B1183" s="1" t="s">
        <v>85</v>
      </c>
      <c r="C1183" s="1" t="s">
        <v>1819</v>
      </c>
      <c r="D1183" s="1" t="s">
        <v>1196</v>
      </c>
      <c r="E1183" s="1" t="s">
        <v>71</v>
      </c>
      <c r="F1183" s="1" t="s">
        <v>20</v>
      </c>
      <c r="G1183" s="1" t="s">
        <v>1876</v>
      </c>
      <c r="H1183" s="1" t="s">
        <v>22</v>
      </c>
      <c r="I1183" s="1">
        <v>42</v>
      </c>
      <c r="J1183" s="1">
        <v>46700</v>
      </c>
      <c r="K1183" s="1" t="s">
        <v>73</v>
      </c>
      <c r="L1183" s="1" t="s">
        <v>24</v>
      </c>
      <c r="M1183" s="1" t="s">
        <v>431</v>
      </c>
      <c r="N1183" s="1">
        <v>11700</v>
      </c>
      <c r="O1183" s="12">
        <v>11500</v>
      </c>
      <c r="P1183" s="3" t="s">
        <v>270</v>
      </c>
      <c r="Q1183" s="1" cm="1">
        <f t="array" ref="Q1183">VALUE(INDEX(_xlfn.TEXTSPLIT(P1183, " "), 4))</f>
        <v>2014</v>
      </c>
      <c r="R1183" s="1" t="str">
        <f t="shared" si="18"/>
        <v>Ford Mustang V6</v>
      </c>
      <c r="S1183" s="1" t="str" cm="1">
        <f t="array" ref="S1183">_xlfn.IFS(I1183 &gt;= 40, "High", I1183&gt;=20, "Medium", I1183&lt;20, "Low")</f>
        <v>High</v>
      </c>
      <c r="T1183" s="1" t="str" cm="1">
        <f t="array" ref="T1183">_xlfn.IFS(O1183&lt;18200, "Low", O1183&lt;=50000, "Medium", O1183&gt;50000, "High")</f>
        <v>Low</v>
      </c>
    </row>
    <row r="1184" spans="1:20" x14ac:dyDescent="0.25">
      <c r="A1184" s="2">
        <v>2012</v>
      </c>
      <c r="B1184" s="1" t="s">
        <v>318</v>
      </c>
      <c r="C1184" s="1" t="s">
        <v>323</v>
      </c>
      <c r="D1184" s="1" t="s">
        <v>1817</v>
      </c>
      <c r="E1184" s="1" t="s">
        <v>323</v>
      </c>
      <c r="F1184" s="1" t="s">
        <v>20</v>
      </c>
      <c r="G1184" s="1" t="s">
        <v>1877</v>
      </c>
      <c r="H1184" s="1" t="s">
        <v>22</v>
      </c>
      <c r="I1184" s="1">
        <v>38</v>
      </c>
      <c r="J1184" s="1">
        <v>20181</v>
      </c>
      <c r="K1184" s="1" t="s">
        <v>34</v>
      </c>
      <c r="L1184" s="1" t="s">
        <v>24</v>
      </c>
      <c r="M1184" s="1" t="s">
        <v>322</v>
      </c>
      <c r="N1184" s="1">
        <v>19800</v>
      </c>
      <c r="O1184" s="12">
        <v>19500</v>
      </c>
      <c r="P1184" s="3" t="s">
        <v>46</v>
      </c>
      <c r="Q1184" s="1" cm="1">
        <f t="array" ref="Q1184">VALUE(INDEX(_xlfn.TEXTSPLIT(P1184, " "), 4))</f>
        <v>2014</v>
      </c>
      <c r="R1184" s="1" t="str">
        <f t="shared" si="18"/>
        <v>Infiniti G Sedan G25</v>
      </c>
      <c r="S1184" s="1" t="str" cm="1">
        <f t="array" ref="S1184">_xlfn.IFS(I1184 &gt;= 40, "High", I1184&gt;=20, "Medium", I1184&lt;20, "Low")</f>
        <v>Medium</v>
      </c>
      <c r="T1184" s="1" t="str" cm="1">
        <f t="array" ref="T1184">_xlfn.IFS(O1184&lt;18200, "Low", O1184&lt;=50000, "Medium", O1184&gt;50000, "High")</f>
        <v>Medium</v>
      </c>
    </row>
    <row r="1185" spans="1:20" x14ac:dyDescent="0.25">
      <c r="A1185" s="2">
        <v>2012</v>
      </c>
      <c r="B1185" s="1" t="s">
        <v>1806</v>
      </c>
      <c r="C1185" s="1" t="s">
        <v>1829</v>
      </c>
      <c r="D1185" s="1" t="s">
        <v>735</v>
      </c>
      <c r="E1185" s="1" t="s">
        <v>107</v>
      </c>
      <c r="F1185" s="1" t="s">
        <v>20</v>
      </c>
      <c r="G1185" s="1" t="s">
        <v>1878</v>
      </c>
      <c r="H1185" s="1" t="s">
        <v>22</v>
      </c>
      <c r="I1185" s="1">
        <v>19</v>
      </c>
      <c r="J1185" s="1">
        <v>19340</v>
      </c>
      <c r="K1185" s="1" t="s">
        <v>73</v>
      </c>
      <c r="L1185" s="1" t="s">
        <v>34</v>
      </c>
      <c r="M1185" s="1" t="s">
        <v>1266</v>
      </c>
      <c r="N1185" s="1">
        <v>12950</v>
      </c>
      <c r="O1185" s="12">
        <v>11200</v>
      </c>
      <c r="P1185" s="3" t="s">
        <v>68</v>
      </c>
      <c r="Q1185" s="1" cm="1">
        <f t="array" ref="Q1185">VALUE(INDEX(_xlfn.TEXTSPLIT(P1185, " "), 4))</f>
        <v>2014</v>
      </c>
      <c r="R1185" s="1" t="str">
        <f t="shared" si="18"/>
        <v>Honda Civic EX</v>
      </c>
      <c r="S1185" s="1" t="str" cm="1">
        <f t="array" ref="S1185">_xlfn.IFS(I1185 &gt;= 40, "High", I1185&gt;=20, "Medium", I1185&lt;20, "Low")</f>
        <v>Low</v>
      </c>
      <c r="T1185" s="1" t="str" cm="1">
        <f t="array" ref="T1185">_xlfn.IFS(O1185&lt;18200, "Low", O1185&lt;=50000, "Medium", O1185&gt;50000, "High")</f>
        <v>Low</v>
      </c>
    </row>
    <row r="1186" spans="1:20" x14ac:dyDescent="0.25">
      <c r="A1186" s="2">
        <v>2012</v>
      </c>
      <c r="B1186" s="1" t="s">
        <v>1806</v>
      </c>
      <c r="C1186" s="1" t="s">
        <v>1807</v>
      </c>
      <c r="D1186" s="1" t="s">
        <v>735</v>
      </c>
      <c r="E1186" s="1" t="s">
        <v>32</v>
      </c>
      <c r="F1186" s="1" t="s">
        <v>20</v>
      </c>
      <c r="G1186" s="1" t="s">
        <v>1879</v>
      </c>
      <c r="H1186" s="1" t="s">
        <v>22</v>
      </c>
      <c r="I1186" s="1">
        <v>4</v>
      </c>
      <c r="J1186" s="1">
        <v>33248</v>
      </c>
      <c r="K1186" s="1" t="s">
        <v>34</v>
      </c>
      <c r="L1186" s="1" t="s">
        <v>24</v>
      </c>
      <c r="M1186" s="1" t="s">
        <v>1266</v>
      </c>
      <c r="N1186" s="1">
        <v>13700</v>
      </c>
      <c r="O1186" s="12">
        <v>14700</v>
      </c>
      <c r="P1186" s="3" t="s">
        <v>68</v>
      </c>
      <c r="Q1186" s="1" cm="1">
        <f t="array" ref="Q1186">VALUE(INDEX(_xlfn.TEXTSPLIT(P1186, " "), 4))</f>
        <v>2014</v>
      </c>
      <c r="R1186" s="1" t="str">
        <f t="shared" si="18"/>
        <v>Honda Accord EX</v>
      </c>
      <c r="S1186" s="1" t="str" cm="1">
        <f t="array" ref="S1186">_xlfn.IFS(I1186 &gt;= 40, "High", I1186&gt;=20, "Medium", I1186&lt;20, "Low")</f>
        <v>Low</v>
      </c>
      <c r="T1186" s="1" t="str" cm="1">
        <f t="array" ref="T1186">_xlfn.IFS(O1186&lt;18200, "Low", O1186&lt;=50000, "Medium", O1186&gt;50000, "High")</f>
        <v>Low</v>
      </c>
    </row>
    <row r="1187" spans="1:20" x14ac:dyDescent="0.25">
      <c r="A1187" s="2">
        <v>2012</v>
      </c>
      <c r="B1187" s="1" t="s">
        <v>1806</v>
      </c>
      <c r="C1187" s="1" t="s">
        <v>1837</v>
      </c>
      <c r="D1187" s="1" t="s">
        <v>646</v>
      </c>
      <c r="E1187" s="1" t="s">
        <v>19</v>
      </c>
      <c r="F1187" s="1" t="s">
        <v>20</v>
      </c>
      <c r="G1187" s="1" t="s">
        <v>1880</v>
      </c>
      <c r="H1187" s="1" t="s">
        <v>22</v>
      </c>
      <c r="I1187" s="1">
        <v>45</v>
      </c>
      <c r="J1187" s="1">
        <v>23288</v>
      </c>
      <c r="K1187" s="1" t="s">
        <v>23</v>
      </c>
      <c r="L1187" s="1" t="s">
        <v>24</v>
      </c>
      <c r="M1187" s="1" t="s">
        <v>1881</v>
      </c>
      <c r="N1187" s="1">
        <v>28100</v>
      </c>
      <c r="O1187" s="12">
        <v>26750</v>
      </c>
      <c r="P1187" s="3" t="s">
        <v>57</v>
      </c>
      <c r="Q1187" s="1" cm="1">
        <f t="array" ref="Q1187">VALUE(INDEX(_xlfn.TEXTSPLIT(P1187, " "), 4))</f>
        <v>2014</v>
      </c>
      <c r="R1187" s="1" t="str">
        <f t="shared" si="18"/>
        <v>Honda Pilot Touring</v>
      </c>
      <c r="S1187" s="1" t="str" cm="1">
        <f t="array" ref="S1187">_xlfn.IFS(I1187 &gt;= 40, "High", I1187&gt;=20, "Medium", I1187&lt;20, "Low")</f>
        <v>High</v>
      </c>
      <c r="T1187" s="1" t="str" cm="1">
        <f t="array" ref="T1187">_xlfn.IFS(O1187&lt;18200, "Low", O1187&lt;=50000, "Medium", O1187&gt;50000, "High")</f>
        <v>Medium</v>
      </c>
    </row>
    <row r="1188" spans="1:20" x14ac:dyDescent="0.25">
      <c r="A1188" s="2">
        <v>2012</v>
      </c>
      <c r="B1188" s="1" t="s">
        <v>85</v>
      </c>
      <c r="C1188" s="1" t="s">
        <v>1819</v>
      </c>
      <c r="D1188" s="1" t="s">
        <v>1882</v>
      </c>
      <c r="E1188" s="1" t="s">
        <v>107</v>
      </c>
      <c r="F1188" s="1" t="s">
        <v>214</v>
      </c>
      <c r="G1188" s="1" t="s">
        <v>1883</v>
      </c>
      <c r="H1188" s="1" t="s">
        <v>22</v>
      </c>
      <c r="I1188" s="1">
        <v>44</v>
      </c>
      <c r="J1188" s="1">
        <v>28781</v>
      </c>
      <c r="K1188" s="1" t="s">
        <v>94</v>
      </c>
      <c r="L1188" s="1" t="s">
        <v>34</v>
      </c>
      <c r="M1188" s="1" t="s">
        <v>1884</v>
      </c>
      <c r="N1188" s="1">
        <v>19850</v>
      </c>
      <c r="O1188" s="12">
        <v>20250</v>
      </c>
      <c r="P1188" s="3" t="s">
        <v>26</v>
      </c>
      <c r="Q1188" s="1" cm="1">
        <f t="array" ref="Q1188">VALUE(INDEX(_xlfn.TEXTSPLIT(P1188, " "), 4))</f>
        <v>2014</v>
      </c>
      <c r="R1188" s="1" t="str">
        <f t="shared" si="18"/>
        <v>Ford Mustang GT</v>
      </c>
      <c r="S1188" s="1" t="str" cm="1">
        <f t="array" ref="S1188">_xlfn.IFS(I1188 &gt;= 40, "High", I1188&gt;=20, "Medium", I1188&lt;20, "Low")</f>
        <v>High</v>
      </c>
      <c r="T1188" s="1" t="str" cm="1">
        <f t="array" ref="T1188">_xlfn.IFS(O1188&lt;18200, "Low", O1188&lt;=50000, "Medium", O1188&gt;50000, "High")</f>
        <v>Medium</v>
      </c>
    </row>
    <row r="1189" spans="1:20" x14ac:dyDescent="0.25">
      <c r="A1189" s="2">
        <v>2012</v>
      </c>
      <c r="B1189" s="1" t="s">
        <v>1806</v>
      </c>
      <c r="C1189" s="1" t="s">
        <v>1829</v>
      </c>
      <c r="D1189" s="1" t="s">
        <v>18</v>
      </c>
      <c r="E1189" s="1" t="s">
        <v>32</v>
      </c>
      <c r="F1189" s="1" t="s">
        <v>20</v>
      </c>
      <c r="G1189" s="1" t="s">
        <v>1885</v>
      </c>
      <c r="H1189" s="1" t="s">
        <v>22</v>
      </c>
      <c r="I1189" s="1">
        <v>23</v>
      </c>
      <c r="J1189" s="1">
        <v>71774</v>
      </c>
      <c r="K1189" s="1" t="s">
        <v>34</v>
      </c>
      <c r="L1189" s="1" t="s">
        <v>28</v>
      </c>
      <c r="M1189" s="1" t="s">
        <v>1266</v>
      </c>
      <c r="N1189" s="1">
        <v>9600</v>
      </c>
      <c r="O1189" s="12">
        <v>8900</v>
      </c>
      <c r="P1189" s="3" t="s">
        <v>915</v>
      </c>
      <c r="Q1189" s="1" cm="1">
        <f t="array" ref="Q1189">VALUE(INDEX(_xlfn.TEXTSPLIT(P1189, " "), 4))</f>
        <v>2015</v>
      </c>
      <c r="R1189" s="1" t="str">
        <f t="shared" si="18"/>
        <v>Honda Civic LX</v>
      </c>
      <c r="S1189" s="1" t="str" cm="1">
        <f t="array" ref="S1189">_xlfn.IFS(I1189 &gt;= 40, "High", I1189&gt;=20, "Medium", I1189&lt;20, "Low")</f>
        <v>Medium</v>
      </c>
      <c r="T1189" s="1" t="str" cm="1">
        <f t="array" ref="T1189">_xlfn.IFS(O1189&lt;18200, "Low", O1189&lt;=50000, "Medium", O1189&gt;50000, "High")</f>
        <v>Low</v>
      </c>
    </row>
    <row r="1190" spans="1:20" x14ac:dyDescent="0.25">
      <c r="A1190" s="2">
        <v>2012</v>
      </c>
      <c r="B1190" s="1" t="s">
        <v>318</v>
      </c>
      <c r="C1190" s="1" t="s">
        <v>323</v>
      </c>
      <c r="D1190" s="1" t="s">
        <v>1817</v>
      </c>
      <c r="E1190" s="1" t="s">
        <v>323</v>
      </c>
      <c r="F1190" s="1" t="s">
        <v>20</v>
      </c>
      <c r="G1190" s="1" t="s">
        <v>1886</v>
      </c>
      <c r="H1190" s="1" t="s">
        <v>22</v>
      </c>
      <c r="I1190" s="1">
        <v>41</v>
      </c>
      <c r="J1190" s="1">
        <v>29331</v>
      </c>
      <c r="K1190" s="1" t="s">
        <v>23</v>
      </c>
      <c r="L1190" s="1" t="s">
        <v>24</v>
      </c>
      <c r="M1190" s="1" t="s">
        <v>322</v>
      </c>
      <c r="N1190" s="1">
        <v>18950</v>
      </c>
      <c r="O1190" s="12">
        <v>19500</v>
      </c>
      <c r="P1190" s="3" t="s">
        <v>57</v>
      </c>
      <c r="Q1190" s="1" cm="1">
        <f t="array" ref="Q1190">VALUE(INDEX(_xlfn.TEXTSPLIT(P1190, " "), 4))</f>
        <v>2014</v>
      </c>
      <c r="R1190" s="1" t="str">
        <f t="shared" si="18"/>
        <v>Infiniti G Sedan G25</v>
      </c>
      <c r="S1190" s="1" t="str" cm="1">
        <f t="array" ref="S1190">_xlfn.IFS(I1190 &gt;= 40, "High", I1190&gt;=20, "Medium", I1190&lt;20, "Low")</f>
        <v>High</v>
      </c>
      <c r="T1190" s="1" t="str" cm="1">
        <f t="array" ref="T1190">_xlfn.IFS(O1190&lt;18200, "Low", O1190&lt;=50000, "Medium", O1190&gt;50000, "High")</f>
        <v>Medium</v>
      </c>
    </row>
    <row r="1191" spans="1:20" x14ac:dyDescent="0.25">
      <c r="A1191" s="2">
        <v>2012</v>
      </c>
      <c r="B1191" s="1" t="s">
        <v>1806</v>
      </c>
      <c r="C1191" s="1" t="s">
        <v>1809</v>
      </c>
      <c r="D1191" s="1" t="s">
        <v>1868</v>
      </c>
      <c r="E1191" s="1" t="s">
        <v>19</v>
      </c>
      <c r="F1191" s="1" t="s">
        <v>20</v>
      </c>
      <c r="G1191" s="1" t="s">
        <v>1887</v>
      </c>
      <c r="H1191" s="1" t="s">
        <v>22</v>
      </c>
      <c r="I1191" s="1">
        <v>37</v>
      </c>
      <c r="J1191" s="1">
        <v>43096</v>
      </c>
      <c r="K1191" s="1" t="s">
        <v>24</v>
      </c>
      <c r="L1191" s="1" t="s">
        <v>24</v>
      </c>
      <c r="M1191" s="1" t="s">
        <v>1888</v>
      </c>
      <c r="N1191" s="1">
        <v>19550</v>
      </c>
      <c r="O1191" s="12">
        <v>19250</v>
      </c>
      <c r="P1191" s="3" t="s">
        <v>26</v>
      </c>
      <c r="Q1191" s="1" cm="1">
        <f t="array" ref="Q1191">VALUE(INDEX(_xlfn.TEXTSPLIT(P1191, " "), 4))</f>
        <v>2014</v>
      </c>
      <c r="R1191" s="1" t="str">
        <f t="shared" si="18"/>
        <v>Honda CR-V EX-L</v>
      </c>
      <c r="S1191" s="1" t="str" cm="1">
        <f t="array" ref="S1191">_xlfn.IFS(I1191 &gt;= 40, "High", I1191&gt;=20, "Medium", I1191&lt;20, "Low")</f>
        <v>Medium</v>
      </c>
      <c r="T1191" s="1" t="str" cm="1">
        <f t="array" ref="T1191">_xlfn.IFS(O1191&lt;18200, "Low", O1191&lt;=50000, "Medium", O1191&gt;50000, "High")</f>
        <v>Medium</v>
      </c>
    </row>
    <row r="1192" spans="1:20" x14ac:dyDescent="0.25">
      <c r="A1192" s="2">
        <v>2012</v>
      </c>
      <c r="B1192" s="1" t="s">
        <v>98</v>
      </c>
      <c r="C1192" s="1" t="s">
        <v>99</v>
      </c>
      <c r="D1192" s="1" t="s">
        <v>348</v>
      </c>
      <c r="E1192" s="1" t="s">
        <v>32</v>
      </c>
      <c r="F1192" s="1" t="s">
        <v>20</v>
      </c>
      <c r="G1192" s="1" t="s">
        <v>1889</v>
      </c>
      <c r="H1192" s="1" t="s">
        <v>22</v>
      </c>
      <c r="I1192" s="1">
        <v>2</v>
      </c>
      <c r="J1192" s="1">
        <v>53284</v>
      </c>
      <c r="K1192" s="1" t="s">
        <v>34</v>
      </c>
      <c r="L1192" s="1" t="s">
        <v>34</v>
      </c>
      <c r="M1192" s="1" t="s">
        <v>350</v>
      </c>
      <c r="N1192" s="1">
        <v>10600</v>
      </c>
      <c r="O1192" s="12">
        <v>8000</v>
      </c>
      <c r="P1192" s="3" t="s">
        <v>294</v>
      </c>
      <c r="Q1192" s="1" cm="1">
        <f t="array" ref="Q1192">VALUE(INDEX(_xlfn.TEXTSPLIT(P1192, " "), 4))</f>
        <v>2014</v>
      </c>
      <c r="R1192" s="1" t="str">
        <f t="shared" si="18"/>
        <v>Hyundai Sonata GLS</v>
      </c>
      <c r="S1192" s="1" t="str" cm="1">
        <f t="array" ref="S1192">_xlfn.IFS(I1192 &gt;= 40, "High", I1192&gt;=20, "Medium", I1192&lt;20, "Low")</f>
        <v>Low</v>
      </c>
      <c r="T1192" s="1" t="str" cm="1">
        <f t="array" ref="T1192">_xlfn.IFS(O1192&lt;18200, "Low", O1192&lt;=50000, "Medium", O1192&gt;50000, "High")</f>
        <v>Low</v>
      </c>
    </row>
    <row r="1193" spans="1:20" x14ac:dyDescent="0.25">
      <c r="A1193" s="2">
        <v>2012</v>
      </c>
      <c r="B1193" s="1" t="s">
        <v>98</v>
      </c>
      <c r="C1193" s="1" t="s">
        <v>99</v>
      </c>
      <c r="D1193" s="1" t="s">
        <v>337</v>
      </c>
      <c r="E1193" s="1" t="s">
        <v>32</v>
      </c>
      <c r="F1193" s="1" t="s">
        <v>20</v>
      </c>
      <c r="G1193" s="1" t="s">
        <v>1890</v>
      </c>
      <c r="H1193" s="1" t="s">
        <v>22</v>
      </c>
      <c r="I1193" s="1">
        <v>44</v>
      </c>
      <c r="J1193" s="1">
        <v>23468</v>
      </c>
      <c r="K1193" s="1" t="s">
        <v>23</v>
      </c>
      <c r="L1193" s="1" t="s">
        <v>28</v>
      </c>
      <c r="M1193" s="1" t="s">
        <v>350</v>
      </c>
      <c r="N1193" s="1">
        <v>16400</v>
      </c>
      <c r="O1193" s="12">
        <v>17500</v>
      </c>
      <c r="P1193" s="3" t="s">
        <v>84</v>
      </c>
      <c r="Q1193" s="1" cm="1">
        <f t="array" ref="Q1193">VALUE(INDEX(_xlfn.TEXTSPLIT(P1193, " "), 4))</f>
        <v>2014</v>
      </c>
      <c r="R1193" s="1" t="str">
        <f t="shared" si="18"/>
        <v>Hyundai Sonata Limited</v>
      </c>
      <c r="S1193" s="1" t="str" cm="1">
        <f t="array" ref="S1193">_xlfn.IFS(I1193 &gt;= 40, "High", I1193&gt;=20, "Medium", I1193&lt;20, "Low")</f>
        <v>High</v>
      </c>
      <c r="T1193" s="1" t="str" cm="1">
        <f t="array" ref="T1193">_xlfn.IFS(O1193&lt;18200, "Low", O1193&lt;=50000, "Medium", O1193&gt;50000, "High")</f>
        <v>Low</v>
      </c>
    </row>
    <row r="1194" spans="1:20" x14ac:dyDescent="0.25">
      <c r="A1194" s="2">
        <v>2012</v>
      </c>
      <c r="B1194" s="1" t="s">
        <v>98</v>
      </c>
      <c r="C1194" s="1" t="s">
        <v>398</v>
      </c>
      <c r="D1194" s="1" t="s">
        <v>422</v>
      </c>
      <c r="E1194" s="1" t="s">
        <v>227</v>
      </c>
      <c r="F1194" s="1" t="s">
        <v>20</v>
      </c>
      <c r="G1194" s="1" t="s">
        <v>1891</v>
      </c>
      <c r="H1194" s="1" t="s">
        <v>22</v>
      </c>
      <c r="I1194" s="1">
        <v>31</v>
      </c>
      <c r="J1194" s="1">
        <v>44259</v>
      </c>
      <c r="K1194" s="1" t="s">
        <v>94</v>
      </c>
      <c r="L1194" s="1" t="s">
        <v>24</v>
      </c>
      <c r="M1194" s="1" t="s">
        <v>350</v>
      </c>
      <c r="N1194" s="1">
        <v>8125</v>
      </c>
      <c r="O1194" s="12">
        <v>7900</v>
      </c>
      <c r="P1194" s="3" t="s">
        <v>84</v>
      </c>
      <c r="Q1194" s="1" cm="1">
        <f t="array" ref="Q1194">VALUE(INDEX(_xlfn.TEXTSPLIT(P1194, " "), 4))</f>
        <v>2014</v>
      </c>
      <c r="R1194" s="1" t="str">
        <f t="shared" si="18"/>
        <v>Hyundai Accent GS</v>
      </c>
      <c r="S1194" s="1" t="str" cm="1">
        <f t="array" ref="S1194">_xlfn.IFS(I1194 &gt;= 40, "High", I1194&gt;=20, "Medium", I1194&lt;20, "Low")</f>
        <v>Medium</v>
      </c>
      <c r="T1194" s="1" t="str" cm="1">
        <f t="array" ref="T1194">_xlfn.IFS(O1194&lt;18200, "Low", O1194&lt;=50000, "Medium", O1194&gt;50000, "High")</f>
        <v>Low</v>
      </c>
    </row>
    <row r="1195" spans="1:20" x14ac:dyDescent="0.25">
      <c r="A1195" s="2">
        <v>2012</v>
      </c>
      <c r="B1195" s="1" t="s">
        <v>1806</v>
      </c>
      <c r="C1195" s="1" t="s">
        <v>1807</v>
      </c>
      <c r="D1195" s="1" t="s">
        <v>18</v>
      </c>
      <c r="E1195" s="1" t="s">
        <v>32</v>
      </c>
      <c r="F1195" s="1" t="s">
        <v>20</v>
      </c>
      <c r="G1195" s="1" t="s">
        <v>1892</v>
      </c>
      <c r="H1195" s="1" t="s">
        <v>22</v>
      </c>
      <c r="I1195" s="1">
        <v>41</v>
      </c>
      <c r="J1195" s="1">
        <v>42418</v>
      </c>
      <c r="K1195" s="1" t="s">
        <v>34</v>
      </c>
      <c r="L1195" s="1" t="s">
        <v>24</v>
      </c>
      <c r="M1195" s="1" t="s">
        <v>1266</v>
      </c>
      <c r="N1195" s="1">
        <v>11600</v>
      </c>
      <c r="O1195" s="12">
        <v>12800</v>
      </c>
      <c r="P1195" s="3" t="s">
        <v>68</v>
      </c>
      <c r="Q1195" s="1" cm="1">
        <f t="array" ref="Q1195">VALUE(INDEX(_xlfn.TEXTSPLIT(P1195, " "), 4))</f>
        <v>2014</v>
      </c>
      <c r="R1195" s="1" t="str">
        <f t="shared" si="18"/>
        <v>Honda Accord LX</v>
      </c>
      <c r="S1195" s="1" t="str" cm="1">
        <f t="array" ref="S1195">_xlfn.IFS(I1195 &gt;= 40, "High", I1195&gt;=20, "Medium", I1195&lt;20, "Low")</f>
        <v>High</v>
      </c>
      <c r="T1195" s="1" t="str" cm="1">
        <f t="array" ref="T1195">_xlfn.IFS(O1195&lt;18200, "Low", O1195&lt;=50000, "Medium", O1195&gt;50000, "High")</f>
        <v>Low</v>
      </c>
    </row>
    <row r="1196" spans="1:20" x14ac:dyDescent="0.25">
      <c r="A1196" s="2">
        <v>2012</v>
      </c>
      <c r="B1196" s="1" t="s">
        <v>98</v>
      </c>
      <c r="C1196" s="1" t="s">
        <v>444</v>
      </c>
      <c r="D1196" s="1" t="s">
        <v>348</v>
      </c>
      <c r="E1196" s="1" t="s">
        <v>19</v>
      </c>
      <c r="F1196" s="1" t="s">
        <v>20</v>
      </c>
      <c r="G1196" s="1" t="s">
        <v>1893</v>
      </c>
      <c r="H1196" s="1" t="s">
        <v>22</v>
      </c>
      <c r="I1196" s="1">
        <v>4</v>
      </c>
      <c r="J1196" s="1">
        <v>56451</v>
      </c>
      <c r="K1196" s="1" t="s">
        <v>34</v>
      </c>
      <c r="L1196" s="1" t="s">
        <v>24</v>
      </c>
      <c r="M1196" s="1" t="s">
        <v>350</v>
      </c>
      <c r="N1196" s="1">
        <v>13100</v>
      </c>
      <c r="O1196" s="12">
        <v>13400</v>
      </c>
      <c r="P1196" s="3" t="s">
        <v>84</v>
      </c>
      <c r="Q1196" s="1" cm="1">
        <f t="array" ref="Q1196">VALUE(INDEX(_xlfn.TEXTSPLIT(P1196, " "), 4))</f>
        <v>2014</v>
      </c>
      <c r="R1196" s="1" t="str">
        <f t="shared" si="18"/>
        <v>Hyundai Tucson GLS</v>
      </c>
      <c r="S1196" s="1" t="str" cm="1">
        <f t="array" ref="S1196">_xlfn.IFS(I1196 &gt;= 40, "High", I1196&gt;=20, "Medium", I1196&lt;20, "Low")</f>
        <v>Low</v>
      </c>
      <c r="T1196" s="1" t="str" cm="1">
        <f t="array" ref="T1196">_xlfn.IFS(O1196&lt;18200, "Low", O1196&lt;=50000, "Medium", O1196&gt;50000, "High")</f>
        <v>Low</v>
      </c>
    </row>
    <row r="1197" spans="1:20" x14ac:dyDescent="0.25">
      <c r="A1197" s="2">
        <v>2012</v>
      </c>
      <c r="B1197" s="1" t="s">
        <v>1806</v>
      </c>
      <c r="C1197" s="1" t="s">
        <v>1807</v>
      </c>
      <c r="D1197" s="1" t="s">
        <v>87</v>
      </c>
      <c r="E1197" s="1" t="s">
        <v>32</v>
      </c>
      <c r="F1197" s="1" t="s">
        <v>20</v>
      </c>
      <c r="G1197" s="1" t="s">
        <v>1894</v>
      </c>
      <c r="H1197" s="1" t="s">
        <v>22</v>
      </c>
      <c r="I1197" s="1">
        <v>19</v>
      </c>
      <c r="J1197" s="1">
        <v>35287</v>
      </c>
      <c r="K1197" s="1" t="s">
        <v>91</v>
      </c>
      <c r="L1197" s="1" t="s">
        <v>24</v>
      </c>
      <c r="M1197" s="1" t="s">
        <v>1266</v>
      </c>
      <c r="N1197" s="1">
        <v>13150</v>
      </c>
      <c r="O1197" s="12">
        <v>12800</v>
      </c>
      <c r="P1197" s="3" t="s">
        <v>110</v>
      </c>
      <c r="Q1197" s="1" cm="1">
        <f t="array" ref="Q1197">VALUE(INDEX(_xlfn.TEXTSPLIT(P1197, " "), 4))</f>
        <v>2014</v>
      </c>
      <c r="R1197" s="1" t="str">
        <f t="shared" si="18"/>
        <v>Honda Accord SE</v>
      </c>
      <c r="S1197" s="1" t="str" cm="1">
        <f t="array" ref="S1197">_xlfn.IFS(I1197 &gt;= 40, "High", I1197&gt;=20, "Medium", I1197&lt;20, "Low")</f>
        <v>Low</v>
      </c>
      <c r="T1197" s="1" t="str" cm="1">
        <f t="array" ref="T1197">_xlfn.IFS(O1197&lt;18200, "Low", O1197&lt;=50000, "Medium", O1197&gt;50000, "High")</f>
        <v>Low</v>
      </c>
    </row>
    <row r="1198" spans="1:20" x14ac:dyDescent="0.25">
      <c r="A1198" s="2">
        <v>2012</v>
      </c>
      <c r="B1198" s="1" t="s">
        <v>85</v>
      </c>
      <c r="C1198" s="1" t="s">
        <v>1819</v>
      </c>
      <c r="D1198" s="1" t="s">
        <v>1196</v>
      </c>
      <c r="E1198" s="1" t="s">
        <v>71</v>
      </c>
      <c r="F1198" s="1" t="s">
        <v>20</v>
      </c>
      <c r="G1198" s="1" t="s">
        <v>1895</v>
      </c>
      <c r="H1198" s="1" t="s">
        <v>22</v>
      </c>
      <c r="I1198" s="1">
        <v>25</v>
      </c>
      <c r="J1198" s="1">
        <v>63964</v>
      </c>
      <c r="K1198" s="1" t="s">
        <v>23</v>
      </c>
      <c r="L1198" s="1" t="s">
        <v>101</v>
      </c>
      <c r="M1198" s="1" t="s">
        <v>56</v>
      </c>
      <c r="N1198" s="1">
        <v>10550</v>
      </c>
      <c r="O1198" s="12">
        <v>9000</v>
      </c>
      <c r="P1198" s="3" t="s">
        <v>26</v>
      </c>
      <c r="Q1198" s="1" cm="1">
        <f t="array" ref="Q1198">VALUE(INDEX(_xlfn.TEXTSPLIT(P1198, " "), 4))</f>
        <v>2014</v>
      </c>
      <c r="R1198" s="1" t="str">
        <f t="shared" si="18"/>
        <v>Ford Mustang V6</v>
      </c>
      <c r="S1198" s="1" t="str" cm="1">
        <f t="array" ref="S1198">_xlfn.IFS(I1198 &gt;= 40, "High", I1198&gt;=20, "Medium", I1198&lt;20, "Low")</f>
        <v>Medium</v>
      </c>
      <c r="T1198" s="1" t="str" cm="1">
        <f t="array" ref="T1198">_xlfn.IFS(O1198&lt;18200, "Low", O1198&lt;=50000, "Medium", O1198&gt;50000, "High")</f>
        <v>Low</v>
      </c>
    </row>
    <row r="1199" spans="1:20" x14ac:dyDescent="0.25">
      <c r="A1199" s="2">
        <v>2012</v>
      </c>
      <c r="B1199" s="1" t="s">
        <v>318</v>
      </c>
      <c r="C1199" s="1" t="s">
        <v>323</v>
      </c>
      <c r="D1199" s="1" t="s">
        <v>1817</v>
      </c>
      <c r="E1199" s="1" t="s">
        <v>323</v>
      </c>
      <c r="F1199" s="1" t="s">
        <v>20</v>
      </c>
      <c r="G1199" s="1" t="s">
        <v>1896</v>
      </c>
      <c r="H1199" s="1" t="s">
        <v>22</v>
      </c>
      <c r="I1199" s="1">
        <v>46</v>
      </c>
      <c r="J1199" s="1">
        <v>30475</v>
      </c>
      <c r="K1199" s="1" t="s">
        <v>23</v>
      </c>
      <c r="L1199" s="1" t="s">
        <v>34</v>
      </c>
      <c r="M1199" s="1" t="s">
        <v>322</v>
      </c>
      <c r="N1199" s="1">
        <v>17150</v>
      </c>
      <c r="O1199" s="12">
        <v>18500</v>
      </c>
      <c r="P1199" s="3" t="s">
        <v>46</v>
      </c>
      <c r="Q1199" s="1" cm="1">
        <f t="array" ref="Q1199">VALUE(INDEX(_xlfn.TEXTSPLIT(P1199, " "), 4))</f>
        <v>2014</v>
      </c>
      <c r="R1199" s="1" t="str">
        <f t="shared" si="18"/>
        <v>Infiniti G Sedan G25</v>
      </c>
      <c r="S1199" s="1" t="str" cm="1">
        <f t="array" ref="S1199">_xlfn.IFS(I1199 &gt;= 40, "High", I1199&gt;=20, "Medium", I1199&lt;20, "Low")</f>
        <v>High</v>
      </c>
      <c r="T1199" s="1" t="str" cm="1">
        <f t="array" ref="T1199">_xlfn.IFS(O1199&lt;18200, "Low", O1199&lt;=50000, "Medium", O1199&gt;50000, "High")</f>
        <v>Medium</v>
      </c>
    </row>
    <row r="1200" spans="1:20" x14ac:dyDescent="0.25">
      <c r="A1200" s="2">
        <v>2012</v>
      </c>
      <c r="B1200" s="1" t="s">
        <v>1806</v>
      </c>
      <c r="C1200" s="1" t="s">
        <v>1837</v>
      </c>
      <c r="D1200" s="1" t="s">
        <v>735</v>
      </c>
      <c r="E1200" s="1" t="s">
        <v>19</v>
      </c>
      <c r="F1200" s="1" t="s">
        <v>20</v>
      </c>
      <c r="G1200" s="1" t="s">
        <v>1897</v>
      </c>
      <c r="H1200" s="1" t="s">
        <v>22</v>
      </c>
      <c r="I1200" s="1">
        <v>25</v>
      </c>
      <c r="J1200" s="1">
        <v>51201</v>
      </c>
      <c r="K1200" s="1" t="s">
        <v>34</v>
      </c>
      <c r="L1200" s="1" t="s">
        <v>34</v>
      </c>
      <c r="M1200" s="1" t="s">
        <v>1639</v>
      </c>
      <c r="N1200" s="1">
        <v>18900</v>
      </c>
      <c r="O1200" s="12">
        <v>17000</v>
      </c>
      <c r="P1200" s="3" t="s">
        <v>68</v>
      </c>
      <c r="Q1200" s="1" cm="1">
        <f t="array" ref="Q1200">VALUE(INDEX(_xlfn.TEXTSPLIT(P1200, " "), 4))</f>
        <v>2014</v>
      </c>
      <c r="R1200" s="1" t="str">
        <f t="shared" si="18"/>
        <v>Honda Pilot EX</v>
      </c>
      <c r="S1200" s="1" t="str" cm="1">
        <f t="array" ref="S1200">_xlfn.IFS(I1200 &gt;= 40, "High", I1200&gt;=20, "Medium", I1200&lt;20, "Low")</f>
        <v>Medium</v>
      </c>
      <c r="T1200" s="1" t="str" cm="1">
        <f t="array" ref="T1200">_xlfn.IFS(O1200&lt;18200, "Low", O1200&lt;=50000, "Medium", O1200&gt;50000, "High")</f>
        <v>Low</v>
      </c>
    </row>
    <row r="1201" spans="1:20" x14ac:dyDescent="0.25">
      <c r="A1201" s="2">
        <v>2012</v>
      </c>
      <c r="B1201" s="1" t="s">
        <v>85</v>
      </c>
      <c r="C1201" s="1" t="s">
        <v>86</v>
      </c>
      <c r="D1201" s="1" t="s">
        <v>1518</v>
      </c>
      <c r="E1201" s="1" t="s">
        <v>32</v>
      </c>
      <c r="F1201" s="1" t="s">
        <v>20</v>
      </c>
      <c r="G1201" s="1" t="s">
        <v>1898</v>
      </c>
      <c r="H1201" s="1" t="s">
        <v>22</v>
      </c>
      <c r="I1201" s="1">
        <v>29</v>
      </c>
      <c r="J1201" s="1">
        <v>120695</v>
      </c>
      <c r="K1201" s="1" t="s">
        <v>34</v>
      </c>
      <c r="L1201" s="1" t="s">
        <v>24</v>
      </c>
      <c r="M1201" s="1" t="s">
        <v>946</v>
      </c>
      <c r="N1201" s="1">
        <v>8100</v>
      </c>
      <c r="O1201" s="12">
        <v>6000</v>
      </c>
      <c r="P1201" s="3" t="s">
        <v>68</v>
      </c>
      <c r="Q1201" s="1" cm="1">
        <f t="array" ref="Q1201">VALUE(INDEX(_xlfn.TEXTSPLIT(P1201, " "), 4))</f>
        <v>2014</v>
      </c>
      <c r="R1201" s="1" t="str">
        <f t="shared" si="18"/>
        <v>Ford Fusion SEL</v>
      </c>
      <c r="S1201" s="1" t="str" cm="1">
        <f t="array" ref="S1201">_xlfn.IFS(I1201 &gt;= 40, "High", I1201&gt;=20, "Medium", I1201&lt;20, "Low")</f>
        <v>Medium</v>
      </c>
      <c r="T1201" s="1" t="str" cm="1">
        <f t="array" ref="T1201">_xlfn.IFS(O1201&lt;18200, "Low", O1201&lt;=50000, "Medium", O1201&gt;50000, "High")</f>
        <v>Low</v>
      </c>
    </row>
    <row r="1202" spans="1:20" x14ac:dyDescent="0.25">
      <c r="A1202" s="2">
        <v>2012</v>
      </c>
      <c r="B1202" s="1" t="s">
        <v>98</v>
      </c>
      <c r="C1202" s="1" t="s">
        <v>219</v>
      </c>
      <c r="D1202" s="1" t="s">
        <v>348</v>
      </c>
      <c r="E1202" s="1" t="s">
        <v>32</v>
      </c>
      <c r="F1202" s="1" t="s">
        <v>20</v>
      </c>
      <c r="G1202" s="1" t="s">
        <v>1899</v>
      </c>
      <c r="H1202" s="1" t="s">
        <v>22</v>
      </c>
      <c r="I1202" s="1">
        <v>41</v>
      </c>
      <c r="J1202" s="1">
        <v>29954</v>
      </c>
      <c r="K1202" s="1" t="s">
        <v>94</v>
      </c>
      <c r="L1202" s="1" t="s">
        <v>28</v>
      </c>
      <c r="M1202" s="1" t="s">
        <v>350</v>
      </c>
      <c r="N1202" s="1">
        <v>10600</v>
      </c>
      <c r="O1202" s="12">
        <v>11300</v>
      </c>
      <c r="P1202" s="3" t="s">
        <v>84</v>
      </c>
      <c r="Q1202" s="1" cm="1">
        <f t="array" ref="Q1202">VALUE(INDEX(_xlfn.TEXTSPLIT(P1202, " "), 4))</f>
        <v>2014</v>
      </c>
      <c r="R1202" s="1" t="str">
        <f t="shared" si="18"/>
        <v>Hyundai Elantra GLS</v>
      </c>
      <c r="S1202" s="1" t="str" cm="1">
        <f t="array" ref="S1202">_xlfn.IFS(I1202 &gt;= 40, "High", I1202&gt;=20, "Medium", I1202&lt;20, "Low")</f>
        <v>High</v>
      </c>
      <c r="T1202" s="1" t="str" cm="1">
        <f t="array" ref="T1202">_xlfn.IFS(O1202&lt;18200, "Low", O1202&lt;=50000, "Medium", O1202&gt;50000, "High")</f>
        <v>Low</v>
      </c>
    </row>
    <row r="1203" spans="1:20" x14ac:dyDescent="0.25">
      <c r="A1203" s="2">
        <v>2012</v>
      </c>
      <c r="B1203" s="1" t="s">
        <v>1806</v>
      </c>
      <c r="C1203" s="1" t="s">
        <v>1829</v>
      </c>
      <c r="D1203" s="1" t="s">
        <v>18</v>
      </c>
      <c r="E1203" s="1" t="s">
        <v>107</v>
      </c>
      <c r="F1203" s="1" t="s">
        <v>20</v>
      </c>
      <c r="G1203" s="1" t="s">
        <v>1900</v>
      </c>
      <c r="H1203" s="1" t="s">
        <v>22</v>
      </c>
      <c r="I1203" s="1">
        <v>19</v>
      </c>
      <c r="J1203" s="1">
        <v>29149</v>
      </c>
      <c r="K1203" s="1" t="s">
        <v>91</v>
      </c>
      <c r="L1203" s="1" t="s">
        <v>28</v>
      </c>
      <c r="M1203" s="1" t="s">
        <v>1327</v>
      </c>
      <c r="N1203" s="1">
        <v>10900</v>
      </c>
      <c r="O1203" s="12">
        <v>7500</v>
      </c>
      <c r="P1203" s="3" t="s">
        <v>68</v>
      </c>
      <c r="Q1203" s="1" cm="1">
        <f t="array" ref="Q1203">VALUE(INDEX(_xlfn.TEXTSPLIT(P1203, " "), 4))</f>
        <v>2014</v>
      </c>
      <c r="R1203" s="1" t="str">
        <f t="shared" si="18"/>
        <v>Honda Civic LX</v>
      </c>
      <c r="S1203" s="1" t="str" cm="1">
        <f t="array" ref="S1203">_xlfn.IFS(I1203 &gt;= 40, "High", I1203&gt;=20, "Medium", I1203&lt;20, "Low")</f>
        <v>Low</v>
      </c>
      <c r="T1203" s="1" t="str" cm="1">
        <f t="array" ref="T1203">_xlfn.IFS(O1203&lt;18200, "Low", O1203&lt;=50000, "Medium", O1203&gt;50000, "High")</f>
        <v>Low</v>
      </c>
    </row>
    <row r="1204" spans="1:20" x14ac:dyDescent="0.25">
      <c r="A1204" s="2">
        <v>2012</v>
      </c>
      <c r="B1204" s="1" t="s">
        <v>1806</v>
      </c>
      <c r="C1204" s="1" t="s">
        <v>1829</v>
      </c>
      <c r="D1204" s="1" t="s">
        <v>18</v>
      </c>
      <c r="E1204" s="1" t="s">
        <v>32</v>
      </c>
      <c r="F1204" s="1" t="s">
        <v>20</v>
      </c>
      <c r="G1204" s="1" t="s">
        <v>1901</v>
      </c>
      <c r="H1204" s="1" t="s">
        <v>22</v>
      </c>
      <c r="I1204" s="1">
        <v>38</v>
      </c>
      <c r="J1204" s="1">
        <v>30961</v>
      </c>
      <c r="K1204" s="1" t="s">
        <v>23</v>
      </c>
      <c r="L1204" s="1" t="s">
        <v>24</v>
      </c>
      <c r="M1204" s="1" t="s">
        <v>1266</v>
      </c>
      <c r="N1204" s="1">
        <v>12400</v>
      </c>
      <c r="O1204" s="12">
        <v>12500</v>
      </c>
      <c r="P1204" s="3" t="s">
        <v>68</v>
      </c>
      <c r="Q1204" s="1" cm="1">
        <f t="array" ref="Q1204">VALUE(INDEX(_xlfn.TEXTSPLIT(P1204, " "), 4))</f>
        <v>2014</v>
      </c>
      <c r="R1204" s="1" t="str">
        <f t="shared" si="18"/>
        <v>Honda Civic LX</v>
      </c>
      <c r="S1204" s="1" t="str" cm="1">
        <f t="array" ref="S1204">_xlfn.IFS(I1204 &gt;= 40, "High", I1204&gt;=20, "Medium", I1204&lt;20, "Low")</f>
        <v>Medium</v>
      </c>
      <c r="T1204" s="1" t="str" cm="1">
        <f t="array" ref="T1204">_xlfn.IFS(O1204&lt;18200, "Low", O1204&lt;=50000, "Medium", O1204&gt;50000, "High")</f>
        <v>Low</v>
      </c>
    </row>
    <row r="1205" spans="1:20" x14ac:dyDescent="0.25">
      <c r="A1205" s="2">
        <v>2012</v>
      </c>
      <c r="B1205" s="1" t="s">
        <v>98</v>
      </c>
      <c r="C1205" s="1" t="s">
        <v>219</v>
      </c>
      <c r="D1205" s="1" t="s">
        <v>348</v>
      </c>
      <c r="E1205" s="1" t="s">
        <v>32</v>
      </c>
      <c r="F1205" s="1" t="s">
        <v>20</v>
      </c>
      <c r="G1205" s="1" t="s">
        <v>1902</v>
      </c>
      <c r="H1205" s="1" t="s">
        <v>22</v>
      </c>
      <c r="I1205" s="1">
        <v>42</v>
      </c>
      <c r="J1205" s="1">
        <v>34411</v>
      </c>
      <c r="K1205" s="1" t="s">
        <v>24</v>
      </c>
      <c r="L1205" s="1" t="s">
        <v>28</v>
      </c>
      <c r="M1205" s="1" t="s">
        <v>350</v>
      </c>
      <c r="N1205" s="1">
        <v>10350</v>
      </c>
      <c r="O1205" s="12">
        <v>11600</v>
      </c>
      <c r="P1205" s="3" t="s">
        <v>84</v>
      </c>
      <c r="Q1205" s="1" cm="1">
        <f t="array" ref="Q1205">VALUE(INDEX(_xlfn.TEXTSPLIT(P1205, " "), 4))</f>
        <v>2014</v>
      </c>
      <c r="R1205" s="1" t="str">
        <f t="shared" si="18"/>
        <v>Hyundai Elantra GLS</v>
      </c>
      <c r="S1205" s="1" t="str" cm="1">
        <f t="array" ref="S1205">_xlfn.IFS(I1205 &gt;= 40, "High", I1205&gt;=20, "Medium", I1205&lt;20, "Low")</f>
        <v>High</v>
      </c>
      <c r="T1205" s="1" t="str" cm="1">
        <f t="array" ref="T1205">_xlfn.IFS(O1205&lt;18200, "Low", O1205&lt;=50000, "Medium", O1205&gt;50000, "High")</f>
        <v>Low</v>
      </c>
    </row>
    <row r="1206" spans="1:20" x14ac:dyDescent="0.25">
      <c r="A1206" s="2">
        <v>2012</v>
      </c>
      <c r="B1206" s="1" t="s">
        <v>98</v>
      </c>
      <c r="C1206" s="1" t="s">
        <v>444</v>
      </c>
      <c r="D1206" s="1" t="s">
        <v>348</v>
      </c>
      <c r="E1206" s="1" t="s">
        <v>19</v>
      </c>
      <c r="F1206" s="1" t="s">
        <v>20</v>
      </c>
      <c r="G1206" s="1" t="s">
        <v>1903</v>
      </c>
      <c r="H1206" s="1" t="s">
        <v>22</v>
      </c>
      <c r="I1206" s="1">
        <v>2</v>
      </c>
      <c r="J1206" s="1">
        <v>40716</v>
      </c>
      <c r="K1206" s="1" t="s">
        <v>94</v>
      </c>
      <c r="L1206" s="1" t="s">
        <v>34</v>
      </c>
      <c r="M1206" s="1" t="s">
        <v>350</v>
      </c>
      <c r="N1206" s="1">
        <v>14200</v>
      </c>
      <c r="O1206" s="12">
        <v>10100</v>
      </c>
      <c r="P1206" s="3" t="s">
        <v>84</v>
      </c>
      <c r="Q1206" s="1" cm="1">
        <f t="array" ref="Q1206">VALUE(INDEX(_xlfn.TEXTSPLIT(P1206, " "), 4))</f>
        <v>2014</v>
      </c>
      <c r="R1206" s="1" t="str">
        <f t="shared" si="18"/>
        <v>Hyundai Tucson GLS</v>
      </c>
      <c r="S1206" s="1" t="str" cm="1">
        <f t="array" ref="S1206">_xlfn.IFS(I1206 &gt;= 40, "High", I1206&gt;=20, "Medium", I1206&lt;20, "Low")</f>
        <v>Low</v>
      </c>
      <c r="T1206" s="1" t="str" cm="1">
        <f t="array" ref="T1206">_xlfn.IFS(O1206&lt;18200, "Low", O1206&lt;=50000, "Medium", O1206&gt;50000, "High")</f>
        <v>Low</v>
      </c>
    </row>
    <row r="1207" spans="1:20" x14ac:dyDescent="0.25">
      <c r="A1207" s="2">
        <v>2012</v>
      </c>
      <c r="B1207" s="1" t="s">
        <v>318</v>
      </c>
      <c r="C1207" s="1" t="s">
        <v>323</v>
      </c>
      <c r="D1207" s="1" t="s">
        <v>1817</v>
      </c>
      <c r="E1207" s="1" t="s">
        <v>323</v>
      </c>
      <c r="F1207" s="1" t="s">
        <v>20</v>
      </c>
      <c r="G1207" s="1" t="s">
        <v>1904</v>
      </c>
      <c r="H1207" s="1" t="s">
        <v>22</v>
      </c>
      <c r="I1207" s="1">
        <v>44</v>
      </c>
      <c r="J1207" s="1">
        <v>17857</v>
      </c>
      <c r="K1207" s="1" t="s">
        <v>34</v>
      </c>
      <c r="L1207" s="1" t="s">
        <v>24</v>
      </c>
      <c r="M1207" s="1" t="s">
        <v>322</v>
      </c>
      <c r="N1207" s="1">
        <v>20000</v>
      </c>
      <c r="O1207" s="12">
        <v>20500</v>
      </c>
      <c r="P1207" s="3" t="s">
        <v>46</v>
      </c>
      <c r="Q1207" s="1" cm="1">
        <f t="array" ref="Q1207">VALUE(INDEX(_xlfn.TEXTSPLIT(P1207, " "), 4))</f>
        <v>2014</v>
      </c>
      <c r="R1207" s="1" t="str">
        <f t="shared" si="18"/>
        <v>Infiniti G Sedan G25</v>
      </c>
      <c r="S1207" s="1" t="str" cm="1">
        <f t="array" ref="S1207">_xlfn.IFS(I1207 &gt;= 40, "High", I1207&gt;=20, "Medium", I1207&lt;20, "Low")</f>
        <v>High</v>
      </c>
      <c r="T1207" s="1" t="str" cm="1">
        <f t="array" ref="T1207">_xlfn.IFS(O1207&lt;18200, "Low", O1207&lt;=50000, "Medium", O1207&gt;50000, "High")</f>
        <v>Medium</v>
      </c>
    </row>
    <row r="1208" spans="1:20" x14ac:dyDescent="0.25">
      <c r="A1208" s="2">
        <v>2012</v>
      </c>
      <c r="B1208" s="1" t="s">
        <v>318</v>
      </c>
      <c r="C1208" s="1" t="s">
        <v>323</v>
      </c>
      <c r="D1208" s="1" t="s">
        <v>1817</v>
      </c>
      <c r="E1208" s="1" t="s">
        <v>323</v>
      </c>
      <c r="F1208" s="1" t="s">
        <v>20</v>
      </c>
      <c r="G1208" s="1" t="s">
        <v>1905</v>
      </c>
      <c r="H1208" s="1" t="s">
        <v>22</v>
      </c>
      <c r="I1208" s="1">
        <v>41</v>
      </c>
      <c r="J1208" s="1">
        <v>21493</v>
      </c>
      <c r="K1208" s="1" t="s">
        <v>23</v>
      </c>
      <c r="L1208" s="1" t="s">
        <v>24</v>
      </c>
      <c r="M1208" s="1" t="s">
        <v>322</v>
      </c>
      <c r="N1208" s="1">
        <v>19650</v>
      </c>
      <c r="O1208" s="12">
        <v>20250</v>
      </c>
      <c r="P1208" s="3" t="s">
        <v>46</v>
      </c>
      <c r="Q1208" s="1" cm="1">
        <f t="array" ref="Q1208">VALUE(INDEX(_xlfn.TEXTSPLIT(P1208, " "), 4))</f>
        <v>2014</v>
      </c>
      <c r="R1208" s="1" t="str">
        <f t="shared" si="18"/>
        <v>Infiniti G Sedan G25</v>
      </c>
      <c r="S1208" s="1" t="str" cm="1">
        <f t="array" ref="S1208">_xlfn.IFS(I1208 &gt;= 40, "High", I1208&gt;=20, "Medium", I1208&lt;20, "Low")</f>
        <v>High</v>
      </c>
      <c r="T1208" s="1" t="str" cm="1">
        <f t="array" ref="T1208">_xlfn.IFS(O1208&lt;18200, "Low", O1208&lt;=50000, "Medium", O1208&gt;50000, "High")</f>
        <v>Medium</v>
      </c>
    </row>
    <row r="1209" spans="1:20" x14ac:dyDescent="0.25">
      <c r="A1209" s="2">
        <v>2012</v>
      </c>
      <c r="B1209" s="1" t="s">
        <v>318</v>
      </c>
      <c r="C1209" s="1" t="s">
        <v>323</v>
      </c>
      <c r="D1209" s="1" t="s">
        <v>1817</v>
      </c>
      <c r="E1209" s="1" t="s">
        <v>323</v>
      </c>
      <c r="F1209" s="1" t="s">
        <v>20</v>
      </c>
      <c r="G1209" s="1" t="s">
        <v>1906</v>
      </c>
      <c r="H1209" s="1" t="s">
        <v>22</v>
      </c>
      <c r="I1209" s="1">
        <v>45</v>
      </c>
      <c r="J1209" s="1">
        <v>4220</v>
      </c>
      <c r="K1209" s="1" t="s">
        <v>34</v>
      </c>
      <c r="L1209" s="1" t="s">
        <v>24</v>
      </c>
      <c r="M1209" s="1" t="s">
        <v>322</v>
      </c>
      <c r="N1209" s="1">
        <v>18300</v>
      </c>
      <c r="O1209" s="12">
        <v>22250</v>
      </c>
      <c r="P1209" s="3" t="s">
        <v>46</v>
      </c>
      <c r="Q1209" s="1" cm="1">
        <f t="array" ref="Q1209">VALUE(INDEX(_xlfn.TEXTSPLIT(P1209, " "), 4))</f>
        <v>2014</v>
      </c>
      <c r="R1209" s="1" t="str">
        <f t="shared" si="18"/>
        <v>Infiniti G Sedan G25</v>
      </c>
      <c r="S1209" s="1" t="str" cm="1">
        <f t="array" ref="S1209">_xlfn.IFS(I1209 &gt;= 40, "High", I1209&gt;=20, "Medium", I1209&lt;20, "Low")</f>
        <v>High</v>
      </c>
      <c r="T1209" s="1" t="str" cm="1">
        <f t="array" ref="T1209">_xlfn.IFS(O1209&lt;18200, "Low", O1209&lt;=50000, "Medium", O1209&gt;50000, "High")</f>
        <v>Medium</v>
      </c>
    </row>
    <row r="1210" spans="1:20" x14ac:dyDescent="0.25">
      <c r="A1210" s="2">
        <v>2012</v>
      </c>
      <c r="B1210" s="1" t="s">
        <v>1806</v>
      </c>
      <c r="C1210" s="1" t="s">
        <v>1807</v>
      </c>
      <c r="D1210" s="1" t="s">
        <v>18</v>
      </c>
      <c r="E1210" s="1" t="s">
        <v>32</v>
      </c>
      <c r="F1210" s="1" t="s">
        <v>20</v>
      </c>
      <c r="G1210" s="1" t="s">
        <v>1907</v>
      </c>
      <c r="H1210" s="1" t="s">
        <v>22</v>
      </c>
      <c r="I1210" s="1">
        <v>39</v>
      </c>
      <c r="J1210" s="1">
        <v>27112</v>
      </c>
      <c r="K1210" s="1" t="s">
        <v>34</v>
      </c>
      <c r="L1210" s="1" t="s">
        <v>24</v>
      </c>
      <c r="M1210" s="1" t="s">
        <v>1266</v>
      </c>
      <c r="N1210" s="1">
        <v>12250</v>
      </c>
      <c r="O1210" s="12">
        <v>13500</v>
      </c>
      <c r="P1210" s="3" t="s">
        <v>68</v>
      </c>
      <c r="Q1210" s="1" cm="1">
        <f t="array" ref="Q1210">VALUE(INDEX(_xlfn.TEXTSPLIT(P1210, " "), 4))</f>
        <v>2014</v>
      </c>
      <c r="R1210" s="1" t="str">
        <f t="shared" si="18"/>
        <v>Honda Accord LX</v>
      </c>
      <c r="S1210" s="1" t="str" cm="1">
        <f t="array" ref="S1210">_xlfn.IFS(I1210 &gt;= 40, "High", I1210&gt;=20, "Medium", I1210&lt;20, "Low")</f>
        <v>Medium</v>
      </c>
      <c r="T1210" s="1" t="str" cm="1">
        <f t="array" ref="T1210">_xlfn.IFS(O1210&lt;18200, "Low", O1210&lt;=50000, "Medium", O1210&gt;50000, "High")</f>
        <v>Low</v>
      </c>
    </row>
    <row r="1211" spans="1:20" x14ac:dyDescent="0.25">
      <c r="A1211" s="2">
        <v>2012</v>
      </c>
      <c r="B1211" s="1" t="s">
        <v>1806</v>
      </c>
      <c r="C1211" s="1" t="s">
        <v>1829</v>
      </c>
      <c r="D1211" s="1" t="s">
        <v>18</v>
      </c>
      <c r="E1211" s="1" t="s">
        <v>32</v>
      </c>
      <c r="F1211" s="1" t="s">
        <v>20</v>
      </c>
      <c r="G1211" s="1" t="s">
        <v>1908</v>
      </c>
      <c r="H1211" s="1" t="s">
        <v>22</v>
      </c>
      <c r="I1211" s="1">
        <v>36</v>
      </c>
      <c r="J1211" s="1">
        <v>47851</v>
      </c>
      <c r="K1211" s="1" t="s">
        <v>91</v>
      </c>
      <c r="L1211" s="1" t="s">
        <v>34</v>
      </c>
      <c r="M1211" s="1" t="s">
        <v>1327</v>
      </c>
      <c r="N1211" s="1">
        <v>10550</v>
      </c>
      <c r="O1211" s="12">
        <v>11400</v>
      </c>
      <c r="P1211" s="3" t="s">
        <v>68</v>
      </c>
      <c r="Q1211" s="1" cm="1">
        <f t="array" ref="Q1211">VALUE(INDEX(_xlfn.TEXTSPLIT(P1211, " "), 4))</f>
        <v>2014</v>
      </c>
      <c r="R1211" s="1" t="str">
        <f t="shared" si="18"/>
        <v>Honda Civic LX</v>
      </c>
      <c r="S1211" s="1" t="str" cm="1">
        <f t="array" ref="S1211">_xlfn.IFS(I1211 &gt;= 40, "High", I1211&gt;=20, "Medium", I1211&lt;20, "Low")</f>
        <v>Medium</v>
      </c>
      <c r="T1211" s="1" t="str" cm="1">
        <f t="array" ref="T1211">_xlfn.IFS(O1211&lt;18200, "Low", O1211&lt;=50000, "Medium", O1211&gt;50000, "High")</f>
        <v>Low</v>
      </c>
    </row>
    <row r="1212" spans="1:20" x14ac:dyDescent="0.25">
      <c r="A1212" s="2">
        <v>2012</v>
      </c>
      <c r="B1212" s="1" t="s">
        <v>98</v>
      </c>
      <c r="C1212" s="1" t="s">
        <v>219</v>
      </c>
      <c r="D1212" s="1" t="s">
        <v>348</v>
      </c>
      <c r="E1212" s="1" t="s">
        <v>32</v>
      </c>
      <c r="F1212" s="1" t="s">
        <v>20</v>
      </c>
      <c r="G1212" s="1" t="s">
        <v>1909</v>
      </c>
      <c r="H1212" s="1" t="s">
        <v>22</v>
      </c>
      <c r="I1212" s="1">
        <v>36</v>
      </c>
      <c r="J1212" s="1">
        <v>39015</v>
      </c>
      <c r="K1212" s="1" t="s">
        <v>24</v>
      </c>
      <c r="L1212" s="1" t="s">
        <v>28</v>
      </c>
      <c r="M1212" s="1" t="s">
        <v>350</v>
      </c>
      <c r="N1212" s="1">
        <v>10100</v>
      </c>
      <c r="O1212" s="12">
        <v>11100</v>
      </c>
      <c r="P1212" s="3" t="s">
        <v>84</v>
      </c>
      <c r="Q1212" s="1" cm="1">
        <f t="array" ref="Q1212">VALUE(INDEX(_xlfn.TEXTSPLIT(P1212, " "), 4))</f>
        <v>2014</v>
      </c>
      <c r="R1212" s="1" t="str">
        <f t="shared" si="18"/>
        <v>Hyundai Elantra GLS</v>
      </c>
      <c r="S1212" s="1" t="str" cm="1">
        <f t="array" ref="S1212">_xlfn.IFS(I1212 &gt;= 40, "High", I1212&gt;=20, "Medium", I1212&lt;20, "Low")</f>
        <v>Medium</v>
      </c>
      <c r="T1212" s="1" t="str" cm="1">
        <f t="array" ref="T1212">_xlfn.IFS(O1212&lt;18200, "Low", O1212&lt;=50000, "Medium", O1212&gt;50000, "High")</f>
        <v>Low</v>
      </c>
    </row>
    <row r="1213" spans="1:20" x14ac:dyDescent="0.25">
      <c r="A1213" s="2">
        <v>2012</v>
      </c>
      <c r="B1213" s="1" t="s">
        <v>1806</v>
      </c>
      <c r="C1213" s="1" t="s">
        <v>1807</v>
      </c>
      <c r="D1213" s="1" t="s">
        <v>87</v>
      </c>
      <c r="E1213" s="1" t="s">
        <v>32</v>
      </c>
      <c r="F1213" s="1" t="s">
        <v>20</v>
      </c>
      <c r="G1213" s="1" t="s">
        <v>1910</v>
      </c>
      <c r="H1213" s="1" t="s">
        <v>22</v>
      </c>
      <c r="I1213" s="1">
        <v>4</v>
      </c>
      <c r="J1213" s="1">
        <v>28633</v>
      </c>
      <c r="K1213" s="1" t="s">
        <v>91</v>
      </c>
      <c r="L1213" s="1" t="s">
        <v>24</v>
      </c>
      <c r="M1213" s="1" t="s">
        <v>1266</v>
      </c>
      <c r="N1213" s="1">
        <v>13300</v>
      </c>
      <c r="O1213" s="12">
        <v>13600</v>
      </c>
      <c r="P1213" s="3" t="s">
        <v>68</v>
      </c>
      <c r="Q1213" s="1" cm="1">
        <f t="array" ref="Q1213">VALUE(INDEX(_xlfn.TEXTSPLIT(P1213, " "), 4))</f>
        <v>2014</v>
      </c>
      <c r="R1213" s="1" t="str">
        <f t="shared" si="18"/>
        <v>Honda Accord SE</v>
      </c>
      <c r="S1213" s="1" t="str" cm="1">
        <f t="array" ref="S1213">_xlfn.IFS(I1213 &gt;= 40, "High", I1213&gt;=20, "Medium", I1213&lt;20, "Low")</f>
        <v>Low</v>
      </c>
      <c r="T1213" s="1" t="str" cm="1">
        <f t="array" ref="T1213">_xlfn.IFS(O1213&lt;18200, "Low", O1213&lt;=50000, "Medium", O1213&gt;50000, "High")</f>
        <v>Low</v>
      </c>
    </row>
    <row r="1214" spans="1:20" x14ac:dyDescent="0.25">
      <c r="A1214" s="2">
        <v>2012</v>
      </c>
      <c r="B1214" s="1" t="s">
        <v>98</v>
      </c>
      <c r="C1214" s="1" t="s">
        <v>99</v>
      </c>
      <c r="D1214" s="1" t="s">
        <v>337</v>
      </c>
      <c r="E1214" s="1" t="s">
        <v>32</v>
      </c>
      <c r="F1214" s="1" t="s">
        <v>20</v>
      </c>
      <c r="G1214" s="1" t="s">
        <v>1911</v>
      </c>
      <c r="H1214" s="1" t="s">
        <v>22</v>
      </c>
      <c r="I1214" s="1">
        <v>25</v>
      </c>
      <c r="J1214" s="1">
        <v>40057</v>
      </c>
      <c r="K1214" s="1" t="s">
        <v>24</v>
      </c>
      <c r="L1214" s="1" t="s">
        <v>24</v>
      </c>
      <c r="M1214" s="1" t="s">
        <v>350</v>
      </c>
      <c r="N1214" s="1">
        <v>15250</v>
      </c>
      <c r="O1214" s="12">
        <v>14400</v>
      </c>
      <c r="P1214" s="3" t="s">
        <v>593</v>
      </c>
      <c r="Q1214" s="1" cm="1">
        <f t="array" ref="Q1214">VALUE(INDEX(_xlfn.TEXTSPLIT(P1214, " "), 4))</f>
        <v>2015</v>
      </c>
      <c r="R1214" s="1" t="str">
        <f t="shared" si="18"/>
        <v>Hyundai Sonata Limited</v>
      </c>
      <c r="S1214" s="1" t="str" cm="1">
        <f t="array" ref="S1214">_xlfn.IFS(I1214 &gt;= 40, "High", I1214&gt;=20, "Medium", I1214&lt;20, "Low")</f>
        <v>Medium</v>
      </c>
      <c r="T1214" s="1" t="str" cm="1">
        <f t="array" ref="T1214">_xlfn.IFS(O1214&lt;18200, "Low", O1214&lt;=50000, "Medium", O1214&gt;50000, "High")</f>
        <v>Low</v>
      </c>
    </row>
    <row r="1215" spans="1:20" x14ac:dyDescent="0.25">
      <c r="A1215" s="2">
        <v>2012</v>
      </c>
      <c r="B1215" s="1" t="s">
        <v>1806</v>
      </c>
      <c r="C1215" s="1" t="s">
        <v>1912</v>
      </c>
      <c r="D1215" s="1" t="s">
        <v>1868</v>
      </c>
      <c r="E1215" s="1" t="s">
        <v>227</v>
      </c>
      <c r="F1215" s="1" t="s">
        <v>20</v>
      </c>
      <c r="G1215" s="1" t="s">
        <v>1913</v>
      </c>
      <c r="H1215" s="1" t="s">
        <v>22</v>
      </c>
      <c r="I1215" s="1">
        <v>43</v>
      </c>
      <c r="J1215" s="1">
        <v>25162</v>
      </c>
      <c r="K1215" s="1" t="s">
        <v>23</v>
      </c>
      <c r="L1215" s="1" t="s">
        <v>28</v>
      </c>
      <c r="M1215" s="1" t="s">
        <v>1266</v>
      </c>
      <c r="N1215" s="1">
        <v>19050</v>
      </c>
      <c r="O1215" s="12">
        <v>20200</v>
      </c>
      <c r="P1215" s="3" t="s">
        <v>68</v>
      </c>
      <c r="Q1215" s="1" cm="1">
        <f t="array" ref="Q1215">VALUE(INDEX(_xlfn.TEXTSPLIT(P1215, " "), 4))</f>
        <v>2014</v>
      </c>
      <c r="R1215" s="1" t="str">
        <f t="shared" si="18"/>
        <v>Honda Crosstour EX-L</v>
      </c>
      <c r="S1215" s="1" t="str" cm="1">
        <f t="array" ref="S1215">_xlfn.IFS(I1215 &gt;= 40, "High", I1215&gt;=20, "Medium", I1215&lt;20, "Low")</f>
        <v>High</v>
      </c>
      <c r="T1215" s="1" t="str" cm="1">
        <f t="array" ref="T1215">_xlfn.IFS(O1215&lt;18200, "Low", O1215&lt;=50000, "Medium", O1215&gt;50000, "High")</f>
        <v>Medium</v>
      </c>
    </row>
    <row r="1216" spans="1:20" x14ac:dyDescent="0.25">
      <c r="A1216" s="2">
        <v>2012</v>
      </c>
      <c r="B1216" s="1" t="s">
        <v>98</v>
      </c>
      <c r="C1216" s="1" t="s">
        <v>340</v>
      </c>
      <c r="D1216" s="1">
        <v>3.8</v>
      </c>
      <c r="E1216" s="1" t="s">
        <v>32</v>
      </c>
      <c r="F1216" s="1" t="s">
        <v>20</v>
      </c>
      <c r="G1216" s="1" t="s">
        <v>1914</v>
      </c>
      <c r="H1216" s="1" t="s">
        <v>22</v>
      </c>
      <c r="I1216" s="1">
        <v>42</v>
      </c>
      <c r="J1216" s="1">
        <v>35967</v>
      </c>
      <c r="K1216" s="1" t="s">
        <v>384</v>
      </c>
      <c r="L1216" s="1" t="s">
        <v>28</v>
      </c>
      <c r="M1216" s="1" t="s">
        <v>350</v>
      </c>
      <c r="N1216" s="1">
        <v>16750</v>
      </c>
      <c r="O1216" s="12">
        <v>18600</v>
      </c>
      <c r="P1216" s="3" t="s">
        <v>84</v>
      </c>
      <c r="Q1216" s="1" cm="1">
        <f t="array" ref="Q1216">VALUE(INDEX(_xlfn.TEXTSPLIT(P1216, " "), 4))</f>
        <v>2014</v>
      </c>
      <c r="R1216" s="1" t="str">
        <f t="shared" si="18"/>
        <v>Hyundai Genesis 3.8</v>
      </c>
      <c r="S1216" s="1" t="str" cm="1">
        <f t="array" ref="S1216">_xlfn.IFS(I1216 &gt;= 40, "High", I1216&gt;=20, "Medium", I1216&lt;20, "Low")</f>
        <v>High</v>
      </c>
      <c r="T1216" s="1" t="str" cm="1">
        <f t="array" ref="T1216">_xlfn.IFS(O1216&lt;18200, "Low", O1216&lt;=50000, "Medium", O1216&gt;50000, "High")</f>
        <v>Medium</v>
      </c>
    </row>
    <row r="1217" spans="1:20" x14ac:dyDescent="0.25">
      <c r="A1217" s="2">
        <v>2012</v>
      </c>
      <c r="B1217" s="1" t="s">
        <v>85</v>
      </c>
      <c r="C1217" s="1" t="s">
        <v>86</v>
      </c>
      <c r="D1217" s="1" t="s">
        <v>87</v>
      </c>
      <c r="E1217" s="1" t="s">
        <v>32</v>
      </c>
      <c r="F1217" s="1" t="s">
        <v>20</v>
      </c>
      <c r="G1217" s="1" t="s">
        <v>1915</v>
      </c>
      <c r="H1217" s="1" t="s">
        <v>22</v>
      </c>
      <c r="I1217" s="1">
        <v>32</v>
      </c>
      <c r="J1217" s="1">
        <v>108714</v>
      </c>
      <c r="K1217" s="1" t="s">
        <v>94</v>
      </c>
      <c r="L1217" s="1" t="s">
        <v>24</v>
      </c>
      <c r="M1217" s="1" t="s">
        <v>1089</v>
      </c>
      <c r="N1217" s="1">
        <v>6500</v>
      </c>
      <c r="O1217" s="12">
        <v>6600</v>
      </c>
      <c r="P1217" s="3" t="s">
        <v>57</v>
      </c>
      <c r="Q1217" s="1" cm="1">
        <f t="array" ref="Q1217">VALUE(INDEX(_xlfn.TEXTSPLIT(P1217, " "), 4))</f>
        <v>2014</v>
      </c>
      <c r="R1217" s="1" t="str">
        <f t="shared" si="18"/>
        <v>Ford Fusion SE</v>
      </c>
      <c r="S1217" s="1" t="str" cm="1">
        <f t="array" ref="S1217">_xlfn.IFS(I1217 &gt;= 40, "High", I1217&gt;=20, "Medium", I1217&lt;20, "Low")</f>
        <v>Medium</v>
      </c>
      <c r="T1217" s="1" t="str" cm="1">
        <f t="array" ref="T1217">_xlfn.IFS(O1217&lt;18200, "Low", O1217&lt;=50000, "Medium", O1217&gt;50000, "High")</f>
        <v>Low</v>
      </c>
    </row>
    <row r="1218" spans="1:20" x14ac:dyDescent="0.25">
      <c r="A1218" s="2">
        <v>2012</v>
      </c>
      <c r="B1218" s="1" t="s">
        <v>1806</v>
      </c>
      <c r="C1218" s="1" t="s">
        <v>1807</v>
      </c>
      <c r="D1218" s="1" t="s">
        <v>1824</v>
      </c>
      <c r="E1218" s="1" t="s">
        <v>32</v>
      </c>
      <c r="F1218" s="1" t="s">
        <v>20</v>
      </c>
      <c r="G1218" s="1" t="s">
        <v>1916</v>
      </c>
      <c r="H1218" s="1" t="s">
        <v>22</v>
      </c>
      <c r="I1218" s="1">
        <v>42</v>
      </c>
      <c r="J1218" s="1">
        <v>46058</v>
      </c>
      <c r="K1218" s="1" t="s">
        <v>91</v>
      </c>
      <c r="L1218" s="1" t="s">
        <v>24</v>
      </c>
      <c r="M1218" s="1" t="s">
        <v>1266</v>
      </c>
      <c r="N1218" s="1">
        <v>11850</v>
      </c>
      <c r="O1218" s="12">
        <v>13200</v>
      </c>
      <c r="P1218" s="3" t="s">
        <v>68</v>
      </c>
      <c r="Q1218" s="1" cm="1">
        <f t="array" ref="Q1218">VALUE(INDEX(_xlfn.TEXTSPLIT(P1218, " "), 4))</f>
        <v>2014</v>
      </c>
      <c r="R1218" s="1" t="str">
        <f t="shared" si="18"/>
        <v>Honda Accord LX-P</v>
      </c>
      <c r="S1218" s="1" t="str" cm="1">
        <f t="array" ref="S1218">_xlfn.IFS(I1218 &gt;= 40, "High", I1218&gt;=20, "Medium", I1218&lt;20, "Low")</f>
        <v>High</v>
      </c>
      <c r="T1218" s="1" t="str" cm="1">
        <f t="array" ref="T1218">_xlfn.IFS(O1218&lt;18200, "Low", O1218&lt;=50000, "Medium", O1218&gt;50000, "High")</f>
        <v>Low</v>
      </c>
    </row>
    <row r="1219" spans="1:20" x14ac:dyDescent="0.25">
      <c r="A1219" s="2">
        <v>2012</v>
      </c>
      <c r="B1219" s="1" t="s">
        <v>1806</v>
      </c>
      <c r="C1219" s="1" t="s">
        <v>1829</v>
      </c>
      <c r="D1219" s="1" t="s">
        <v>18</v>
      </c>
      <c r="E1219" s="1" t="s">
        <v>32</v>
      </c>
      <c r="F1219" s="1" t="s">
        <v>20</v>
      </c>
      <c r="G1219" s="1" t="s">
        <v>1917</v>
      </c>
      <c r="H1219" s="1" t="s">
        <v>22</v>
      </c>
      <c r="I1219" s="1">
        <v>39</v>
      </c>
      <c r="J1219" s="1">
        <v>40568</v>
      </c>
      <c r="K1219" s="1" t="s">
        <v>94</v>
      </c>
      <c r="L1219" s="1" t="s">
        <v>28</v>
      </c>
      <c r="M1219" s="1" t="s">
        <v>1327</v>
      </c>
      <c r="N1219" s="1">
        <v>10900</v>
      </c>
      <c r="O1219" s="12">
        <v>11900</v>
      </c>
      <c r="P1219" s="3" t="s">
        <v>68</v>
      </c>
      <c r="Q1219" s="1" cm="1">
        <f t="array" ref="Q1219">VALUE(INDEX(_xlfn.TEXTSPLIT(P1219, " "), 4))</f>
        <v>2014</v>
      </c>
      <c r="R1219" s="1" t="str">
        <f t="shared" ref="R1219:R1282" si="19">_xlfn.TEXTJOIN(" ", TRUE, B1219, C1219, D1219)</f>
        <v>Honda Civic LX</v>
      </c>
      <c r="S1219" s="1" t="str" cm="1">
        <f t="array" ref="S1219">_xlfn.IFS(I1219 &gt;= 40, "High", I1219&gt;=20, "Medium", I1219&lt;20, "Low")</f>
        <v>Medium</v>
      </c>
      <c r="T1219" s="1" t="str" cm="1">
        <f t="array" ref="T1219">_xlfn.IFS(O1219&lt;18200, "Low", O1219&lt;=50000, "Medium", O1219&gt;50000, "High")</f>
        <v>Low</v>
      </c>
    </row>
    <row r="1220" spans="1:20" x14ac:dyDescent="0.25">
      <c r="A1220" s="2">
        <v>2012</v>
      </c>
      <c r="B1220" s="1" t="s">
        <v>98</v>
      </c>
      <c r="C1220" s="1" t="s">
        <v>340</v>
      </c>
      <c r="D1220" s="1">
        <v>3.8</v>
      </c>
      <c r="E1220" s="1" t="s">
        <v>32</v>
      </c>
      <c r="F1220" s="1" t="s">
        <v>20</v>
      </c>
      <c r="G1220" s="1" t="s">
        <v>1918</v>
      </c>
      <c r="H1220" s="1" t="s">
        <v>22</v>
      </c>
      <c r="I1220" s="1">
        <v>43</v>
      </c>
      <c r="J1220" s="1">
        <v>72006</v>
      </c>
      <c r="K1220" s="1" t="s">
        <v>91</v>
      </c>
      <c r="L1220" s="1" t="s">
        <v>24</v>
      </c>
      <c r="M1220" s="1" t="s">
        <v>350</v>
      </c>
      <c r="N1220" s="1">
        <v>12700</v>
      </c>
      <c r="O1220" s="12">
        <v>14200</v>
      </c>
      <c r="P1220" s="3" t="s">
        <v>84</v>
      </c>
      <c r="Q1220" s="1" cm="1">
        <f t="array" ref="Q1220">VALUE(INDEX(_xlfn.TEXTSPLIT(P1220, " "), 4))</f>
        <v>2014</v>
      </c>
      <c r="R1220" s="1" t="str">
        <f t="shared" si="19"/>
        <v>Hyundai Genesis 3.8</v>
      </c>
      <c r="S1220" s="1" t="str" cm="1">
        <f t="array" ref="S1220">_xlfn.IFS(I1220 &gt;= 40, "High", I1220&gt;=20, "Medium", I1220&lt;20, "Low")</f>
        <v>High</v>
      </c>
      <c r="T1220" s="1" t="str" cm="1">
        <f t="array" ref="T1220">_xlfn.IFS(O1220&lt;18200, "Low", O1220&lt;=50000, "Medium", O1220&gt;50000, "High")</f>
        <v>Low</v>
      </c>
    </row>
    <row r="1221" spans="1:20" x14ac:dyDescent="0.25">
      <c r="A1221" s="2">
        <v>2012</v>
      </c>
      <c r="B1221" s="1" t="s">
        <v>85</v>
      </c>
      <c r="C1221" s="1" t="s">
        <v>1919</v>
      </c>
      <c r="D1221" s="1" t="s">
        <v>1920</v>
      </c>
      <c r="E1221" s="1" t="s">
        <v>738</v>
      </c>
      <c r="F1221" s="1" t="s">
        <v>20</v>
      </c>
      <c r="G1221" s="1" t="s">
        <v>1921</v>
      </c>
      <c r="H1221" s="1" t="s">
        <v>22</v>
      </c>
      <c r="I1221" s="1">
        <v>3</v>
      </c>
      <c r="J1221" s="1">
        <v>50382</v>
      </c>
      <c r="K1221" s="1" t="s">
        <v>101</v>
      </c>
      <c r="L1221" s="1" t="s">
        <v>34</v>
      </c>
      <c r="M1221" s="1" t="s">
        <v>303</v>
      </c>
      <c r="N1221" s="1">
        <v>13550</v>
      </c>
      <c r="O1221" s="12">
        <v>12000</v>
      </c>
      <c r="P1221" s="3" t="s">
        <v>1922</v>
      </c>
      <c r="Q1221" s="1" cm="1">
        <f t="array" ref="Q1221">VALUE(INDEX(_xlfn.TEXTSPLIT(P1221, " "), 4))</f>
        <v>2014</v>
      </c>
      <c r="R1221" s="1" t="str">
        <f t="shared" si="19"/>
        <v>Ford Transit Connect Cargo Van XLT</v>
      </c>
      <c r="S1221" s="1" t="str" cm="1">
        <f t="array" ref="S1221">_xlfn.IFS(I1221 &gt;= 40, "High", I1221&gt;=20, "Medium", I1221&lt;20, "Low")</f>
        <v>Low</v>
      </c>
      <c r="T1221" s="1" t="str" cm="1">
        <f t="array" ref="T1221">_xlfn.IFS(O1221&lt;18200, "Low", O1221&lt;=50000, "Medium", O1221&gt;50000, "High")</f>
        <v>Low</v>
      </c>
    </row>
    <row r="1222" spans="1:20" x14ac:dyDescent="0.25">
      <c r="A1222" s="2">
        <v>2012</v>
      </c>
      <c r="B1222" s="1" t="s">
        <v>318</v>
      </c>
      <c r="C1222" s="1" t="s">
        <v>323</v>
      </c>
      <c r="D1222" s="1" t="s">
        <v>1817</v>
      </c>
      <c r="E1222" s="1" t="s">
        <v>323</v>
      </c>
      <c r="F1222" s="1" t="s">
        <v>20</v>
      </c>
      <c r="G1222" s="1" t="s">
        <v>1923</v>
      </c>
      <c r="H1222" s="1" t="s">
        <v>22</v>
      </c>
      <c r="I1222" s="1">
        <v>35</v>
      </c>
      <c r="J1222" s="1">
        <v>35614</v>
      </c>
      <c r="K1222" s="1" t="s">
        <v>34</v>
      </c>
      <c r="L1222" s="1" t="s">
        <v>24</v>
      </c>
      <c r="M1222" s="1" t="s">
        <v>322</v>
      </c>
      <c r="N1222" s="1">
        <v>18300</v>
      </c>
      <c r="O1222" s="12">
        <v>17500</v>
      </c>
      <c r="P1222" s="3" t="s">
        <v>46</v>
      </c>
      <c r="Q1222" s="1" cm="1">
        <f t="array" ref="Q1222">VALUE(INDEX(_xlfn.TEXTSPLIT(P1222, " "), 4))</f>
        <v>2014</v>
      </c>
      <c r="R1222" s="1" t="str">
        <f t="shared" si="19"/>
        <v>Infiniti G Sedan G25</v>
      </c>
      <c r="S1222" s="1" t="str" cm="1">
        <f t="array" ref="S1222">_xlfn.IFS(I1222 &gt;= 40, "High", I1222&gt;=20, "Medium", I1222&lt;20, "Low")</f>
        <v>Medium</v>
      </c>
      <c r="T1222" s="1" t="str" cm="1">
        <f t="array" ref="T1222">_xlfn.IFS(O1222&lt;18200, "Low", O1222&lt;=50000, "Medium", O1222&gt;50000, "High")</f>
        <v>Low</v>
      </c>
    </row>
    <row r="1223" spans="1:20" x14ac:dyDescent="0.25">
      <c r="A1223" s="2">
        <v>2012</v>
      </c>
      <c r="B1223" s="1" t="s">
        <v>98</v>
      </c>
      <c r="C1223" s="1" t="s">
        <v>340</v>
      </c>
      <c r="D1223" s="1">
        <v>3.8</v>
      </c>
      <c r="E1223" s="1" t="s">
        <v>32</v>
      </c>
      <c r="F1223" s="1" t="s">
        <v>20</v>
      </c>
      <c r="G1223" s="1" t="s">
        <v>1924</v>
      </c>
      <c r="H1223" s="1" t="s">
        <v>22</v>
      </c>
      <c r="I1223" s="1">
        <v>45</v>
      </c>
      <c r="J1223" s="1">
        <v>48016</v>
      </c>
      <c r="K1223" s="1" t="s">
        <v>24</v>
      </c>
      <c r="L1223" s="1" t="s">
        <v>24</v>
      </c>
      <c r="M1223" s="1" t="s">
        <v>350</v>
      </c>
      <c r="N1223" s="1">
        <v>15400</v>
      </c>
      <c r="O1223" s="12">
        <v>16500</v>
      </c>
      <c r="P1223" s="3" t="s">
        <v>84</v>
      </c>
      <c r="Q1223" s="1" cm="1">
        <f t="array" ref="Q1223">VALUE(INDEX(_xlfn.TEXTSPLIT(P1223, " "), 4))</f>
        <v>2014</v>
      </c>
      <c r="R1223" s="1" t="str">
        <f t="shared" si="19"/>
        <v>Hyundai Genesis 3.8</v>
      </c>
      <c r="S1223" s="1" t="str" cm="1">
        <f t="array" ref="S1223">_xlfn.IFS(I1223 &gt;= 40, "High", I1223&gt;=20, "Medium", I1223&lt;20, "Low")</f>
        <v>High</v>
      </c>
      <c r="T1223" s="1" t="str" cm="1">
        <f t="array" ref="T1223">_xlfn.IFS(O1223&lt;18200, "Low", O1223&lt;=50000, "Medium", O1223&gt;50000, "High")</f>
        <v>Low</v>
      </c>
    </row>
    <row r="1224" spans="1:20" x14ac:dyDescent="0.25">
      <c r="A1224" s="2">
        <v>2012</v>
      </c>
      <c r="B1224" s="1" t="s">
        <v>1925</v>
      </c>
      <c r="C1224" s="1" t="s">
        <v>1926</v>
      </c>
      <c r="D1224" s="1" t="s">
        <v>1927</v>
      </c>
      <c r="E1224" s="1" t="s">
        <v>19</v>
      </c>
      <c r="F1224" s="1" t="s">
        <v>20</v>
      </c>
      <c r="G1224" s="1" t="s">
        <v>1928</v>
      </c>
      <c r="H1224" s="1" t="s">
        <v>22</v>
      </c>
      <c r="I1224" s="1">
        <v>3</v>
      </c>
      <c r="J1224" s="1">
        <v>12101</v>
      </c>
      <c r="K1224" s="1" t="s">
        <v>91</v>
      </c>
      <c r="L1224" s="1" t="s">
        <v>24</v>
      </c>
      <c r="M1224" s="1" t="s">
        <v>1756</v>
      </c>
      <c r="N1224" s="1">
        <v>17350</v>
      </c>
      <c r="O1224" s="12">
        <v>14950</v>
      </c>
      <c r="P1224" s="3" t="s">
        <v>57</v>
      </c>
      <c r="Q1224" s="1" cm="1">
        <f t="array" ref="Q1224">VALUE(INDEX(_xlfn.TEXTSPLIT(P1224, " "), 4))</f>
        <v>2014</v>
      </c>
      <c r="R1224" s="1" t="str">
        <f t="shared" si="19"/>
        <v>GMC Terrain SLE-2</v>
      </c>
      <c r="S1224" s="1" t="str" cm="1">
        <f t="array" ref="S1224">_xlfn.IFS(I1224 &gt;= 40, "High", I1224&gt;=20, "Medium", I1224&lt;20, "Low")</f>
        <v>Low</v>
      </c>
      <c r="T1224" s="1" t="str" cm="1">
        <f t="array" ref="T1224">_xlfn.IFS(O1224&lt;18200, "Low", O1224&lt;=50000, "Medium", O1224&gt;50000, "High")</f>
        <v>Low</v>
      </c>
    </row>
    <row r="1225" spans="1:20" x14ac:dyDescent="0.25">
      <c r="A1225" s="2">
        <v>2012</v>
      </c>
      <c r="B1225" s="1" t="s">
        <v>85</v>
      </c>
      <c r="C1225" s="1" t="s">
        <v>86</v>
      </c>
      <c r="D1225" s="1" t="s">
        <v>1518</v>
      </c>
      <c r="E1225" s="1" t="s">
        <v>32</v>
      </c>
      <c r="F1225" s="1" t="s">
        <v>20</v>
      </c>
      <c r="G1225" s="1" t="s">
        <v>1929</v>
      </c>
      <c r="H1225" s="1" t="s">
        <v>22</v>
      </c>
      <c r="I1225" s="1">
        <v>43</v>
      </c>
      <c r="J1225" s="1">
        <v>7521</v>
      </c>
      <c r="K1225" s="1" t="s">
        <v>91</v>
      </c>
      <c r="L1225" s="1" t="s">
        <v>24</v>
      </c>
      <c r="M1225" s="1" t="s">
        <v>1515</v>
      </c>
      <c r="N1225" s="1">
        <v>15400</v>
      </c>
      <c r="O1225" s="12">
        <v>14500</v>
      </c>
      <c r="P1225" s="3" t="s">
        <v>68</v>
      </c>
      <c r="Q1225" s="1" cm="1">
        <f t="array" ref="Q1225">VALUE(INDEX(_xlfn.TEXTSPLIT(P1225, " "), 4))</f>
        <v>2014</v>
      </c>
      <c r="R1225" s="1" t="str">
        <f t="shared" si="19"/>
        <v>Ford Fusion SEL</v>
      </c>
      <c r="S1225" s="1" t="str" cm="1">
        <f t="array" ref="S1225">_xlfn.IFS(I1225 &gt;= 40, "High", I1225&gt;=20, "Medium", I1225&lt;20, "Low")</f>
        <v>High</v>
      </c>
      <c r="T1225" s="1" t="str" cm="1">
        <f t="array" ref="T1225">_xlfn.IFS(O1225&lt;18200, "Low", O1225&lt;=50000, "Medium", O1225&gt;50000, "High")</f>
        <v>Low</v>
      </c>
    </row>
    <row r="1226" spans="1:20" x14ac:dyDescent="0.25">
      <c r="A1226" s="2">
        <v>2012</v>
      </c>
      <c r="B1226" s="1" t="s">
        <v>98</v>
      </c>
      <c r="C1226" s="1" t="s">
        <v>336</v>
      </c>
      <c r="D1226" s="1" t="s">
        <v>87</v>
      </c>
      <c r="E1226" s="1" t="s">
        <v>19</v>
      </c>
      <c r="F1226" s="1" t="s">
        <v>20</v>
      </c>
      <c r="G1226" s="1" t="s">
        <v>1930</v>
      </c>
      <c r="H1226" s="1" t="s">
        <v>22</v>
      </c>
      <c r="I1226" s="1">
        <v>41</v>
      </c>
      <c r="J1226" s="1">
        <v>30188</v>
      </c>
      <c r="K1226" s="1" t="s">
        <v>101</v>
      </c>
      <c r="L1226" s="1" t="s">
        <v>34</v>
      </c>
      <c r="M1226" s="1" t="s">
        <v>339</v>
      </c>
      <c r="N1226" s="1">
        <v>14000</v>
      </c>
      <c r="O1226" s="12">
        <v>12500</v>
      </c>
      <c r="P1226" s="3" t="s">
        <v>84</v>
      </c>
      <c r="Q1226" s="1" cm="1">
        <f t="array" ref="Q1226">VALUE(INDEX(_xlfn.TEXTSPLIT(P1226, " "), 4))</f>
        <v>2014</v>
      </c>
      <c r="R1226" s="1" t="str">
        <f t="shared" si="19"/>
        <v>Hyundai Santa Fe SE</v>
      </c>
      <c r="S1226" s="1" t="str" cm="1">
        <f t="array" ref="S1226">_xlfn.IFS(I1226 &gt;= 40, "High", I1226&gt;=20, "Medium", I1226&lt;20, "Low")</f>
        <v>High</v>
      </c>
      <c r="T1226" s="1" t="str" cm="1">
        <f t="array" ref="T1226">_xlfn.IFS(O1226&lt;18200, "Low", O1226&lt;=50000, "Medium", O1226&gt;50000, "High")</f>
        <v>Low</v>
      </c>
    </row>
    <row r="1227" spans="1:20" x14ac:dyDescent="0.25">
      <c r="A1227" s="2">
        <v>2012</v>
      </c>
      <c r="B1227" s="1" t="s">
        <v>1806</v>
      </c>
      <c r="C1227" s="1" t="s">
        <v>1809</v>
      </c>
      <c r="D1227" s="1" t="s">
        <v>1868</v>
      </c>
      <c r="E1227" s="1" t="s">
        <v>19</v>
      </c>
      <c r="F1227" s="1" t="s">
        <v>20</v>
      </c>
      <c r="G1227" s="1" t="s">
        <v>1931</v>
      </c>
      <c r="H1227" s="1" t="s">
        <v>22</v>
      </c>
      <c r="I1227" s="1">
        <v>33</v>
      </c>
      <c r="J1227" s="1">
        <v>45307</v>
      </c>
      <c r="K1227" s="1" t="s">
        <v>94</v>
      </c>
      <c r="L1227" s="1" t="s">
        <v>24</v>
      </c>
      <c r="M1227" s="1" t="s">
        <v>1327</v>
      </c>
      <c r="N1227" s="1">
        <v>19200</v>
      </c>
      <c r="O1227" s="12">
        <v>18200</v>
      </c>
      <c r="P1227" s="3" t="s">
        <v>68</v>
      </c>
      <c r="Q1227" s="1" cm="1">
        <f t="array" ref="Q1227">VALUE(INDEX(_xlfn.TEXTSPLIT(P1227, " "), 4))</f>
        <v>2014</v>
      </c>
      <c r="R1227" s="1" t="str">
        <f t="shared" si="19"/>
        <v>Honda CR-V EX-L</v>
      </c>
      <c r="S1227" s="1" t="str" cm="1">
        <f t="array" ref="S1227">_xlfn.IFS(I1227 &gt;= 40, "High", I1227&gt;=20, "Medium", I1227&lt;20, "Low")</f>
        <v>Medium</v>
      </c>
      <c r="T1227" s="1" t="str" cm="1">
        <f t="array" ref="T1227">_xlfn.IFS(O1227&lt;18200, "Low", O1227&lt;=50000, "Medium", O1227&gt;50000, "High")</f>
        <v>Medium</v>
      </c>
    </row>
    <row r="1228" spans="1:20" x14ac:dyDescent="0.25">
      <c r="A1228" s="2">
        <v>2012</v>
      </c>
      <c r="B1228" s="1" t="s">
        <v>1806</v>
      </c>
      <c r="C1228" s="1" t="s">
        <v>1829</v>
      </c>
      <c r="D1228" s="1" t="s">
        <v>18</v>
      </c>
      <c r="E1228" s="1" t="s">
        <v>32</v>
      </c>
      <c r="F1228" s="1" t="s">
        <v>20</v>
      </c>
      <c r="G1228" s="1" t="s">
        <v>1932</v>
      </c>
      <c r="H1228" s="1" t="s">
        <v>22</v>
      </c>
      <c r="I1228" s="1">
        <v>37</v>
      </c>
      <c r="J1228" s="1">
        <v>43894</v>
      </c>
      <c r="K1228" s="1" t="s">
        <v>24</v>
      </c>
      <c r="L1228" s="1" t="s">
        <v>34</v>
      </c>
      <c r="M1228" s="1" t="s">
        <v>1327</v>
      </c>
      <c r="N1228" s="1">
        <v>10750</v>
      </c>
      <c r="O1228" s="12">
        <v>12000</v>
      </c>
      <c r="P1228" s="3" t="s">
        <v>68</v>
      </c>
      <c r="Q1228" s="1" cm="1">
        <f t="array" ref="Q1228">VALUE(INDEX(_xlfn.TEXTSPLIT(P1228, " "), 4))</f>
        <v>2014</v>
      </c>
      <c r="R1228" s="1" t="str">
        <f t="shared" si="19"/>
        <v>Honda Civic LX</v>
      </c>
      <c r="S1228" s="1" t="str" cm="1">
        <f t="array" ref="S1228">_xlfn.IFS(I1228 &gt;= 40, "High", I1228&gt;=20, "Medium", I1228&lt;20, "Low")</f>
        <v>Medium</v>
      </c>
      <c r="T1228" s="1" t="str" cm="1">
        <f t="array" ref="T1228">_xlfn.IFS(O1228&lt;18200, "Low", O1228&lt;=50000, "Medium", O1228&gt;50000, "High")</f>
        <v>Low</v>
      </c>
    </row>
    <row r="1229" spans="1:20" x14ac:dyDescent="0.25">
      <c r="A1229" s="2">
        <v>2012</v>
      </c>
      <c r="B1229" s="1" t="s">
        <v>1806</v>
      </c>
      <c r="C1229" s="1" t="s">
        <v>1829</v>
      </c>
      <c r="D1229" s="1" t="s">
        <v>735</v>
      </c>
      <c r="E1229" s="1" t="s">
        <v>32</v>
      </c>
      <c r="F1229" s="1" t="s">
        <v>20</v>
      </c>
      <c r="G1229" s="1" t="s">
        <v>1933</v>
      </c>
      <c r="H1229" s="1" t="s">
        <v>22</v>
      </c>
      <c r="I1229" s="1">
        <v>28</v>
      </c>
      <c r="J1229" s="1">
        <v>65969</v>
      </c>
      <c r="K1229" s="1" t="s">
        <v>24</v>
      </c>
      <c r="L1229" s="1" t="s">
        <v>28</v>
      </c>
      <c r="M1229" s="1" t="s">
        <v>1934</v>
      </c>
      <c r="N1229" s="1">
        <v>10500</v>
      </c>
      <c r="O1229" s="12">
        <v>11100</v>
      </c>
      <c r="P1229" s="3" t="s">
        <v>57</v>
      </c>
      <c r="Q1229" s="1" cm="1">
        <f t="array" ref="Q1229">VALUE(INDEX(_xlfn.TEXTSPLIT(P1229, " "), 4))</f>
        <v>2014</v>
      </c>
      <c r="R1229" s="1" t="str">
        <f t="shared" si="19"/>
        <v>Honda Civic EX</v>
      </c>
      <c r="S1229" s="1" t="str" cm="1">
        <f t="array" ref="S1229">_xlfn.IFS(I1229 &gt;= 40, "High", I1229&gt;=20, "Medium", I1229&lt;20, "Low")</f>
        <v>Medium</v>
      </c>
      <c r="T1229" s="1" t="str" cm="1">
        <f t="array" ref="T1229">_xlfn.IFS(O1229&lt;18200, "Low", O1229&lt;=50000, "Medium", O1229&gt;50000, "High")</f>
        <v>Low</v>
      </c>
    </row>
    <row r="1230" spans="1:20" x14ac:dyDescent="0.25">
      <c r="A1230" s="2">
        <v>2012</v>
      </c>
      <c r="B1230" s="1" t="s">
        <v>98</v>
      </c>
      <c r="C1230" s="1" t="s">
        <v>398</v>
      </c>
      <c r="D1230" s="1" t="s">
        <v>422</v>
      </c>
      <c r="E1230" s="1" t="s">
        <v>227</v>
      </c>
      <c r="F1230" s="1" t="s">
        <v>20</v>
      </c>
      <c r="G1230" s="1" t="s">
        <v>1935</v>
      </c>
      <c r="H1230" s="1" t="s">
        <v>22</v>
      </c>
      <c r="I1230" s="1">
        <v>38</v>
      </c>
      <c r="J1230" s="1">
        <v>35087</v>
      </c>
      <c r="K1230" s="1" t="s">
        <v>24</v>
      </c>
      <c r="L1230" s="1" t="s">
        <v>34</v>
      </c>
      <c r="M1230" s="1" t="s">
        <v>350</v>
      </c>
      <c r="N1230" s="1">
        <v>8650</v>
      </c>
      <c r="O1230" s="12">
        <v>9600</v>
      </c>
      <c r="P1230" s="3" t="s">
        <v>84</v>
      </c>
      <c r="Q1230" s="1" cm="1">
        <f t="array" ref="Q1230">VALUE(INDEX(_xlfn.TEXTSPLIT(P1230, " "), 4))</f>
        <v>2014</v>
      </c>
      <c r="R1230" s="1" t="str">
        <f t="shared" si="19"/>
        <v>Hyundai Accent GS</v>
      </c>
      <c r="S1230" s="1" t="str" cm="1">
        <f t="array" ref="S1230">_xlfn.IFS(I1230 &gt;= 40, "High", I1230&gt;=20, "Medium", I1230&lt;20, "Low")</f>
        <v>Medium</v>
      </c>
      <c r="T1230" s="1" t="str" cm="1">
        <f t="array" ref="T1230">_xlfn.IFS(O1230&lt;18200, "Low", O1230&lt;=50000, "Medium", O1230&gt;50000, "High")</f>
        <v>Low</v>
      </c>
    </row>
    <row r="1231" spans="1:20" x14ac:dyDescent="0.25">
      <c r="A1231" s="2">
        <v>2012</v>
      </c>
      <c r="B1231" s="1" t="s">
        <v>318</v>
      </c>
      <c r="C1231" s="1" t="s">
        <v>323</v>
      </c>
      <c r="D1231" s="1" t="s">
        <v>1817</v>
      </c>
      <c r="E1231" s="1" t="s">
        <v>323</v>
      </c>
      <c r="F1231" s="1" t="s">
        <v>20</v>
      </c>
      <c r="G1231" s="1" t="s">
        <v>1936</v>
      </c>
      <c r="H1231" s="1" t="s">
        <v>22</v>
      </c>
      <c r="I1231" s="1">
        <v>43</v>
      </c>
      <c r="J1231" s="1">
        <v>13827</v>
      </c>
      <c r="K1231" s="1" t="s">
        <v>34</v>
      </c>
      <c r="L1231" s="1" t="s">
        <v>24</v>
      </c>
      <c r="M1231" s="1" t="s">
        <v>322</v>
      </c>
      <c r="N1231" s="1">
        <v>20400</v>
      </c>
      <c r="O1231" s="12">
        <v>20000</v>
      </c>
      <c r="P1231" s="3" t="s">
        <v>46</v>
      </c>
      <c r="Q1231" s="1" cm="1">
        <f t="array" ref="Q1231">VALUE(INDEX(_xlfn.TEXTSPLIT(P1231, " "), 4))</f>
        <v>2014</v>
      </c>
      <c r="R1231" s="1" t="str">
        <f t="shared" si="19"/>
        <v>Infiniti G Sedan G25</v>
      </c>
      <c r="S1231" s="1" t="str" cm="1">
        <f t="array" ref="S1231">_xlfn.IFS(I1231 &gt;= 40, "High", I1231&gt;=20, "Medium", I1231&lt;20, "Low")</f>
        <v>High</v>
      </c>
      <c r="T1231" s="1" t="str" cm="1">
        <f t="array" ref="T1231">_xlfn.IFS(O1231&lt;18200, "Low", O1231&lt;=50000, "Medium", O1231&gt;50000, "High")</f>
        <v>Medium</v>
      </c>
    </row>
    <row r="1232" spans="1:20" x14ac:dyDescent="0.25">
      <c r="A1232" s="2">
        <v>2012</v>
      </c>
      <c r="B1232" s="1" t="s">
        <v>1806</v>
      </c>
      <c r="C1232" s="1" t="s">
        <v>1807</v>
      </c>
      <c r="D1232" s="1" t="s">
        <v>87</v>
      </c>
      <c r="E1232" s="1" t="s">
        <v>32</v>
      </c>
      <c r="F1232" s="1" t="s">
        <v>20</v>
      </c>
      <c r="G1232" s="1" t="s">
        <v>1937</v>
      </c>
      <c r="H1232" s="1" t="s">
        <v>22</v>
      </c>
      <c r="I1232" s="1">
        <v>31</v>
      </c>
      <c r="J1232" s="1">
        <v>42990</v>
      </c>
      <c r="K1232" s="1" t="s">
        <v>91</v>
      </c>
      <c r="L1232" s="1" t="s">
        <v>24</v>
      </c>
      <c r="M1232" s="1" t="s">
        <v>1266</v>
      </c>
      <c r="N1232" s="1">
        <v>12650</v>
      </c>
      <c r="O1232" s="12">
        <v>13600</v>
      </c>
      <c r="P1232" s="3" t="s">
        <v>68</v>
      </c>
      <c r="Q1232" s="1" cm="1">
        <f t="array" ref="Q1232">VALUE(INDEX(_xlfn.TEXTSPLIT(P1232, " "), 4))</f>
        <v>2014</v>
      </c>
      <c r="R1232" s="1" t="str">
        <f t="shared" si="19"/>
        <v>Honda Accord SE</v>
      </c>
      <c r="S1232" s="1" t="str" cm="1">
        <f t="array" ref="S1232">_xlfn.IFS(I1232 &gt;= 40, "High", I1232&gt;=20, "Medium", I1232&lt;20, "Low")</f>
        <v>Medium</v>
      </c>
      <c r="T1232" s="1" t="str" cm="1">
        <f t="array" ref="T1232">_xlfn.IFS(O1232&lt;18200, "Low", O1232&lt;=50000, "Medium", O1232&gt;50000, "High")</f>
        <v>Low</v>
      </c>
    </row>
    <row r="1233" spans="1:20" x14ac:dyDescent="0.25">
      <c r="A1233" s="2">
        <v>2012</v>
      </c>
      <c r="B1233" s="1" t="s">
        <v>85</v>
      </c>
      <c r="C1233" s="1" t="s">
        <v>86</v>
      </c>
      <c r="D1233" s="1" t="s">
        <v>936</v>
      </c>
      <c r="E1233" s="1" t="s">
        <v>32</v>
      </c>
      <c r="F1233" s="1" t="s">
        <v>20</v>
      </c>
      <c r="G1233" s="1" t="s">
        <v>1938</v>
      </c>
      <c r="H1233" s="1" t="s">
        <v>22</v>
      </c>
      <c r="I1233" s="1">
        <v>32</v>
      </c>
      <c r="J1233" s="1">
        <v>116173</v>
      </c>
      <c r="K1233" s="1" t="s">
        <v>24</v>
      </c>
      <c r="L1233" s="1" t="s">
        <v>34</v>
      </c>
      <c r="M1233" s="1" t="s">
        <v>1673</v>
      </c>
      <c r="N1233" s="1">
        <v>6425</v>
      </c>
      <c r="O1233" s="12">
        <v>6600</v>
      </c>
      <c r="P1233" s="3" t="s">
        <v>68</v>
      </c>
      <c r="Q1233" s="1" cm="1">
        <f t="array" ref="Q1233">VALUE(INDEX(_xlfn.TEXTSPLIT(P1233, " "), 4))</f>
        <v>2014</v>
      </c>
      <c r="R1233" s="1" t="str">
        <f t="shared" si="19"/>
        <v>Ford Fusion S</v>
      </c>
      <c r="S1233" s="1" t="str" cm="1">
        <f t="array" ref="S1233">_xlfn.IFS(I1233 &gt;= 40, "High", I1233&gt;=20, "Medium", I1233&lt;20, "Low")</f>
        <v>Medium</v>
      </c>
      <c r="T1233" s="1" t="str" cm="1">
        <f t="array" ref="T1233">_xlfn.IFS(O1233&lt;18200, "Low", O1233&lt;=50000, "Medium", O1233&gt;50000, "High")</f>
        <v>Low</v>
      </c>
    </row>
    <row r="1234" spans="1:20" x14ac:dyDescent="0.25">
      <c r="A1234" s="2">
        <v>2012</v>
      </c>
      <c r="B1234" s="1" t="s">
        <v>85</v>
      </c>
      <c r="C1234" s="1" t="s">
        <v>86</v>
      </c>
      <c r="D1234" s="1" t="s">
        <v>1518</v>
      </c>
      <c r="E1234" s="1" t="s">
        <v>32</v>
      </c>
      <c r="F1234" s="1" t="s">
        <v>20</v>
      </c>
      <c r="G1234" s="1" t="s">
        <v>1939</v>
      </c>
      <c r="H1234" s="1" t="s">
        <v>22</v>
      </c>
      <c r="I1234" s="1">
        <v>29</v>
      </c>
      <c r="J1234" s="1">
        <v>45663</v>
      </c>
      <c r="K1234" s="1" t="s">
        <v>91</v>
      </c>
      <c r="L1234" s="1" t="s">
        <v>24</v>
      </c>
      <c r="M1234" s="1" t="s">
        <v>1581</v>
      </c>
      <c r="N1234" s="1">
        <v>11750</v>
      </c>
      <c r="O1234" s="12">
        <v>11600</v>
      </c>
      <c r="P1234" s="3" t="s">
        <v>68</v>
      </c>
      <c r="Q1234" s="1" cm="1">
        <f t="array" ref="Q1234">VALUE(INDEX(_xlfn.TEXTSPLIT(P1234, " "), 4))</f>
        <v>2014</v>
      </c>
      <c r="R1234" s="1" t="str">
        <f t="shared" si="19"/>
        <v>Ford Fusion SEL</v>
      </c>
      <c r="S1234" s="1" t="str" cm="1">
        <f t="array" ref="S1234">_xlfn.IFS(I1234 &gt;= 40, "High", I1234&gt;=20, "Medium", I1234&lt;20, "Low")</f>
        <v>Medium</v>
      </c>
      <c r="T1234" s="1" t="str" cm="1">
        <f t="array" ref="T1234">_xlfn.IFS(O1234&lt;18200, "Low", O1234&lt;=50000, "Medium", O1234&gt;50000, "High")</f>
        <v>Low</v>
      </c>
    </row>
    <row r="1235" spans="1:20" x14ac:dyDescent="0.25">
      <c r="A1235" s="2">
        <v>2012</v>
      </c>
      <c r="B1235" s="1" t="s">
        <v>1806</v>
      </c>
      <c r="C1235" s="1" t="s">
        <v>1807</v>
      </c>
      <c r="D1235" s="1" t="s">
        <v>1868</v>
      </c>
      <c r="E1235" s="1" t="s">
        <v>32</v>
      </c>
      <c r="F1235" s="1" t="s">
        <v>20</v>
      </c>
      <c r="G1235" s="1" t="s">
        <v>1940</v>
      </c>
      <c r="H1235" s="1" t="s">
        <v>22</v>
      </c>
      <c r="I1235" s="1">
        <v>31</v>
      </c>
      <c r="J1235" s="1">
        <v>35404</v>
      </c>
      <c r="K1235" s="1" t="s">
        <v>34</v>
      </c>
      <c r="L1235" s="1" t="s">
        <v>34</v>
      </c>
      <c r="M1235" s="1" t="s">
        <v>1327</v>
      </c>
      <c r="N1235" s="1">
        <v>14400</v>
      </c>
      <c r="O1235" s="12">
        <v>15800</v>
      </c>
      <c r="P1235" s="3" t="s">
        <v>68</v>
      </c>
      <c r="Q1235" s="1" cm="1">
        <f t="array" ref="Q1235">VALUE(INDEX(_xlfn.TEXTSPLIT(P1235, " "), 4))</f>
        <v>2014</v>
      </c>
      <c r="R1235" s="1" t="str">
        <f t="shared" si="19"/>
        <v>Honda Accord EX-L</v>
      </c>
      <c r="S1235" s="1" t="str" cm="1">
        <f t="array" ref="S1235">_xlfn.IFS(I1235 &gt;= 40, "High", I1235&gt;=20, "Medium", I1235&lt;20, "Low")</f>
        <v>Medium</v>
      </c>
      <c r="T1235" s="1" t="str" cm="1">
        <f t="array" ref="T1235">_xlfn.IFS(O1235&lt;18200, "Low", O1235&lt;=50000, "Medium", O1235&gt;50000, "High")</f>
        <v>Low</v>
      </c>
    </row>
    <row r="1236" spans="1:20" x14ac:dyDescent="0.25">
      <c r="A1236" s="2">
        <v>2012</v>
      </c>
      <c r="B1236" s="1" t="s">
        <v>1806</v>
      </c>
      <c r="C1236" s="1" t="s">
        <v>1840</v>
      </c>
      <c r="D1236" s="1" t="s">
        <v>1868</v>
      </c>
      <c r="E1236" s="1" t="s">
        <v>738</v>
      </c>
      <c r="F1236" s="1" t="s">
        <v>20</v>
      </c>
      <c r="G1236" s="1" t="s">
        <v>1941</v>
      </c>
      <c r="H1236" s="1" t="s">
        <v>22</v>
      </c>
      <c r="I1236" s="1">
        <v>36</v>
      </c>
      <c r="J1236" s="1">
        <v>34467</v>
      </c>
      <c r="K1236" s="1" t="s">
        <v>91</v>
      </c>
      <c r="L1236" s="1" t="s">
        <v>132</v>
      </c>
      <c r="M1236" s="1" t="s">
        <v>1266</v>
      </c>
      <c r="N1236" s="1">
        <v>22300</v>
      </c>
      <c r="O1236" s="12">
        <v>22250</v>
      </c>
      <c r="P1236" s="3" t="s">
        <v>68</v>
      </c>
      <c r="Q1236" s="1" cm="1">
        <f t="array" ref="Q1236">VALUE(INDEX(_xlfn.TEXTSPLIT(P1236, " "), 4))</f>
        <v>2014</v>
      </c>
      <c r="R1236" s="1" t="str">
        <f t="shared" si="19"/>
        <v>Honda Odyssey EX-L</v>
      </c>
      <c r="S1236" s="1" t="str" cm="1">
        <f t="array" ref="S1236">_xlfn.IFS(I1236 &gt;= 40, "High", I1236&gt;=20, "Medium", I1236&lt;20, "Low")</f>
        <v>Medium</v>
      </c>
      <c r="T1236" s="1" t="str" cm="1">
        <f t="array" ref="T1236">_xlfn.IFS(O1236&lt;18200, "Low", O1236&lt;=50000, "Medium", O1236&gt;50000, "High")</f>
        <v>Medium</v>
      </c>
    </row>
    <row r="1237" spans="1:20" x14ac:dyDescent="0.25">
      <c r="A1237" s="2">
        <v>2012</v>
      </c>
      <c r="B1237" s="1" t="s">
        <v>98</v>
      </c>
      <c r="C1237" s="1" t="s">
        <v>219</v>
      </c>
      <c r="D1237" s="1" t="s">
        <v>337</v>
      </c>
      <c r="E1237" s="1" t="s">
        <v>32</v>
      </c>
      <c r="F1237" s="1" t="s">
        <v>20</v>
      </c>
      <c r="G1237" s="1" t="s">
        <v>1942</v>
      </c>
      <c r="H1237" s="1" t="s">
        <v>22</v>
      </c>
      <c r="I1237" s="1">
        <v>26</v>
      </c>
      <c r="J1237" s="1">
        <v>56172</v>
      </c>
      <c r="K1237" s="1" t="s">
        <v>24</v>
      </c>
      <c r="L1237" s="1" t="s">
        <v>24</v>
      </c>
      <c r="M1237" s="1" t="s">
        <v>350</v>
      </c>
      <c r="N1237" s="1">
        <v>10850</v>
      </c>
      <c r="O1237" s="12">
        <v>11000</v>
      </c>
      <c r="P1237" s="3" t="s">
        <v>84</v>
      </c>
      <c r="Q1237" s="1" cm="1">
        <f t="array" ref="Q1237">VALUE(INDEX(_xlfn.TEXTSPLIT(P1237, " "), 4))</f>
        <v>2014</v>
      </c>
      <c r="R1237" s="1" t="str">
        <f t="shared" si="19"/>
        <v>Hyundai Elantra Limited</v>
      </c>
      <c r="S1237" s="1" t="str" cm="1">
        <f t="array" ref="S1237">_xlfn.IFS(I1237 &gt;= 40, "High", I1237&gt;=20, "Medium", I1237&lt;20, "Low")</f>
        <v>Medium</v>
      </c>
      <c r="T1237" s="1" t="str" cm="1">
        <f t="array" ref="T1237">_xlfn.IFS(O1237&lt;18200, "Low", O1237&lt;=50000, "Medium", O1237&gt;50000, "High")</f>
        <v>Low</v>
      </c>
    </row>
    <row r="1238" spans="1:20" x14ac:dyDescent="0.25">
      <c r="A1238" s="2">
        <v>2012</v>
      </c>
      <c r="B1238" s="1" t="s">
        <v>85</v>
      </c>
      <c r="C1238" s="1" t="s">
        <v>1819</v>
      </c>
      <c r="D1238" s="1" t="s">
        <v>1196</v>
      </c>
      <c r="E1238" s="1" t="s">
        <v>71</v>
      </c>
      <c r="F1238" s="1" t="s">
        <v>20</v>
      </c>
      <c r="G1238" s="1" t="s">
        <v>1943</v>
      </c>
      <c r="H1238" s="1" t="s">
        <v>22</v>
      </c>
      <c r="I1238" s="1">
        <v>37</v>
      </c>
      <c r="J1238" s="1">
        <v>49668</v>
      </c>
      <c r="K1238" s="1" t="s">
        <v>73</v>
      </c>
      <c r="L1238" s="1" t="s">
        <v>24</v>
      </c>
      <c r="M1238" s="1" t="s">
        <v>431</v>
      </c>
      <c r="N1238" s="1">
        <v>11500</v>
      </c>
      <c r="O1238" s="12">
        <v>11200</v>
      </c>
      <c r="P1238" s="3" t="s">
        <v>270</v>
      </c>
      <c r="Q1238" s="1" cm="1">
        <f t="array" ref="Q1238">VALUE(INDEX(_xlfn.TEXTSPLIT(P1238, " "), 4))</f>
        <v>2014</v>
      </c>
      <c r="R1238" s="1" t="str">
        <f t="shared" si="19"/>
        <v>Ford Mustang V6</v>
      </c>
      <c r="S1238" s="1" t="str" cm="1">
        <f t="array" ref="S1238">_xlfn.IFS(I1238 &gt;= 40, "High", I1238&gt;=20, "Medium", I1238&lt;20, "Low")</f>
        <v>Medium</v>
      </c>
      <c r="T1238" s="1" t="str" cm="1">
        <f t="array" ref="T1238">_xlfn.IFS(O1238&lt;18200, "Low", O1238&lt;=50000, "Medium", O1238&gt;50000, "High")</f>
        <v>Low</v>
      </c>
    </row>
    <row r="1239" spans="1:20" x14ac:dyDescent="0.25">
      <c r="A1239" s="2">
        <v>2012</v>
      </c>
      <c r="B1239" s="1" t="s">
        <v>98</v>
      </c>
      <c r="C1239" s="1" t="s">
        <v>432</v>
      </c>
      <c r="D1239" s="1" t="s">
        <v>54</v>
      </c>
      <c r="E1239" s="1" t="s">
        <v>32</v>
      </c>
      <c r="F1239" s="1" t="s">
        <v>20</v>
      </c>
      <c r="G1239" s="1" t="s">
        <v>1944</v>
      </c>
      <c r="H1239" s="1" t="s">
        <v>22</v>
      </c>
      <c r="I1239" s="1">
        <v>37</v>
      </c>
      <c r="J1239" s="1">
        <v>39542</v>
      </c>
      <c r="K1239" s="1" t="s">
        <v>132</v>
      </c>
      <c r="L1239" s="1" t="s">
        <v>28</v>
      </c>
      <c r="M1239" s="1" t="s">
        <v>1945</v>
      </c>
      <c r="N1239" s="1">
        <v>17400</v>
      </c>
      <c r="O1239" s="12">
        <v>17700</v>
      </c>
      <c r="P1239" s="3" t="s">
        <v>57</v>
      </c>
      <c r="Q1239" s="1" cm="1">
        <f t="array" ref="Q1239">VALUE(INDEX(_xlfn.TEXTSPLIT(P1239, " "), 4))</f>
        <v>2014</v>
      </c>
      <c r="R1239" s="1" t="str">
        <f t="shared" si="19"/>
        <v>Hyundai Azera Base</v>
      </c>
      <c r="S1239" s="1" t="str" cm="1">
        <f t="array" ref="S1239">_xlfn.IFS(I1239 &gt;= 40, "High", I1239&gt;=20, "Medium", I1239&lt;20, "Low")</f>
        <v>Medium</v>
      </c>
      <c r="T1239" s="1" t="str" cm="1">
        <f t="array" ref="T1239">_xlfn.IFS(O1239&lt;18200, "Low", O1239&lt;=50000, "Medium", O1239&gt;50000, "High")</f>
        <v>Low</v>
      </c>
    </row>
    <row r="1240" spans="1:20" x14ac:dyDescent="0.25">
      <c r="A1240" s="2">
        <v>2012</v>
      </c>
      <c r="B1240" s="1" t="s">
        <v>85</v>
      </c>
      <c r="C1240" s="1" t="s">
        <v>86</v>
      </c>
      <c r="D1240" s="1" t="s">
        <v>87</v>
      </c>
      <c r="E1240" s="1" t="s">
        <v>32</v>
      </c>
      <c r="F1240" s="1" t="s">
        <v>20</v>
      </c>
      <c r="G1240" s="1" t="s">
        <v>1946</v>
      </c>
      <c r="H1240" s="1" t="s">
        <v>22</v>
      </c>
      <c r="I1240" s="1">
        <v>28</v>
      </c>
      <c r="J1240" s="1">
        <v>62752</v>
      </c>
      <c r="K1240" s="1" t="s">
        <v>23</v>
      </c>
      <c r="L1240" s="1" t="s">
        <v>34</v>
      </c>
      <c r="M1240" s="1" t="s">
        <v>431</v>
      </c>
      <c r="N1240" s="1">
        <v>9525</v>
      </c>
      <c r="O1240" s="12">
        <v>9800</v>
      </c>
      <c r="P1240" s="3" t="s">
        <v>264</v>
      </c>
      <c r="Q1240" s="1" cm="1">
        <f t="array" ref="Q1240">VALUE(INDEX(_xlfn.TEXTSPLIT(P1240, " "), 4))</f>
        <v>2015</v>
      </c>
      <c r="R1240" s="1" t="str">
        <f t="shared" si="19"/>
        <v>Ford Fusion SE</v>
      </c>
      <c r="S1240" s="1" t="str" cm="1">
        <f t="array" ref="S1240">_xlfn.IFS(I1240 &gt;= 40, "High", I1240&gt;=20, "Medium", I1240&lt;20, "Low")</f>
        <v>Medium</v>
      </c>
      <c r="T1240" s="1" t="str" cm="1">
        <f t="array" ref="T1240">_xlfn.IFS(O1240&lt;18200, "Low", O1240&lt;=50000, "Medium", O1240&gt;50000, "High")</f>
        <v>Low</v>
      </c>
    </row>
    <row r="1241" spans="1:20" x14ac:dyDescent="0.25">
      <c r="A1241" s="2">
        <v>2012</v>
      </c>
      <c r="B1241" s="1" t="s">
        <v>98</v>
      </c>
      <c r="C1241" s="1" t="s">
        <v>219</v>
      </c>
      <c r="D1241" s="1" t="s">
        <v>348</v>
      </c>
      <c r="E1241" s="1" t="s">
        <v>32</v>
      </c>
      <c r="F1241" s="1" t="s">
        <v>20</v>
      </c>
      <c r="G1241" s="1" t="s">
        <v>1947</v>
      </c>
      <c r="H1241" s="1" t="s">
        <v>22</v>
      </c>
      <c r="I1241" s="1">
        <v>41</v>
      </c>
      <c r="J1241" s="1">
        <v>43939</v>
      </c>
      <c r="K1241" s="1" t="s">
        <v>24</v>
      </c>
      <c r="L1241" s="1" t="s">
        <v>34</v>
      </c>
      <c r="M1241" s="1" t="s">
        <v>350</v>
      </c>
      <c r="N1241" s="1">
        <v>9950</v>
      </c>
      <c r="O1241" s="12">
        <v>11000</v>
      </c>
      <c r="P1241" s="3" t="s">
        <v>593</v>
      </c>
      <c r="Q1241" s="1" cm="1">
        <f t="array" ref="Q1241">VALUE(INDEX(_xlfn.TEXTSPLIT(P1241, " "), 4))</f>
        <v>2015</v>
      </c>
      <c r="R1241" s="1" t="str">
        <f t="shared" si="19"/>
        <v>Hyundai Elantra GLS</v>
      </c>
      <c r="S1241" s="1" t="str" cm="1">
        <f t="array" ref="S1241">_xlfn.IFS(I1241 &gt;= 40, "High", I1241&gt;=20, "Medium", I1241&lt;20, "Low")</f>
        <v>High</v>
      </c>
      <c r="T1241" s="1" t="str" cm="1">
        <f t="array" ref="T1241">_xlfn.IFS(O1241&lt;18200, "Low", O1241&lt;=50000, "Medium", O1241&gt;50000, "High")</f>
        <v>Low</v>
      </c>
    </row>
    <row r="1242" spans="1:20" x14ac:dyDescent="0.25">
      <c r="A1242" s="2">
        <v>2012</v>
      </c>
      <c r="B1242" s="1" t="s">
        <v>85</v>
      </c>
      <c r="C1242" s="1" t="s">
        <v>86</v>
      </c>
      <c r="D1242" s="1" t="s">
        <v>87</v>
      </c>
      <c r="E1242" s="1" t="s">
        <v>32</v>
      </c>
      <c r="F1242" s="1" t="s">
        <v>20</v>
      </c>
      <c r="G1242" s="1" t="s">
        <v>1948</v>
      </c>
      <c r="H1242" s="1" t="s">
        <v>22</v>
      </c>
      <c r="I1242" s="1">
        <v>34</v>
      </c>
      <c r="J1242" s="1">
        <v>41949</v>
      </c>
      <c r="K1242" s="1" t="s">
        <v>73</v>
      </c>
      <c r="L1242" s="1" t="s">
        <v>24</v>
      </c>
      <c r="M1242" s="1" t="s">
        <v>495</v>
      </c>
      <c r="N1242" s="1">
        <v>10900</v>
      </c>
      <c r="O1242" s="12">
        <v>10900</v>
      </c>
      <c r="P1242" s="3" t="s">
        <v>57</v>
      </c>
      <c r="Q1242" s="1" cm="1">
        <f t="array" ref="Q1242">VALUE(INDEX(_xlfn.TEXTSPLIT(P1242, " "), 4))</f>
        <v>2014</v>
      </c>
      <c r="R1242" s="1" t="str">
        <f t="shared" si="19"/>
        <v>Ford Fusion SE</v>
      </c>
      <c r="S1242" s="1" t="str" cm="1">
        <f t="array" ref="S1242">_xlfn.IFS(I1242 &gt;= 40, "High", I1242&gt;=20, "Medium", I1242&lt;20, "Low")</f>
        <v>Medium</v>
      </c>
      <c r="T1242" s="1" t="str" cm="1">
        <f t="array" ref="T1242">_xlfn.IFS(O1242&lt;18200, "Low", O1242&lt;=50000, "Medium", O1242&gt;50000, "High")</f>
        <v>Low</v>
      </c>
    </row>
    <row r="1243" spans="1:20" x14ac:dyDescent="0.25">
      <c r="A1243" s="2">
        <v>2012</v>
      </c>
      <c r="B1243" s="1" t="s">
        <v>1806</v>
      </c>
      <c r="C1243" s="1" t="s">
        <v>1807</v>
      </c>
      <c r="D1243" s="1" t="s">
        <v>1852</v>
      </c>
      <c r="E1243" s="1" t="s">
        <v>107</v>
      </c>
      <c r="F1243" s="1" t="s">
        <v>20</v>
      </c>
      <c r="G1243" s="1" t="s">
        <v>1949</v>
      </c>
      <c r="H1243" s="1" t="s">
        <v>22</v>
      </c>
      <c r="I1243" s="1">
        <v>19</v>
      </c>
      <c r="J1243" s="1">
        <v>32635</v>
      </c>
      <c r="K1243" s="1" t="s">
        <v>24</v>
      </c>
      <c r="L1243" s="1" t="s">
        <v>24</v>
      </c>
      <c r="M1243" s="1" t="s">
        <v>1266</v>
      </c>
      <c r="N1243" s="1">
        <v>12700</v>
      </c>
      <c r="O1243" s="12">
        <v>12100</v>
      </c>
      <c r="P1243" s="3" t="s">
        <v>68</v>
      </c>
      <c r="Q1243" s="1" cm="1">
        <f t="array" ref="Q1243">VALUE(INDEX(_xlfn.TEXTSPLIT(P1243, " "), 4))</f>
        <v>2014</v>
      </c>
      <c r="R1243" s="1" t="str">
        <f t="shared" si="19"/>
        <v>Honda Accord LX-S</v>
      </c>
      <c r="S1243" s="1" t="str" cm="1">
        <f t="array" ref="S1243">_xlfn.IFS(I1243 &gt;= 40, "High", I1243&gt;=20, "Medium", I1243&lt;20, "Low")</f>
        <v>Low</v>
      </c>
      <c r="T1243" s="1" t="str" cm="1">
        <f t="array" ref="T1243">_xlfn.IFS(O1243&lt;18200, "Low", O1243&lt;=50000, "Medium", O1243&gt;50000, "High")</f>
        <v>Low</v>
      </c>
    </row>
    <row r="1244" spans="1:20" x14ac:dyDescent="0.25">
      <c r="A1244" s="2">
        <v>2012</v>
      </c>
      <c r="B1244" s="1" t="s">
        <v>85</v>
      </c>
      <c r="C1244" s="1" t="s">
        <v>86</v>
      </c>
      <c r="D1244" s="1" t="s">
        <v>87</v>
      </c>
      <c r="E1244" s="1" t="s">
        <v>32</v>
      </c>
      <c r="F1244" s="1" t="s">
        <v>20</v>
      </c>
      <c r="G1244" s="1" t="s">
        <v>1950</v>
      </c>
      <c r="H1244" s="1" t="s">
        <v>22</v>
      </c>
      <c r="I1244" s="1">
        <v>39</v>
      </c>
      <c r="J1244" s="1">
        <v>66109</v>
      </c>
      <c r="K1244" s="1" t="s">
        <v>23</v>
      </c>
      <c r="L1244" s="1" t="s">
        <v>34</v>
      </c>
      <c r="M1244" s="1" t="s">
        <v>431</v>
      </c>
      <c r="N1244" s="1">
        <v>9325</v>
      </c>
      <c r="O1244" s="12">
        <v>8900</v>
      </c>
      <c r="P1244" s="3" t="s">
        <v>26</v>
      </c>
      <c r="Q1244" s="1" cm="1">
        <f t="array" ref="Q1244">VALUE(INDEX(_xlfn.TEXTSPLIT(P1244, " "), 4))</f>
        <v>2014</v>
      </c>
      <c r="R1244" s="1" t="str">
        <f t="shared" si="19"/>
        <v>Ford Fusion SE</v>
      </c>
      <c r="S1244" s="1" t="str" cm="1">
        <f t="array" ref="S1244">_xlfn.IFS(I1244 &gt;= 40, "High", I1244&gt;=20, "Medium", I1244&lt;20, "Low")</f>
        <v>Medium</v>
      </c>
      <c r="T1244" s="1" t="str" cm="1">
        <f t="array" ref="T1244">_xlfn.IFS(O1244&lt;18200, "Low", O1244&lt;=50000, "Medium", O1244&gt;50000, "High")</f>
        <v>Low</v>
      </c>
    </row>
    <row r="1245" spans="1:20" x14ac:dyDescent="0.25">
      <c r="A1245" s="2">
        <v>2012</v>
      </c>
      <c r="B1245" s="1" t="s">
        <v>1806</v>
      </c>
      <c r="C1245" s="1" t="s">
        <v>1807</v>
      </c>
      <c r="D1245" s="1" t="s">
        <v>18</v>
      </c>
      <c r="E1245" s="1" t="s">
        <v>32</v>
      </c>
      <c r="F1245" s="1" t="s">
        <v>20</v>
      </c>
      <c r="G1245" s="1" t="s">
        <v>1951</v>
      </c>
      <c r="H1245" s="1" t="s">
        <v>22</v>
      </c>
      <c r="I1245" s="1">
        <v>38</v>
      </c>
      <c r="J1245" s="1">
        <v>27263</v>
      </c>
      <c r="K1245" s="1" t="s">
        <v>91</v>
      </c>
      <c r="L1245" s="1" t="s">
        <v>34</v>
      </c>
      <c r="M1245" s="1" t="s">
        <v>1266</v>
      </c>
      <c r="N1245" s="1">
        <v>12250</v>
      </c>
      <c r="O1245" s="12">
        <v>14100</v>
      </c>
      <c r="P1245" s="3" t="s">
        <v>68</v>
      </c>
      <c r="Q1245" s="1" cm="1">
        <f t="array" ref="Q1245">VALUE(INDEX(_xlfn.TEXTSPLIT(P1245, " "), 4))</f>
        <v>2014</v>
      </c>
      <c r="R1245" s="1" t="str">
        <f t="shared" si="19"/>
        <v>Honda Accord LX</v>
      </c>
      <c r="S1245" s="1" t="str" cm="1">
        <f t="array" ref="S1245">_xlfn.IFS(I1245 &gt;= 40, "High", I1245&gt;=20, "Medium", I1245&lt;20, "Low")</f>
        <v>Medium</v>
      </c>
      <c r="T1245" s="1" t="str" cm="1">
        <f t="array" ref="T1245">_xlfn.IFS(O1245&lt;18200, "Low", O1245&lt;=50000, "Medium", O1245&gt;50000, "High")</f>
        <v>Low</v>
      </c>
    </row>
    <row r="1246" spans="1:20" x14ac:dyDescent="0.25">
      <c r="A1246" s="2">
        <v>2012</v>
      </c>
      <c r="B1246" s="1" t="s">
        <v>318</v>
      </c>
      <c r="C1246" s="1" t="s">
        <v>323</v>
      </c>
      <c r="D1246" s="1" t="s">
        <v>1817</v>
      </c>
      <c r="E1246" s="1" t="s">
        <v>323</v>
      </c>
      <c r="F1246" s="1" t="s">
        <v>20</v>
      </c>
      <c r="G1246" s="1" t="s">
        <v>1952</v>
      </c>
      <c r="H1246" s="1" t="s">
        <v>22</v>
      </c>
      <c r="I1246" s="1">
        <v>41</v>
      </c>
      <c r="J1246" s="1">
        <v>12083</v>
      </c>
      <c r="K1246" s="1" t="s">
        <v>23</v>
      </c>
      <c r="L1246" s="1" t="s">
        <v>28</v>
      </c>
      <c r="M1246" s="1" t="s">
        <v>322</v>
      </c>
      <c r="N1246" s="1">
        <v>20600</v>
      </c>
      <c r="O1246" s="12">
        <v>20500</v>
      </c>
      <c r="P1246" s="3" t="s">
        <v>46</v>
      </c>
      <c r="Q1246" s="1" cm="1">
        <f t="array" ref="Q1246">VALUE(INDEX(_xlfn.TEXTSPLIT(P1246, " "), 4))</f>
        <v>2014</v>
      </c>
      <c r="R1246" s="1" t="str">
        <f t="shared" si="19"/>
        <v>Infiniti G Sedan G25</v>
      </c>
      <c r="S1246" s="1" t="str" cm="1">
        <f t="array" ref="S1246">_xlfn.IFS(I1246 &gt;= 40, "High", I1246&gt;=20, "Medium", I1246&lt;20, "Low")</f>
        <v>High</v>
      </c>
      <c r="T1246" s="1" t="str" cm="1">
        <f t="array" ref="T1246">_xlfn.IFS(O1246&lt;18200, "Low", O1246&lt;=50000, "Medium", O1246&gt;50000, "High")</f>
        <v>Medium</v>
      </c>
    </row>
    <row r="1247" spans="1:20" x14ac:dyDescent="0.25">
      <c r="A1247" s="2">
        <v>2012</v>
      </c>
      <c r="B1247" s="1" t="s">
        <v>85</v>
      </c>
      <c r="C1247" s="1" t="s">
        <v>1953</v>
      </c>
      <c r="D1247" s="1" t="s">
        <v>1518</v>
      </c>
      <c r="E1247" s="1" t="s">
        <v>32</v>
      </c>
      <c r="F1247" s="1" t="s">
        <v>20</v>
      </c>
      <c r="G1247" s="1" t="s">
        <v>1954</v>
      </c>
      <c r="H1247" s="1" t="s">
        <v>22</v>
      </c>
      <c r="I1247" s="1">
        <v>36</v>
      </c>
      <c r="J1247" s="1">
        <v>62827</v>
      </c>
      <c r="K1247" s="1" t="s">
        <v>24</v>
      </c>
      <c r="L1247" s="1" t="s">
        <v>24</v>
      </c>
      <c r="M1247" s="1" t="s">
        <v>269</v>
      </c>
      <c r="N1247" s="1">
        <v>12800</v>
      </c>
      <c r="O1247" s="12">
        <v>11500</v>
      </c>
      <c r="P1247" s="3" t="s">
        <v>270</v>
      </c>
      <c r="Q1247" s="1" cm="1">
        <f t="array" ref="Q1247">VALUE(INDEX(_xlfn.TEXTSPLIT(P1247, " "), 4))</f>
        <v>2014</v>
      </c>
      <c r="R1247" s="1" t="str">
        <f t="shared" si="19"/>
        <v>Ford Taurus SEL</v>
      </c>
      <c r="S1247" s="1" t="str" cm="1">
        <f t="array" ref="S1247">_xlfn.IFS(I1247 &gt;= 40, "High", I1247&gt;=20, "Medium", I1247&lt;20, "Low")</f>
        <v>Medium</v>
      </c>
      <c r="T1247" s="1" t="str" cm="1">
        <f t="array" ref="T1247">_xlfn.IFS(O1247&lt;18200, "Low", O1247&lt;=50000, "Medium", O1247&gt;50000, "High")</f>
        <v>Low</v>
      </c>
    </row>
    <row r="1248" spans="1:20" x14ac:dyDescent="0.25">
      <c r="A1248" s="2">
        <v>2012</v>
      </c>
      <c r="B1248" s="1" t="s">
        <v>318</v>
      </c>
      <c r="C1248" s="1" t="s">
        <v>323</v>
      </c>
      <c r="D1248" s="1" t="s">
        <v>1817</v>
      </c>
      <c r="E1248" s="1" t="s">
        <v>323</v>
      </c>
      <c r="F1248" s="1" t="s">
        <v>20</v>
      </c>
      <c r="G1248" s="1" t="s">
        <v>1955</v>
      </c>
      <c r="H1248" s="1" t="s">
        <v>22</v>
      </c>
      <c r="I1248" s="1">
        <v>33</v>
      </c>
      <c r="J1248" s="1">
        <v>33958</v>
      </c>
      <c r="K1248" s="1" t="s">
        <v>24</v>
      </c>
      <c r="L1248" s="1" t="s">
        <v>24</v>
      </c>
      <c r="M1248" s="1" t="s">
        <v>322</v>
      </c>
      <c r="N1248" s="1">
        <v>16900</v>
      </c>
      <c r="O1248" s="12">
        <v>17000</v>
      </c>
      <c r="P1248" s="3" t="s">
        <v>46</v>
      </c>
      <c r="Q1248" s="1" cm="1">
        <f t="array" ref="Q1248">VALUE(INDEX(_xlfn.TEXTSPLIT(P1248, " "), 4))</f>
        <v>2014</v>
      </c>
      <c r="R1248" s="1" t="str">
        <f t="shared" si="19"/>
        <v>Infiniti G Sedan G25</v>
      </c>
      <c r="S1248" s="1" t="str" cm="1">
        <f t="array" ref="S1248">_xlfn.IFS(I1248 &gt;= 40, "High", I1248&gt;=20, "Medium", I1248&lt;20, "Low")</f>
        <v>Medium</v>
      </c>
      <c r="T1248" s="1" t="str" cm="1">
        <f t="array" ref="T1248">_xlfn.IFS(O1248&lt;18200, "Low", O1248&lt;=50000, "Medium", O1248&gt;50000, "High")</f>
        <v>Low</v>
      </c>
    </row>
    <row r="1249" spans="1:20" x14ac:dyDescent="0.25">
      <c r="A1249" s="2">
        <v>2012</v>
      </c>
      <c r="B1249" s="1" t="s">
        <v>1806</v>
      </c>
      <c r="C1249" s="1" t="s">
        <v>1837</v>
      </c>
      <c r="D1249" s="1" t="s">
        <v>18</v>
      </c>
      <c r="E1249" s="1" t="s">
        <v>19</v>
      </c>
      <c r="F1249" s="1" t="s">
        <v>20</v>
      </c>
      <c r="G1249" s="1" t="s">
        <v>1956</v>
      </c>
      <c r="H1249" s="1" t="s">
        <v>22</v>
      </c>
      <c r="I1249" s="1">
        <v>39</v>
      </c>
      <c r="J1249" s="1">
        <v>35374</v>
      </c>
      <c r="K1249" s="1" t="s">
        <v>91</v>
      </c>
      <c r="L1249" s="1" t="s">
        <v>34</v>
      </c>
      <c r="M1249" s="1" t="s">
        <v>1888</v>
      </c>
      <c r="N1249" s="1">
        <v>17400</v>
      </c>
      <c r="O1249" s="12">
        <v>17200</v>
      </c>
      <c r="P1249" s="3" t="s">
        <v>26</v>
      </c>
      <c r="Q1249" s="1" cm="1">
        <f t="array" ref="Q1249">VALUE(INDEX(_xlfn.TEXTSPLIT(P1249, " "), 4))</f>
        <v>2014</v>
      </c>
      <c r="R1249" s="1" t="str">
        <f t="shared" si="19"/>
        <v>Honda Pilot LX</v>
      </c>
      <c r="S1249" s="1" t="str" cm="1">
        <f t="array" ref="S1249">_xlfn.IFS(I1249 &gt;= 40, "High", I1249&gt;=20, "Medium", I1249&lt;20, "Low")</f>
        <v>Medium</v>
      </c>
      <c r="T1249" s="1" t="str" cm="1">
        <f t="array" ref="T1249">_xlfn.IFS(O1249&lt;18200, "Low", O1249&lt;=50000, "Medium", O1249&gt;50000, "High")</f>
        <v>Low</v>
      </c>
    </row>
    <row r="1250" spans="1:20" x14ac:dyDescent="0.25">
      <c r="A1250" s="2">
        <v>2012</v>
      </c>
      <c r="B1250" s="1" t="s">
        <v>1806</v>
      </c>
      <c r="C1250" s="1" t="s">
        <v>1837</v>
      </c>
      <c r="D1250" s="1" t="s">
        <v>646</v>
      </c>
      <c r="E1250" s="1" t="s">
        <v>19</v>
      </c>
      <c r="F1250" s="1" t="s">
        <v>20</v>
      </c>
      <c r="G1250" s="1" t="s">
        <v>1957</v>
      </c>
      <c r="H1250" s="1" t="s">
        <v>22</v>
      </c>
      <c r="I1250" s="1">
        <v>39</v>
      </c>
      <c r="J1250" s="1">
        <v>78603</v>
      </c>
      <c r="K1250" s="1" t="s">
        <v>23</v>
      </c>
      <c r="L1250" s="1" t="s">
        <v>34</v>
      </c>
      <c r="M1250" s="1" t="s">
        <v>1888</v>
      </c>
      <c r="N1250" s="1">
        <v>21900</v>
      </c>
      <c r="O1250" s="12">
        <v>23000</v>
      </c>
      <c r="P1250" s="3" t="s">
        <v>26</v>
      </c>
      <c r="Q1250" s="1" cm="1">
        <f t="array" ref="Q1250">VALUE(INDEX(_xlfn.TEXTSPLIT(P1250, " "), 4))</f>
        <v>2014</v>
      </c>
      <c r="R1250" s="1" t="str">
        <f t="shared" si="19"/>
        <v>Honda Pilot Touring</v>
      </c>
      <c r="S1250" s="1" t="str" cm="1">
        <f t="array" ref="S1250">_xlfn.IFS(I1250 &gt;= 40, "High", I1250&gt;=20, "Medium", I1250&lt;20, "Low")</f>
        <v>Medium</v>
      </c>
      <c r="T1250" s="1" t="str" cm="1">
        <f t="array" ref="T1250">_xlfn.IFS(O1250&lt;18200, "Low", O1250&lt;=50000, "Medium", O1250&gt;50000, "High")</f>
        <v>Medium</v>
      </c>
    </row>
    <row r="1251" spans="1:20" x14ac:dyDescent="0.25">
      <c r="A1251" s="2">
        <v>2012</v>
      </c>
      <c r="B1251" s="1" t="s">
        <v>1806</v>
      </c>
      <c r="C1251" s="1" t="s">
        <v>1807</v>
      </c>
      <c r="D1251" s="1" t="s">
        <v>18</v>
      </c>
      <c r="E1251" s="1" t="s">
        <v>32</v>
      </c>
      <c r="F1251" s="1" t="s">
        <v>20</v>
      </c>
      <c r="G1251" s="1" t="s">
        <v>1958</v>
      </c>
      <c r="H1251" s="1" t="s">
        <v>22</v>
      </c>
      <c r="I1251" s="1">
        <v>23</v>
      </c>
      <c r="J1251" s="1">
        <v>19873</v>
      </c>
      <c r="K1251" s="1" t="s">
        <v>24</v>
      </c>
      <c r="L1251" s="1" t="s">
        <v>82</v>
      </c>
      <c r="M1251" s="1" t="s">
        <v>1266</v>
      </c>
      <c r="N1251" s="1">
        <v>12750</v>
      </c>
      <c r="O1251" s="12">
        <v>12700</v>
      </c>
      <c r="P1251" s="3" t="s">
        <v>110</v>
      </c>
      <c r="Q1251" s="1" cm="1">
        <f t="array" ref="Q1251">VALUE(INDEX(_xlfn.TEXTSPLIT(P1251, " "), 4))</f>
        <v>2014</v>
      </c>
      <c r="R1251" s="1" t="str">
        <f t="shared" si="19"/>
        <v>Honda Accord LX</v>
      </c>
      <c r="S1251" s="1" t="str" cm="1">
        <f t="array" ref="S1251">_xlfn.IFS(I1251 &gt;= 40, "High", I1251&gt;=20, "Medium", I1251&lt;20, "Low")</f>
        <v>Medium</v>
      </c>
      <c r="T1251" s="1" t="str" cm="1">
        <f t="array" ref="T1251">_xlfn.IFS(O1251&lt;18200, "Low", O1251&lt;=50000, "Medium", O1251&gt;50000, "High")</f>
        <v>Low</v>
      </c>
    </row>
    <row r="1252" spans="1:20" x14ac:dyDescent="0.25">
      <c r="A1252" s="2">
        <v>2012</v>
      </c>
      <c r="B1252" s="1" t="s">
        <v>1806</v>
      </c>
      <c r="C1252" s="1" t="s">
        <v>1837</v>
      </c>
      <c r="D1252" s="1" t="s">
        <v>1868</v>
      </c>
      <c r="E1252" s="1" t="s">
        <v>19</v>
      </c>
      <c r="F1252" s="1" t="s">
        <v>20</v>
      </c>
      <c r="G1252" s="1" t="s">
        <v>1959</v>
      </c>
      <c r="H1252" s="1" t="s">
        <v>22</v>
      </c>
      <c r="I1252" s="1">
        <v>32</v>
      </c>
      <c r="J1252" s="1">
        <v>28883</v>
      </c>
      <c r="K1252" s="1" t="s">
        <v>23</v>
      </c>
      <c r="L1252" s="1" t="s">
        <v>34</v>
      </c>
      <c r="M1252" s="1" t="s">
        <v>1327</v>
      </c>
      <c r="N1252" s="1">
        <v>24600</v>
      </c>
      <c r="O1252" s="12">
        <v>24000</v>
      </c>
      <c r="P1252" s="3" t="s">
        <v>68</v>
      </c>
      <c r="Q1252" s="1" cm="1">
        <f t="array" ref="Q1252">VALUE(INDEX(_xlfn.TEXTSPLIT(P1252, " "), 4))</f>
        <v>2014</v>
      </c>
      <c r="R1252" s="1" t="str">
        <f t="shared" si="19"/>
        <v>Honda Pilot EX-L</v>
      </c>
      <c r="S1252" s="1" t="str" cm="1">
        <f t="array" ref="S1252">_xlfn.IFS(I1252 &gt;= 40, "High", I1252&gt;=20, "Medium", I1252&lt;20, "Low")</f>
        <v>Medium</v>
      </c>
      <c r="T1252" s="1" t="str" cm="1">
        <f t="array" ref="T1252">_xlfn.IFS(O1252&lt;18200, "Low", O1252&lt;=50000, "Medium", O1252&gt;50000, "High")</f>
        <v>Medium</v>
      </c>
    </row>
    <row r="1253" spans="1:20" x14ac:dyDescent="0.25">
      <c r="A1253" s="2">
        <v>2012</v>
      </c>
      <c r="B1253" s="1" t="s">
        <v>85</v>
      </c>
      <c r="C1253" s="1" t="s">
        <v>1953</v>
      </c>
      <c r="D1253" s="1" t="s">
        <v>87</v>
      </c>
      <c r="E1253" s="1" t="s">
        <v>32</v>
      </c>
      <c r="F1253" s="1" t="s">
        <v>20</v>
      </c>
      <c r="G1253" s="1" t="s">
        <v>1960</v>
      </c>
      <c r="H1253" s="1" t="s">
        <v>22</v>
      </c>
      <c r="I1253" s="1">
        <v>42</v>
      </c>
      <c r="J1253" s="1">
        <v>85743</v>
      </c>
      <c r="K1253" s="1" t="s">
        <v>24</v>
      </c>
      <c r="L1253" s="1" t="s">
        <v>34</v>
      </c>
      <c r="M1253" s="1" t="s">
        <v>1089</v>
      </c>
      <c r="N1253" s="1">
        <v>10450</v>
      </c>
      <c r="O1253" s="12">
        <v>11000</v>
      </c>
      <c r="P1253" s="3" t="s">
        <v>84</v>
      </c>
      <c r="Q1253" s="1" cm="1">
        <f t="array" ref="Q1253">VALUE(INDEX(_xlfn.TEXTSPLIT(P1253, " "), 4))</f>
        <v>2014</v>
      </c>
      <c r="R1253" s="1" t="str">
        <f t="shared" si="19"/>
        <v>Ford Taurus SE</v>
      </c>
      <c r="S1253" s="1" t="str" cm="1">
        <f t="array" ref="S1253">_xlfn.IFS(I1253 &gt;= 40, "High", I1253&gt;=20, "Medium", I1253&lt;20, "Low")</f>
        <v>High</v>
      </c>
      <c r="T1253" s="1" t="str" cm="1">
        <f t="array" ref="T1253">_xlfn.IFS(O1253&lt;18200, "Low", O1253&lt;=50000, "Medium", O1253&gt;50000, "High")</f>
        <v>Low</v>
      </c>
    </row>
    <row r="1254" spans="1:20" x14ac:dyDescent="0.25">
      <c r="A1254" s="2">
        <v>2012</v>
      </c>
      <c r="B1254" s="1" t="s">
        <v>98</v>
      </c>
      <c r="C1254" s="1" t="s">
        <v>99</v>
      </c>
      <c r="D1254" s="1" t="s">
        <v>348</v>
      </c>
      <c r="E1254" s="1" t="s">
        <v>32</v>
      </c>
      <c r="F1254" s="1" t="s">
        <v>20</v>
      </c>
      <c r="G1254" s="1" t="s">
        <v>1961</v>
      </c>
      <c r="H1254" s="1" t="s">
        <v>22</v>
      </c>
      <c r="I1254" s="1">
        <v>41</v>
      </c>
      <c r="J1254" s="1">
        <v>36369</v>
      </c>
      <c r="K1254" s="1" t="s">
        <v>23</v>
      </c>
      <c r="L1254" s="1" t="s">
        <v>28</v>
      </c>
      <c r="M1254" s="1" t="s">
        <v>350</v>
      </c>
      <c r="N1254" s="1">
        <v>11100</v>
      </c>
      <c r="O1254" s="12">
        <v>12700</v>
      </c>
      <c r="P1254" s="3" t="s">
        <v>84</v>
      </c>
      <c r="Q1254" s="1" cm="1">
        <f t="array" ref="Q1254">VALUE(INDEX(_xlfn.TEXTSPLIT(P1254, " "), 4))</f>
        <v>2014</v>
      </c>
      <c r="R1254" s="1" t="str">
        <f t="shared" si="19"/>
        <v>Hyundai Sonata GLS</v>
      </c>
      <c r="S1254" s="1" t="str" cm="1">
        <f t="array" ref="S1254">_xlfn.IFS(I1254 &gt;= 40, "High", I1254&gt;=20, "Medium", I1254&lt;20, "Low")</f>
        <v>High</v>
      </c>
      <c r="T1254" s="1" t="str" cm="1">
        <f t="array" ref="T1254">_xlfn.IFS(O1254&lt;18200, "Low", O1254&lt;=50000, "Medium", O1254&gt;50000, "High")</f>
        <v>Low</v>
      </c>
    </row>
    <row r="1255" spans="1:20" x14ac:dyDescent="0.25">
      <c r="A1255" s="2">
        <v>2012</v>
      </c>
      <c r="B1255" s="1" t="s">
        <v>85</v>
      </c>
      <c r="C1255" s="1" t="s">
        <v>86</v>
      </c>
      <c r="D1255" s="1" t="s">
        <v>1518</v>
      </c>
      <c r="E1255" s="1" t="s">
        <v>32</v>
      </c>
      <c r="F1255" s="1" t="s">
        <v>20</v>
      </c>
      <c r="G1255" s="1" t="s">
        <v>1962</v>
      </c>
      <c r="H1255" s="1" t="s">
        <v>22</v>
      </c>
      <c r="I1255" s="1">
        <v>34</v>
      </c>
      <c r="J1255" s="1">
        <v>45384</v>
      </c>
      <c r="K1255" s="1" t="s">
        <v>91</v>
      </c>
      <c r="L1255" s="1" t="s">
        <v>24</v>
      </c>
      <c r="M1255" s="1" t="s">
        <v>742</v>
      </c>
      <c r="N1255" s="1">
        <v>11700</v>
      </c>
      <c r="O1255" s="12">
        <v>12100</v>
      </c>
      <c r="P1255" s="3" t="s">
        <v>57</v>
      </c>
      <c r="Q1255" s="1" cm="1">
        <f t="array" ref="Q1255">VALUE(INDEX(_xlfn.TEXTSPLIT(P1255, " "), 4))</f>
        <v>2014</v>
      </c>
      <c r="R1255" s="1" t="str">
        <f t="shared" si="19"/>
        <v>Ford Fusion SEL</v>
      </c>
      <c r="S1255" s="1" t="str" cm="1">
        <f t="array" ref="S1255">_xlfn.IFS(I1255 &gt;= 40, "High", I1255&gt;=20, "Medium", I1255&lt;20, "Low")</f>
        <v>Medium</v>
      </c>
      <c r="T1255" s="1" t="str" cm="1">
        <f t="array" ref="T1255">_xlfn.IFS(O1255&lt;18200, "Low", O1255&lt;=50000, "Medium", O1255&gt;50000, "High")</f>
        <v>Low</v>
      </c>
    </row>
    <row r="1256" spans="1:20" x14ac:dyDescent="0.25">
      <c r="A1256" s="2">
        <v>2012</v>
      </c>
      <c r="B1256" s="1" t="s">
        <v>1806</v>
      </c>
      <c r="C1256" s="1" t="s">
        <v>1829</v>
      </c>
      <c r="D1256" s="1" t="s">
        <v>18</v>
      </c>
      <c r="E1256" s="1" t="s">
        <v>32</v>
      </c>
      <c r="F1256" s="1" t="s">
        <v>20</v>
      </c>
      <c r="G1256" s="1" t="s">
        <v>1963</v>
      </c>
      <c r="H1256" s="1" t="s">
        <v>22</v>
      </c>
      <c r="I1256" s="1">
        <v>41</v>
      </c>
      <c r="J1256" s="1">
        <v>103097</v>
      </c>
      <c r="K1256" s="1" t="s">
        <v>23</v>
      </c>
      <c r="L1256" s="1" t="s">
        <v>34</v>
      </c>
      <c r="M1256" s="1" t="s">
        <v>1327</v>
      </c>
      <c r="N1256" s="1">
        <v>9225</v>
      </c>
      <c r="O1256" s="12">
        <v>8800</v>
      </c>
      <c r="P1256" s="3" t="s">
        <v>68</v>
      </c>
      <c r="Q1256" s="1" cm="1">
        <f t="array" ref="Q1256">VALUE(INDEX(_xlfn.TEXTSPLIT(P1256, " "), 4))</f>
        <v>2014</v>
      </c>
      <c r="R1256" s="1" t="str">
        <f t="shared" si="19"/>
        <v>Honda Civic LX</v>
      </c>
      <c r="S1256" s="1" t="str" cm="1">
        <f t="array" ref="S1256">_xlfn.IFS(I1256 &gt;= 40, "High", I1256&gt;=20, "Medium", I1256&lt;20, "Low")</f>
        <v>High</v>
      </c>
      <c r="T1256" s="1" t="str" cm="1">
        <f t="array" ref="T1256">_xlfn.IFS(O1256&lt;18200, "Low", O1256&lt;=50000, "Medium", O1256&gt;50000, "High")</f>
        <v>Low</v>
      </c>
    </row>
    <row r="1257" spans="1:20" x14ac:dyDescent="0.25">
      <c r="A1257" s="2">
        <v>2012</v>
      </c>
      <c r="B1257" s="1" t="s">
        <v>1806</v>
      </c>
      <c r="C1257" s="1" t="s">
        <v>1837</v>
      </c>
      <c r="D1257" s="1" t="s">
        <v>1868</v>
      </c>
      <c r="E1257" s="1" t="s">
        <v>19</v>
      </c>
      <c r="F1257" s="1" t="s">
        <v>20</v>
      </c>
      <c r="G1257" s="1" t="s">
        <v>1964</v>
      </c>
      <c r="H1257" s="1" t="s">
        <v>22</v>
      </c>
      <c r="I1257" s="1">
        <v>35</v>
      </c>
      <c r="J1257" s="1">
        <v>29120</v>
      </c>
      <c r="K1257" s="1" t="s">
        <v>24</v>
      </c>
      <c r="L1257" s="1" t="s">
        <v>34</v>
      </c>
      <c r="M1257" s="1" t="s">
        <v>1327</v>
      </c>
      <c r="N1257" s="1">
        <v>24600</v>
      </c>
      <c r="O1257" s="12">
        <v>23000</v>
      </c>
      <c r="P1257" s="3" t="s">
        <v>68</v>
      </c>
      <c r="Q1257" s="1" cm="1">
        <f t="array" ref="Q1257">VALUE(INDEX(_xlfn.TEXTSPLIT(P1257, " "), 4))</f>
        <v>2014</v>
      </c>
      <c r="R1257" s="1" t="str">
        <f t="shared" si="19"/>
        <v>Honda Pilot EX-L</v>
      </c>
      <c r="S1257" s="1" t="str" cm="1">
        <f t="array" ref="S1257">_xlfn.IFS(I1257 &gt;= 40, "High", I1257&gt;=20, "Medium", I1257&lt;20, "Low")</f>
        <v>Medium</v>
      </c>
      <c r="T1257" s="1" t="str" cm="1">
        <f t="array" ref="T1257">_xlfn.IFS(O1257&lt;18200, "Low", O1257&lt;=50000, "Medium", O1257&gt;50000, "High")</f>
        <v>Medium</v>
      </c>
    </row>
    <row r="1258" spans="1:20" x14ac:dyDescent="0.25">
      <c r="A1258" s="2">
        <v>2012</v>
      </c>
      <c r="B1258" s="1" t="s">
        <v>318</v>
      </c>
      <c r="C1258" s="1" t="s">
        <v>319</v>
      </c>
      <c r="D1258" s="1" t="s">
        <v>1965</v>
      </c>
      <c r="E1258" s="1" t="s">
        <v>319</v>
      </c>
      <c r="F1258" s="1" t="s">
        <v>20</v>
      </c>
      <c r="G1258" s="1" t="s">
        <v>1966</v>
      </c>
      <c r="H1258" s="1" t="s">
        <v>22</v>
      </c>
      <c r="I1258" s="1">
        <v>47</v>
      </c>
      <c r="J1258" s="1">
        <v>13076</v>
      </c>
      <c r="K1258" s="1" t="s">
        <v>24</v>
      </c>
      <c r="L1258" s="1" t="s">
        <v>101</v>
      </c>
      <c r="M1258" s="1" t="s">
        <v>322</v>
      </c>
      <c r="N1258" s="1">
        <v>23600</v>
      </c>
      <c r="O1258" s="12">
        <v>23000</v>
      </c>
      <c r="P1258" s="3" t="s">
        <v>46</v>
      </c>
      <c r="Q1258" s="1" cm="1">
        <f t="array" ref="Q1258">VALUE(INDEX(_xlfn.TEXTSPLIT(P1258, " "), 4))</f>
        <v>2014</v>
      </c>
      <c r="R1258" s="1" t="str">
        <f t="shared" si="19"/>
        <v>Infiniti G Coupe G37</v>
      </c>
      <c r="S1258" s="1" t="str" cm="1">
        <f t="array" ref="S1258">_xlfn.IFS(I1258 &gt;= 40, "High", I1258&gt;=20, "Medium", I1258&lt;20, "Low")</f>
        <v>High</v>
      </c>
      <c r="T1258" s="1" t="str" cm="1">
        <f t="array" ref="T1258">_xlfn.IFS(O1258&lt;18200, "Low", O1258&lt;=50000, "Medium", O1258&gt;50000, "High")</f>
        <v>Medium</v>
      </c>
    </row>
    <row r="1259" spans="1:20" x14ac:dyDescent="0.25">
      <c r="A1259" s="2">
        <v>2012</v>
      </c>
      <c r="B1259" s="1" t="s">
        <v>85</v>
      </c>
      <c r="C1259" s="1" t="s">
        <v>86</v>
      </c>
      <c r="D1259" s="1" t="s">
        <v>1518</v>
      </c>
      <c r="E1259" s="1" t="s">
        <v>32</v>
      </c>
      <c r="F1259" s="1"/>
      <c r="G1259" s="1" t="s">
        <v>1967</v>
      </c>
      <c r="H1259" s="1" t="s">
        <v>22</v>
      </c>
      <c r="I1259" s="1"/>
      <c r="J1259" s="1">
        <v>53683</v>
      </c>
      <c r="K1259" s="1" t="s">
        <v>23</v>
      </c>
      <c r="L1259" s="1" t="s">
        <v>101</v>
      </c>
      <c r="M1259" s="1" t="s">
        <v>1531</v>
      </c>
      <c r="N1259" s="1">
        <v>11100</v>
      </c>
      <c r="O1259" s="12">
        <v>8500</v>
      </c>
      <c r="P1259" s="3" t="s">
        <v>68</v>
      </c>
      <c r="Q1259" s="1" cm="1">
        <f t="array" ref="Q1259">VALUE(INDEX(_xlfn.TEXTSPLIT(P1259, " "), 4))</f>
        <v>2014</v>
      </c>
      <c r="R1259" s="1" t="str">
        <f t="shared" si="19"/>
        <v>Ford Fusion SEL</v>
      </c>
      <c r="S1259" s="1" t="str" cm="1">
        <f t="array" ref="S1259">_xlfn.IFS(I1259 &gt;= 40, "High", I1259&gt;=20, "Medium", I1259&lt;20, "Low")</f>
        <v>Low</v>
      </c>
      <c r="T1259" s="1" t="str" cm="1">
        <f t="array" ref="T1259">_xlfn.IFS(O1259&lt;18200, "Low", O1259&lt;=50000, "Medium", O1259&gt;50000, "High")</f>
        <v>Low</v>
      </c>
    </row>
    <row r="1260" spans="1:20" x14ac:dyDescent="0.25">
      <c r="A1260" s="2">
        <v>2012</v>
      </c>
      <c r="B1260" s="1" t="s">
        <v>1806</v>
      </c>
      <c r="C1260" s="1" t="s">
        <v>1829</v>
      </c>
      <c r="D1260" s="1" t="s">
        <v>18</v>
      </c>
      <c r="E1260" s="1" t="s">
        <v>32</v>
      </c>
      <c r="F1260" s="1" t="s">
        <v>20</v>
      </c>
      <c r="G1260" s="1" t="s">
        <v>1968</v>
      </c>
      <c r="H1260" s="1" t="s">
        <v>22</v>
      </c>
      <c r="I1260" s="1">
        <v>24</v>
      </c>
      <c r="J1260" s="1">
        <v>36218</v>
      </c>
      <c r="K1260" s="1" t="s">
        <v>24</v>
      </c>
      <c r="L1260" s="1" t="s">
        <v>34</v>
      </c>
      <c r="M1260" s="1" t="s">
        <v>1266</v>
      </c>
      <c r="N1260" s="1">
        <v>10950</v>
      </c>
      <c r="O1260" s="12">
        <v>10600</v>
      </c>
      <c r="P1260" s="3" t="s">
        <v>915</v>
      </c>
      <c r="Q1260" s="1" cm="1">
        <f t="array" ref="Q1260">VALUE(INDEX(_xlfn.TEXTSPLIT(P1260, " "), 4))</f>
        <v>2015</v>
      </c>
      <c r="R1260" s="1" t="str">
        <f t="shared" si="19"/>
        <v>Honda Civic LX</v>
      </c>
      <c r="S1260" s="1" t="str" cm="1">
        <f t="array" ref="S1260">_xlfn.IFS(I1260 &gt;= 40, "High", I1260&gt;=20, "Medium", I1260&lt;20, "Low")</f>
        <v>Medium</v>
      </c>
      <c r="T1260" s="1" t="str" cm="1">
        <f t="array" ref="T1260">_xlfn.IFS(O1260&lt;18200, "Low", O1260&lt;=50000, "Medium", O1260&gt;50000, "High")</f>
        <v>Low</v>
      </c>
    </row>
    <row r="1261" spans="1:20" x14ac:dyDescent="0.25">
      <c r="A1261" s="2">
        <v>2012</v>
      </c>
      <c r="B1261" s="1" t="s">
        <v>98</v>
      </c>
      <c r="C1261" s="1" t="s">
        <v>363</v>
      </c>
      <c r="D1261" s="1" t="s">
        <v>54</v>
      </c>
      <c r="E1261" s="1" t="s">
        <v>32</v>
      </c>
      <c r="F1261" s="1" t="s">
        <v>20</v>
      </c>
      <c r="G1261" s="1" t="s">
        <v>1969</v>
      </c>
      <c r="H1261" s="1" t="s">
        <v>22</v>
      </c>
      <c r="I1261" s="1">
        <v>5</v>
      </c>
      <c r="J1261" s="1">
        <v>17437</v>
      </c>
      <c r="K1261" s="1" t="s">
        <v>24</v>
      </c>
      <c r="L1261" s="1" t="s">
        <v>34</v>
      </c>
      <c r="M1261" s="1" t="s">
        <v>343</v>
      </c>
      <c r="N1261" s="1">
        <v>14650</v>
      </c>
      <c r="O1261" s="12">
        <v>17400</v>
      </c>
      <c r="P1261" s="3" t="s">
        <v>84</v>
      </c>
      <c r="Q1261" s="1" cm="1">
        <f t="array" ref="Q1261">VALUE(INDEX(_xlfn.TEXTSPLIT(P1261, " "), 4))</f>
        <v>2014</v>
      </c>
      <c r="R1261" s="1" t="str">
        <f t="shared" si="19"/>
        <v>Hyundai Sonata Hybrid Base</v>
      </c>
      <c r="S1261" s="1" t="str" cm="1">
        <f t="array" ref="S1261">_xlfn.IFS(I1261 &gt;= 40, "High", I1261&gt;=20, "Medium", I1261&lt;20, "Low")</f>
        <v>Low</v>
      </c>
      <c r="T1261" s="1" t="str" cm="1">
        <f t="array" ref="T1261">_xlfn.IFS(O1261&lt;18200, "Low", O1261&lt;=50000, "Medium", O1261&gt;50000, "High")</f>
        <v>Low</v>
      </c>
    </row>
    <row r="1262" spans="1:20" x14ac:dyDescent="0.25">
      <c r="A1262" s="2">
        <v>2012</v>
      </c>
      <c r="B1262" s="1" t="s">
        <v>98</v>
      </c>
      <c r="C1262" s="1" t="s">
        <v>340</v>
      </c>
      <c r="D1262" s="1">
        <v>3.8</v>
      </c>
      <c r="E1262" s="1" t="s">
        <v>32</v>
      </c>
      <c r="F1262" s="1" t="s">
        <v>20</v>
      </c>
      <c r="G1262" s="1" t="s">
        <v>1970</v>
      </c>
      <c r="H1262" s="1" t="s">
        <v>22</v>
      </c>
      <c r="I1262" s="1">
        <v>4</v>
      </c>
      <c r="J1262" s="1">
        <v>28016</v>
      </c>
      <c r="K1262" s="1" t="s">
        <v>24</v>
      </c>
      <c r="L1262" s="1" t="s">
        <v>24</v>
      </c>
      <c r="M1262" s="1" t="s">
        <v>625</v>
      </c>
      <c r="N1262" s="1">
        <v>17650</v>
      </c>
      <c r="O1262" s="12">
        <v>19100</v>
      </c>
      <c r="P1262" s="3" t="s">
        <v>362</v>
      </c>
      <c r="Q1262" s="1" cm="1">
        <f t="array" ref="Q1262">VALUE(INDEX(_xlfn.TEXTSPLIT(P1262, " "), 4))</f>
        <v>2014</v>
      </c>
      <c r="R1262" s="1" t="str">
        <f t="shared" si="19"/>
        <v>Hyundai Genesis 3.8</v>
      </c>
      <c r="S1262" s="1" t="str" cm="1">
        <f t="array" ref="S1262">_xlfn.IFS(I1262 &gt;= 40, "High", I1262&gt;=20, "Medium", I1262&lt;20, "Low")</f>
        <v>Low</v>
      </c>
      <c r="T1262" s="1" t="str" cm="1">
        <f t="array" ref="T1262">_xlfn.IFS(O1262&lt;18200, "Low", O1262&lt;=50000, "Medium", O1262&gt;50000, "High")</f>
        <v>Medium</v>
      </c>
    </row>
    <row r="1263" spans="1:20" x14ac:dyDescent="0.25">
      <c r="A1263" s="2">
        <v>2012</v>
      </c>
      <c r="B1263" s="1" t="s">
        <v>98</v>
      </c>
      <c r="C1263" s="1" t="s">
        <v>444</v>
      </c>
      <c r="D1263" s="1" t="s">
        <v>337</v>
      </c>
      <c r="E1263" s="1" t="s">
        <v>19</v>
      </c>
      <c r="F1263" s="1" t="s">
        <v>20</v>
      </c>
      <c r="G1263" s="1" t="s">
        <v>1971</v>
      </c>
      <c r="H1263" s="1" t="s">
        <v>22</v>
      </c>
      <c r="I1263" s="1">
        <v>2</v>
      </c>
      <c r="J1263" s="1">
        <v>44645</v>
      </c>
      <c r="K1263" s="1" t="s">
        <v>24</v>
      </c>
      <c r="L1263" s="1" t="s">
        <v>34</v>
      </c>
      <c r="M1263" s="1" t="s">
        <v>350</v>
      </c>
      <c r="N1263" s="1">
        <v>14450</v>
      </c>
      <c r="O1263" s="12">
        <v>12000</v>
      </c>
      <c r="P1263" s="3" t="s">
        <v>84</v>
      </c>
      <c r="Q1263" s="1" cm="1">
        <f t="array" ref="Q1263">VALUE(INDEX(_xlfn.TEXTSPLIT(P1263, " "), 4))</f>
        <v>2014</v>
      </c>
      <c r="R1263" s="1" t="str">
        <f t="shared" si="19"/>
        <v>Hyundai Tucson Limited</v>
      </c>
      <c r="S1263" s="1" t="str" cm="1">
        <f t="array" ref="S1263">_xlfn.IFS(I1263 &gt;= 40, "High", I1263&gt;=20, "Medium", I1263&lt;20, "Low")</f>
        <v>Low</v>
      </c>
      <c r="T1263" s="1" t="str" cm="1">
        <f t="array" ref="T1263">_xlfn.IFS(O1263&lt;18200, "Low", O1263&lt;=50000, "Medium", O1263&gt;50000, "High")</f>
        <v>Low</v>
      </c>
    </row>
    <row r="1264" spans="1:20" x14ac:dyDescent="0.25">
      <c r="A1264" s="2">
        <v>2012</v>
      </c>
      <c r="B1264" s="1" t="s">
        <v>318</v>
      </c>
      <c r="C1264" s="1" t="s">
        <v>1972</v>
      </c>
      <c r="D1264" s="1" t="s">
        <v>1965</v>
      </c>
      <c r="E1264" s="1" t="s">
        <v>1972</v>
      </c>
      <c r="F1264" s="1" t="s">
        <v>20</v>
      </c>
      <c r="G1264" s="1" t="s">
        <v>1973</v>
      </c>
      <c r="H1264" s="1" t="s">
        <v>22</v>
      </c>
      <c r="I1264" s="1">
        <v>24</v>
      </c>
      <c r="J1264" s="1">
        <v>5710</v>
      </c>
      <c r="K1264" s="1" t="s">
        <v>24</v>
      </c>
      <c r="L1264" s="1" t="s">
        <v>24</v>
      </c>
      <c r="M1264" s="1" t="s">
        <v>322</v>
      </c>
      <c r="N1264" s="1">
        <v>28100</v>
      </c>
      <c r="O1264" s="12">
        <v>26250</v>
      </c>
      <c r="P1264" s="3" t="s">
        <v>26</v>
      </c>
      <c r="Q1264" s="1" cm="1">
        <f t="array" ref="Q1264">VALUE(INDEX(_xlfn.TEXTSPLIT(P1264, " "), 4))</f>
        <v>2014</v>
      </c>
      <c r="R1264" s="1" t="str">
        <f t="shared" si="19"/>
        <v>Infiniti G Convertible G37</v>
      </c>
      <c r="S1264" s="1" t="str" cm="1">
        <f t="array" ref="S1264">_xlfn.IFS(I1264 &gt;= 40, "High", I1264&gt;=20, "Medium", I1264&lt;20, "Low")</f>
        <v>Medium</v>
      </c>
      <c r="T1264" s="1" t="str" cm="1">
        <f t="array" ref="T1264">_xlfn.IFS(O1264&lt;18200, "Low", O1264&lt;=50000, "Medium", O1264&gt;50000, "High")</f>
        <v>Medium</v>
      </c>
    </row>
    <row r="1265" spans="1:20" x14ac:dyDescent="0.25">
      <c r="A1265" s="2">
        <v>2012</v>
      </c>
      <c r="B1265" s="1" t="s">
        <v>85</v>
      </c>
      <c r="C1265" s="1" t="s">
        <v>1819</v>
      </c>
      <c r="D1265" s="1" t="s">
        <v>1196</v>
      </c>
      <c r="E1265" s="1" t="s">
        <v>107</v>
      </c>
      <c r="F1265" s="1" t="s">
        <v>20</v>
      </c>
      <c r="G1265" s="1" t="s">
        <v>1974</v>
      </c>
      <c r="H1265" s="1" t="s">
        <v>22</v>
      </c>
      <c r="I1265" s="1">
        <v>36</v>
      </c>
      <c r="J1265" s="1">
        <v>37966</v>
      </c>
      <c r="K1265" s="1" t="s">
        <v>73</v>
      </c>
      <c r="L1265" s="1" t="s">
        <v>24</v>
      </c>
      <c r="M1265" s="1" t="s">
        <v>1515</v>
      </c>
      <c r="N1265" s="1">
        <v>13300</v>
      </c>
      <c r="O1265" s="12">
        <v>12100</v>
      </c>
      <c r="P1265" s="3" t="s">
        <v>68</v>
      </c>
      <c r="Q1265" s="1" cm="1">
        <f t="array" ref="Q1265">VALUE(INDEX(_xlfn.TEXTSPLIT(P1265, " "), 4))</f>
        <v>2014</v>
      </c>
      <c r="R1265" s="1" t="str">
        <f t="shared" si="19"/>
        <v>Ford Mustang V6</v>
      </c>
      <c r="S1265" s="1" t="str" cm="1">
        <f t="array" ref="S1265">_xlfn.IFS(I1265 &gt;= 40, "High", I1265&gt;=20, "Medium", I1265&lt;20, "Low")</f>
        <v>Medium</v>
      </c>
      <c r="T1265" s="1" t="str" cm="1">
        <f t="array" ref="T1265">_xlfn.IFS(O1265&lt;18200, "Low", O1265&lt;=50000, "Medium", O1265&gt;50000, "High")</f>
        <v>Low</v>
      </c>
    </row>
    <row r="1266" spans="1:20" x14ac:dyDescent="0.25">
      <c r="A1266" s="2">
        <v>2012</v>
      </c>
      <c r="B1266" s="1" t="s">
        <v>85</v>
      </c>
      <c r="C1266" s="1" t="s">
        <v>86</v>
      </c>
      <c r="D1266" s="1" t="s">
        <v>1518</v>
      </c>
      <c r="E1266" s="1" t="s">
        <v>32</v>
      </c>
      <c r="F1266" s="1" t="s">
        <v>20</v>
      </c>
      <c r="G1266" s="1" t="s">
        <v>1975</v>
      </c>
      <c r="H1266" s="1" t="s">
        <v>22</v>
      </c>
      <c r="I1266" s="1">
        <v>38</v>
      </c>
      <c r="J1266" s="1">
        <v>51424</v>
      </c>
      <c r="K1266" s="1" t="s">
        <v>23</v>
      </c>
      <c r="L1266" s="1" t="s">
        <v>28</v>
      </c>
      <c r="M1266" s="1" t="s">
        <v>1606</v>
      </c>
      <c r="N1266" s="1">
        <v>11200</v>
      </c>
      <c r="O1266" s="12">
        <v>11250</v>
      </c>
      <c r="P1266" s="3" t="s">
        <v>26</v>
      </c>
      <c r="Q1266" s="1" cm="1">
        <f t="array" ref="Q1266">VALUE(INDEX(_xlfn.TEXTSPLIT(P1266, " "), 4))</f>
        <v>2014</v>
      </c>
      <c r="R1266" s="1" t="str">
        <f t="shared" si="19"/>
        <v>Ford Fusion SEL</v>
      </c>
      <c r="S1266" s="1" t="str" cm="1">
        <f t="array" ref="S1266">_xlfn.IFS(I1266 &gt;= 40, "High", I1266&gt;=20, "Medium", I1266&lt;20, "Low")</f>
        <v>Medium</v>
      </c>
      <c r="T1266" s="1" t="str" cm="1">
        <f t="array" ref="T1266">_xlfn.IFS(O1266&lt;18200, "Low", O1266&lt;=50000, "Medium", O1266&gt;50000, "High")</f>
        <v>Low</v>
      </c>
    </row>
    <row r="1267" spans="1:20" x14ac:dyDescent="0.25">
      <c r="A1267" s="2">
        <v>2012</v>
      </c>
      <c r="B1267" s="1" t="s">
        <v>1806</v>
      </c>
      <c r="C1267" s="1" t="s">
        <v>1840</v>
      </c>
      <c r="D1267" s="1" t="s">
        <v>1868</v>
      </c>
      <c r="E1267" s="1" t="s">
        <v>738</v>
      </c>
      <c r="F1267" s="1"/>
      <c r="G1267" s="1" t="s">
        <v>1976</v>
      </c>
      <c r="H1267" s="1" t="s">
        <v>22</v>
      </c>
      <c r="I1267" s="1"/>
      <c r="J1267" s="1">
        <v>45062</v>
      </c>
      <c r="K1267" s="1" t="s">
        <v>216</v>
      </c>
      <c r="L1267" s="1" t="s">
        <v>101</v>
      </c>
      <c r="M1267" s="1" t="s">
        <v>1888</v>
      </c>
      <c r="N1267" s="1">
        <v>21700</v>
      </c>
      <c r="O1267" s="12">
        <v>21000</v>
      </c>
      <c r="P1267" s="3" t="s">
        <v>26</v>
      </c>
      <c r="Q1267" s="1" cm="1">
        <f t="array" ref="Q1267">VALUE(INDEX(_xlfn.TEXTSPLIT(P1267, " "), 4))</f>
        <v>2014</v>
      </c>
      <c r="R1267" s="1" t="str">
        <f t="shared" si="19"/>
        <v>Honda Odyssey EX-L</v>
      </c>
      <c r="S1267" s="1" t="str" cm="1">
        <f t="array" ref="S1267">_xlfn.IFS(I1267 &gt;= 40, "High", I1267&gt;=20, "Medium", I1267&lt;20, "Low")</f>
        <v>Low</v>
      </c>
      <c r="T1267" s="1" t="str" cm="1">
        <f t="array" ref="T1267">_xlfn.IFS(O1267&lt;18200, "Low", O1267&lt;=50000, "Medium", O1267&gt;50000, "High")</f>
        <v>Medium</v>
      </c>
    </row>
    <row r="1268" spans="1:20" x14ac:dyDescent="0.25">
      <c r="A1268" s="2">
        <v>2012</v>
      </c>
      <c r="B1268" s="1" t="s">
        <v>1806</v>
      </c>
      <c r="C1268" s="1" t="s">
        <v>1807</v>
      </c>
      <c r="D1268" s="1" t="s">
        <v>18</v>
      </c>
      <c r="E1268" s="1" t="s">
        <v>32</v>
      </c>
      <c r="F1268" s="1" t="s">
        <v>20</v>
      </c>
      <c r="G1268" s="1" t="s">
        <v>1977</v>
      </c>
      <c r="H1268" s="1" t="s">
        <v>22</v>
      </c>
      <c r="I1268" s="1">
        <v>44</v>
      </c>
      <c r="J1268" s="1">
        <v>33415</v>
      </c>
      <c r="K1268" s="1" t="s">
        <v>91</v>
      </c>
      <c r="L1268" s="1" t="s">
        <v>34</v>
      </c>
      <c r="M1268" s="1" t="s">
        <v>1327</v>
      </c>
      <c r="N1268" s="1">
        <v>12000</v>
      </c>
      <c r="O1268" s="12">
        <v>13400</v>
      </c>
      <c r="P1268" s="3" t="s">
        <v>68</v>
      </c>
      <c r="Q1268" s="1" cm="1">
        <f t="array" ref="Q1268">VALUE(INDEX(_xlfn.TEXTSPLIT(P1268, " "), 4))</f>
        <v>2014</v>
      </c>
      <c r="R1268" s="1" t="str">
        <f t="shared" si="19"/>
        <v>Honda Accord LX</v>
      </c>
      <c r="S1268" s="1" t="str" cm="1">
        <f t="array" ref="S1268">_xlfn.IFS(I1268 &gt;= 40, "High", I1268&gt;=20, "Medium", I1268&lt;20, "Low")</f>
        <v>High</v>
      </c>
      <c r="T1268" s="1" t="str" cm="1">
        <f t="array" ref="T1268">_xlfn.IFS(O1268&lt;18200, "Low", O1268&lt;=50000, "Medium", O1268&gt;50000, "High")</f>
        <v>Low</v>
      </c>
    </row>
    <row r="1269" spans="1:20" x14ac:dyDescent="0.25">
      <c r="A1269" s="2">
        <v>2012</v>
      </c>
      <c r="B1269" s="1" t="s">
        <v>1806</v>
      </c>
      <c r="C1269" s="1" t="s">
        <v>1837</v>
      </c>
      <c r="D1269" s="1" t="s">
        <v>735</v>
      </c>
      <c r="E1269" s="1" t="s">
        <v>19</v>
      </c>
      <c r="F1269" s="1" t="s">
        <v>20</v>
      </c>
      <c r="G1269" s="1" t="s">
        <v>1978</v>
      </c>
      <c r="H1269" s="1" t="s">
        <v>22</v>
      </c>
      <c r="I1269" s="1">
        <v>2</v>
      </c>
      <c r="J1269" s="1">
        <v>36828</v>
      </c>
      <c r="K1269" s="1" t="s">
        <v>94</v>
      </c>
      <c r="L1269" s="1" t="s">
        <v>34</v>
      </c>
      <c r="M1269" s="1" t="s">
        <v>1266</v>
      </c>
      <c r="N1269" s="1">
        <v>20200</v>
      </c>
      <c r="O1269" s="12">
        <v>17200</v>
      </c>
      <c r="P1269" s="3" t="s">
        <v>68</v>
      </c>
      <c r="Q1269" s="1" cm="1">
        <f t="array" ref="Q1269">VALUE(INDEX(_xlfn.TEXTSPLIT(P1269, " "), 4))</f>
        <v>2014</v>
      </c>
      <c r="R1269" s="1" t="str">
        <f t="shared" si="19"/>
        <v>Honda Pilot EX</v>
      </c>
      <c r="S1269" s="1" t="str" cm="1">
        <f t="array" ref="S1269">_xlfn.IFS(I1269 &gt;= 40, "High", I1269&gt;=20, "Medium", I1269&lt;20, "Low")</f>
        <v>Low</v>
      </c>
      <c r="T1269" s="1" t="str" cm="1">
        <f t="array" ref="T1269">_xlfn.IFS(O1269&lt;18200, "Low", O1269&lt;=50000, "Medium", O1269&gt;50000, "High")</f>
        <v>Low</v>
      </c>
    </row>
    <row r="1270" spans="1:20" x14ac:dyDescent="0.25">
      <c r="A1270" s="2">
        <v>2012</v>
      </c>
      <c r="B1270" s="1" t="s">
        <v>1806</v>
      </c>
      <c r="C1270" s="1" t="s">
        <v>1807</v>
      </c>
      <c r="D1270" s="1" t="s">
        <v>87</v>
      </c>
      <c r="E1270" s="1" t="s">
        <v>32</v>
      </c>
      <c r="F1270" s="1" t="s">
        <v>20</v>
      </c>
      <c r="G1270" s="1" t="s">
        <v>1979</v>
      </c>
      <c r="H1270" s="1" t="s">
        <v>22</v>
      </c>
      <c r="I1270" s="1">
        <v>35</v>
      </c>
      <c r="J1270" s="1">
        <v>30866</v>
      </c>
      <c r="K1270" s="1" t="s">
        <v>91</v>
      </c>
      <c r="L1270" s="1" t="s">
        <v>24</v>
      </c>
      <c r="M1270" s="1" t="s">
        <v>1266</v>
      </c>
      <c r="N1270" s="1">
        <v>13200</v>
      </c>
      <c r="O1270" s="12">
        <v>13900</v>
      </c>
      <c r="P1270" s="3" t="s">
        <v>68</v>
      </c>
      <c r="Q1270" s="1" cm="1">
        <f t="array" ref="Q1270">VALUE(INDEX(_xlfn.TEXTSPLIT(P1270, " "), 4))</f>
        <v>2014</v>
      </c>
      <c r="R1270" s="1" t="str">
        <f t="shared" si="19"/>
        <v>Honda Accord SE</v>
      </c>
      <c r="S1270" s="1" t="str" cm="1">
        <f t="array" ref="S1270">_xlfn.IFS(I1270 &gt;= 40, "High", I1270&gt;=20, "Medium", I1270&lt;20, "Low")</f>
        <v>Medium</v>
      </c>
      <c r="T1270" s="1" t="str" cm="1">
        <f t="array" ref="T1270">_xlfn.IFS(O1270&lt;18200, "Low", O1270&lt;=50000, "Medium", O1270&gt;50000, "High")</f>
        <v>Low</v>
      </c>
    </row>
    <row r="1271" spans="1:20" x14ac:dyDescent="0.25">
      <c r="A1271" s="2">
        <v>2012</v>
      </c>
      <c r="B1271" s="1" t="s">
        <v>1806</v>
      </c>
      <c r="C1271" s="1" t="s">
        <v>1837</v>
      </c>
      <c r="D1271" s="1" t="s">
        <v>1868</v>
      </c>
      <c r="E1271" s="1" t="s">
        <v>19</v>
      </c>
      <c r="F1271" s="1" t="s">
        <v>20</v>
      </c>
      <c r="G1271" s="1" t="s">
        <v>1980</v>
      </c>
      <c r="H1271" s="1" t="s">
        <v>22</v>
      </c>
      <c r="I1271" s="1">
        <v>38</v>
      </c>
      <c r="J1271" s="1">
        <v>35501</v>
      </c>
      <c r="K1271" s="1" t="s">
        <v>24</v>
      </c>
      <c r="L1271" s="1" t="s">
        <v>34</v>
      </c>
      <c r="M1271" s="1" t="s">
        <v>278</v>
      </c>
      <c r="N1271" s="1">
        <v>23900</v>
      </c>
      <c r="O1271" s="12">
        <v>23500</v>
      </c>
      <c r="P1271" s="3" t="s">
        <v>68</v>
      </c>
      <c r="Q1271" s="1" cm="1">
        <f t="array" ref="Q1271">VALUE(INDEX(_xlfn.TEXTSPLIT(P1271, " "), 4))</f>
        <v>2014</v>
      </c>
      <c r="R1271" s="1" t="str">
        <f t="shared" si="19"/>
        <v>Honda Pilot EX-L</v>
      </c>
      <c r="S1271" s="1" t="str" cm="1">
        <f t="array" ref="S1271">_xlfn.IFS(I1271 &gt;= 40, "High", I1271&gt;=20, "Medium", I1271&lt;20, "Low")</f>
        <v>Medium</v>
      </c>
      <c r="T1271" s="1" t="str" cm="1">
        <f t="array" ref="T1271">_xlfn.IFS(O1271&lt;18200, "Low", O1271&lt;=50000, "Medium", O1271&gt;50000, "High")</f>
        <v>Medium</v>
      </c>
    </row>
    <row r="1272" spans="1:20" x14ac:dyDescent="0.25">
      <c r="A1272" s="2">
        <v>2012</v>
      </c>
      <c r="B1272" s="1" t="s">
        <v>1806</v>
      </c>
      <c r="C1272" s="1" t="s">
        <v>1807</v>
      </c>
      <c r="D1272" s="1" t="s">
        <v>87</v>
      </c>
      <c r="E1272" s="1" t="s">
        <v>32</v>
      </c>
      <c r="F1272" s="1" t="s">
        <v>20</v>
      </c>
      <c r="G1272" s="1" t="s">
        <v>1981</v>
      </c>
      <c r="H1272" s="1" t="s">
        <v>22</v>
      </c>
      <c r="I1272" s="1">
        <v>37</v>
      </c>
      <c r="J1272" s="1">
        <v>36706</v>
      </c>
      <c r="K1272" s="1" t="s">
        <v>91</v>
      </c>
      <c r="L1272" s="1" t="s">
        <v>24</v>
      </c>
      <c r="M1272" s="1" t="s">
        <v>1327</v>
      </c>
      <c r="N1272" s="1">
        <v>12900</v>
      </c>
      <c r="O1272" s="12">
        <v>14000</v>
      </c>
      <c r="P1272" s="3" t="s">
        <v>68</v>
      </c>
      <c r="Q1272" s="1" cm="1">
        <f t="array" ref="Q1272">VALUE(INDEX(_xlfn.TEXTSPLIT(P1272, " "), 4))</f>
        <v>2014</v>
      </c>
      <c r="R1272" s="1" t="str">
        <f t="shared" si="19"/>
        <v>Honda Accord SE</v>
      </c>
      <c r="S1272" s="1" t="str" cm="1">
        <f t="array" ref="S1272">_xlfn.IFS(I1272 &gt;= 40, "High", I1272&gt;=20, "Medium", I1272&lt;20, "Low")</f>
        <v>Medium</v>
      </c>
      <c r="T1272" s="1" t="str" cm="1">
        <f t="array" ref="T1272">_xlfn.IFS(O1272&lt;18200, "Low", O1272&lt;=50000, "Medium", O1272&gt;50000, "High")</f>
        <v>Low</v>
      </c>
    </row>
    <row r="1273" spans="1:20" x14ac:dyDescent="0.25">
      <c r="A1273" s="2">
        <v>2012</v>
      </c>
      <c r="B1273" s="1" t="s">
        <v>98</v>
      </c>
      <c r="C1273" s="1" t="s">
        <v>99</v>
      </c>
      <c r="D1273" s="1" t="s">
        <v>348</v>
      </c>
      <c r="E1273" s="1" t="s">
        <v>32</v>
      </c>
      <c r="F1273" s="1" t="s">
        <v>20</v>
      </c>
      <c r="G1273" s="1" t="s">
        <v>1982</v>
      </c>
      <c r="H1273" s="1" t="s">
        <v>22</v>
      </c>
      <c r="I1273" s="1">
        <v>4</v>
      </c>
      <c r="J1273" s="1">
        <v>42665</v>
      </c>
      <c r="K1273" s="1" t="s">
        <v>94</v>
      </c>
      <c r="L1273" s="1" t="s">
        <v>34</v>
      </c>
      <c r="M1273" s="1" t="s">
        <v>343</v>
      </c>
      <c r="N1273" s="1">
        <v>10800</v>
      </c>
      <c r="O1273" s="12">
        <v>11600</v>
      </c>
      <c r="P1273" s="3" t="s">
        <v>84</v>
      </c>
      <c r="Q1273" s="1" cm="1">
        <f t="array" ref="Q1273">VALUE(INDEX(_xlfn.TEXTSPLIT(P1273, " "), 4))</f>
        <v>2014</v>
      </c>
      <c r="R1273" s="1" t="str">
        <f t="shared" si="19"/>
        <v>Hyundai Sonata GLS</v>
      </c>
      <c r="S1273" s="1" t="str" cm="1">
        <f t="array" ref="S1273">_xlfn.IFS(I1273 &gt;= 40, "High", I1273&gt;=20, "Medium", I1273&lt;20, "Low")</f>
        <v>Low</v>
      </c>
      <c r="T1273" s="1" t="str" cm="1">
        <f t="array" ref="T1273">_xlfn.IFS(O1273&lt;18200, "Low", O1273&lt;=50000, "Medium", O1273&gt;50000, "High")</f>
        <v>Low</v>
      </c>
    </row>
    <row r="1274" spans="1:20" x14ac:dyDescent="0.25">
      <c r="A1274" s="2">
        <v>2012</v>
      </c>
      <c r="B1274" s="1" t="s">
        <v>318</v>
      </c>
      <c r="C1274" s="1" t="s">
        <v>323</v>
      </c>
      <c r="D1274" s="1" t="s">
        <v>1817</v>
      </c>
      <c r="E1274" s="1" t="s">
        <v>323</v>
      </c>
      <c r="F1274" s="1" t="s">
        <v>20</v>
      </c>
      <c r="G1274" s="1" t="s">
        <v>1983</v>
      </c>
      <c r="H1274" s="1" t="s">
        <v>22</v>
      </c>
      <c r="I1274" s="1">
        <v>35</v>
      </c>
      <c r="J1274" s="1">
        <v>19831</v>
      </c>
      <c r="K1274" s="1" t="s">
        <v>34</v>
      </c>
      <c r="L1274" s="1" t="s">
        <v>24</v>
      </c>
      <c r="M1274" s="1" t="s">
        <v>322</v>
      </c>
      <c r="N1274" s="1">
        <v>19800</v>
      </c>
      <c r="O1274" s="12">
        <v>18500</v>
      </c>
      <c r="P1274" s="3" t="s">
        <v>46</v>
      </c>
      <c r="Q1274" s="1" cm="1">
        <f t="array" ref="Q1274">VALUE(INDEX(_xlfn.TEXTSPLIT(P1274, " "), 4))</f>
        <v>2014</v>
      </c>
      <c r="R1274" s="1" t="str">
        <f t="shared" si="19"/>
        <v>Infiniti G Sedan G25</v>
      </c>
      <c r="S1274" s="1" t="str" cm="1">
        <f t="array" ref="S1274">_xlfn.IFS(I1274 &gt;= 40, "High", I1274&gt;=20, "Medium", I1274&lt;20, "Low")</f>
        <v>Medium</v>
      </c>
      <c r="T1274" s="1" t="str" cm="1">
        <f t="array" ref="T1274">_xlfn.IFS(O1274&lt;18200, "Low", O1274&lt;=50000, "Medium", O1274&gt;50000, "High")</f>
        <v>Medium</v>
      </c>
    </row>
    <row r="1275" spans="1:20" x14ac:dyDescent="0.25">
      <c r="A1275" s="2">
        <v>2012</v>
      </c>
      <c r="B1275" s="1" t="s">
        <v>85</v>
      </c>
      <c r="C1275" s="1" t="s">
        <v>86</v>
      </c>
      <c r="D1275" s="1" t="s">
        <v>1518</v>
      </c>
      <c r="E1275" s="1" t="s">
        <v>32</v>
      </c>
      <c r="F1275" s="1" t="s">
        <v>20</v>
      </c>
      <c r="G1275" s="1" t="s">
        <v>1984</v>
      </c>
      <c r="H1275" s="1" t="s">
        <v>22</v>
      </c>
      <c r="I1275" s="1">
        <v>41</v>
      </c>
      <c r="J1275" s="1">
        <v>39057</v>
      </c>
      <c r="K1275" s="1" t="s">
        <v>101</v>
      </c>
      <c r="L1275" s="1" t="s">
        <v>82</v>
      </c>
      <c r="M1275" s="1" t="s">
        <v>742</v>
      </c>
      <c r="N1275" s="1">
        <v>12200</v>
      </c>
      <c r="O1275" s="12">
        <v>10800</v>
      </c>
      <c r="P1275" s="3" t="s">
        <v>57</v>
      </c>
      <c r="Q1275" s="1" cm="1">
        <f t="array" ref="Q1275">VALUE(INDEX(_xlfn.TEXTSPLIT(P1275, " "), 4))</f>
        <v>2014</v>
      </c>
      <c r="R1275" s="1" t="str">
        <f t="shared" si="19"/>
        <v>Ford Fusion SEL</v>
      </c>
      <c r="S1275" s="1" t="str" cm="1">
        <f t="array" ref="S1275">_xlfn.IFS(I1275 &gt;= 40, "High", I1275&gt;=20, "Medium", I1275&lt;20, "Low")</f>
        <v>High</v>
      </c>
      <c r="T1275" s="1" t="str" cm="1">
        <f t="array" ref="T1275">_xlfn.IFS(O1275&lt;18200, "Low", O1275&lt;=50000, "Medium", O1275&gt;50000, "High")</f>
        <v>Low</v>
      </c>
    </row>
    <row r="1276" spans="1:20" x14ac:dyDescent="0.25">
      <c r="A1276" s="2">
        <v>2012</v>
      </c>
      <c r="B1276" s="1" t="s">
        <v>85</v>
      </c>
      <c r="C1276" s="1" t="s">
        <v>86</v>
      </c>
      <c r="D1276" s="1" t="s">
        <v>87</v>
      </c>
      <c r="E1276" s="1" t="s">
        <v>32</v>
      </c>
      <c r="F1276" s="1" t="s">
        <v>20</v>
      </c>
      <c r="G1276" s="1" t="s">
        <v>1985</v>
      </c>
      <c r="H1276" s="1" t="s">
        <v>22</v>
      </c>
      <c r="I1276" s="1">
        <v>38</v>
      </c>
      <c r="J1276" s="1">
        <v>52012</v>
      </c>
      <c r="K1276" s="1" t="s">
        <v>94</v>
      </c>
      <c r="L1276" s="1" t="s">
        <v>24</v>
      </c>
      <c r="M1276" s="1" t="s">
        <v>1606</v>
      </c>
      <c r="N1276" s="1">
        <v>10250</v>
      </c>
      <c r="O1276" s="12">
        <v>9250</v>
      </c>
      <c r="P1276" s="3" t="s">
        <v>26</v>
      </c>
      <c r="Q1276" s="1" cm="1">
        <f t="array" ref="Q1276">VALUE(INDEX(_xlfn.TEXTSPLIT(P1276, " "), 4))</f>
        <v>2014</v>
      </c>
      <c r="R1276" s="1" t="str">
        <f t="shared" si="19"/>
        <v>Ford Fusion SE</v>
      </c>
      <c r="S1276" s="1" t="str" cm="1">
        <f t="array" ref="S1276">_xlfn.IFS(I1276 &gt;= 40, "High", I1276&gt;=20, "Medium", I1276&lt;20, "Low")</f>
        <v>Medium</v>
      </c>
      <c r="T1276" s="1" t="str" cm="1">
        <f t="array" ref="T1276">_xlfn.IFS(O1276&lt;18200, "Low", O1276&lt;=50000, "Medium", O1276&gt;50000, "High")</f>
        <v>Low</v>
      </c>
    </row>
    <row r="1277" spans="1:20" x14ac:dyDescent="0.25">
      <c r="A1277" s="2">
        <v>2012</v>
      </c>
      <c r="B1277" s="1" t="s">
        <v>1806</v>
      </c>
      <c r="C1277" s="1" t="s">
        <v>1807</v>
      </c>
      <c r="D1277" s="1" t="s">
        <v>87</v>
      </c>
      <c r="E1277" s="1" t="s">
        <v>32</v>
      </c>
      <c r="F1277" s="1" t="s">
        <v>20</v>
      </c>
      <c r="G1277" s="1" t="s">
        <v>1986</v>
      </c>
      <c r="H1277" s="1" t="s">
        <v>22</v>
      </c>
      <c r="I1277" s="1">
        <v>19</v>
      </c>
      <c r="J1277" s="1">
        <v>14528</v>
      </c>
      <c r="K1277" s="1" t="s">
        <v>24</v>
      </c>
      <c r="L1277" s="1" t="s">
        <v>34</v>
      </c>
      <c r="M1277" s="1" t="s">
        <v>1266</v>
      </c>
      <c r="N1277" s="1">
        <v>13950</v>
      </c>
      <c r="O1277" s="12">
        <v>14000</v>
      </c>
      <c r="P1277" s="3" t="s">
        <v>68</v>
      </c>
      <c r="Q1277" s="1" cm="1">
        <f t="array" ref="Q1277">VALUE(INDEX(_xlfn.TEXTSPLIT(P1277, " "), 4))</f>
        <v>2014</v>
      </c>
      <c r="R1277" s="1" t="str">
        <f t="shared" si="19"/>
        <v>Honda Accord SE</v>
      </c>
      <c r="S1277" s="1" t="str" cm="1">
        <f t="array" ref="S1277">_xlfn.IFS(I1277 &gt;= 40, "High", I1277&gt;=20, "Medium", I1277&lt;20, "Low")</f>
        <v>Low</v>
      </c>
      <c r="T1277" s="1" t="str" cm="1">
        <f t="array" ref="T1277">_xlfn.IFS(O1277&lt;18200, "Low", O1277&lt;=50000, "Medium", O1277&gt;50000, "High")</f>
        <v>Low</v>
      </c>
    </row>
    <row r="1278" spans="1:20" x14ac:dyDescent="0.25">
      <c r="A1278" s="2">
        <v>2012</v>
      </c>
      <c r="B1278" s="1" t="s">
        <v>98</v>
      </c>
      <c r="C1278" s="1" t="s">
        <v>99</v>
      </c>
      <c r="D1278" s="1" t="s">
        <v>348</v>
      </c>
      <c r="E1278" s="1" t="s">
        <v>32</v>
      </c>
      <c r="F1278" s="1" t="s">
        <v>20</v>
      </c>
      <c r="G1278" s="1" t="s">
        <v>1987</v>
      </c>
      <c r="H1278" s="1" t="s">
        <v>22</v>
      </c>
      <c r="I1278" s="1">
        <v>41</v>
      </c>
      <c r="J1278" s="1">
        <v>35584</v>
      </c>
      <c r="K1278" s="1" t="s">
        <v>24</v>
      </c>
      <c r="L1278" s="1" t="s">
        <v>28</v>
      </c>
      <c r="M1278" s="1" t="s">
        <v>350</v>
      </c>
      <c r="N1278" s="1">
        <v>11150</v>
      </c>
      <c r="O1278" s="12">
        <v>12700</v>
      </c>
      <c r="P1278" s="3" t="s">
        <v>84</v>
      </c>
      <c r="Q1278" s="1" cm="1">
        <f t="array" ref="Q1278">VALUE(INDEX(_xlfn.TEXTSPLIT(P1278, " "), 4))</f>
        <v>2014</v>
      </c>
      <c r="R1278" s="1" t="str">
        <f t="shared" si="19"/>
        <v>Hyundai Sonata GLS</v>
      </c>
      <c r="S1278" s="1" t="str" cm="1">
        <f t="array" ref="S1278">_xlfn.IFS(I1278 &gt;= 40, "High", I1278&gt;=20, "Medium", I1278&lt;20, "Low")</f>
        <v>High</v>
      </c>
      <c r="T1278" s="1" t="str" cm="1">
        <f t="array" ref="T1278">_xlfn.IFS(O1278&lt;18200, "Low", O1278&lt;=50000, "Medium", O1278&gt;50000, "High")</f>
        <v>Low</v>
      </c>
    </row>
    <row r="1279" spans="1:20" x14ac:dyDescent="0.25">
      <c r="A1279" s="2">
        <v>2012</v>
      </c>
      <c r="B1279" s="1" t="s">
        <v>85</v>
      </c>
      <c r="C1279" s="1" t="s">
        <v>86</v>
      </c>
      <c r="D1279" s="1" t="s">
        <v>87</v>
      </c>
      <c r="E1279" s="1" t="s">
        <v>32</v>
      </c>
      <c r="F1279" s="1" t="s">
        <v>20</v>
      </c>
      <c r="G1279" s="1" t="s">
        <v>1988</v>
      </c>
      <c r="H1279" s="1" t="s">
        <v>22</v>
      </c>
      <c r="I1279" s="1">
        <v>34</v>
      </c>
      <c r="J1279" s="1">
        <v>69921</v>
      </c>
      <c r="K1279" s="1" t="s">
        <v>24</v>
      </c>
      <c r="L1279" s="1" t="s">
        <v>24</v>
      </c>
      <c r="M1279" s="1" t="s">
        <v>431</v>
      </c>
      <c r="N1279" s="1">
        <v>9075</v>
      </c>
      <c r="O1279" s="12">
        <v>9100</v>
      </c>
      <c r="P1279" s="3" t="s">
        <v>270</v>
      </c>
      <c r="Q1279" s="1" cm="1">
        <f t="array" ref="Q1279">VALUE(INDEX(_xlfn.TEXTSPLIT(P1279, " "), 4))</f>
        <v>2014</v>
      </c>
      <c r="R1279" s="1" t="str">
        <f t="shared" si="19"/>
        <v>Ford Fusion SE</v>
      </c>
      <c r="S1279" s="1" t="str" cm="1">
        <f t="array" ref="S1279">_xlfn.IFS(I1279 &gt;= 40, "High", I1279&gt;=20, "Medium", I1279&lt;20, "Low")</f>
        <v>Medium</v>
      </c>
      <c r="T1279" s="1" t="str" cm="1">
        <f t="array" ref="T1279">_xlfn.IFS(O1279&lt;18200, "Low", O1279&lt;=50000, "Medium", O1279&gt;50000, "High")</f>
        <v>Low</v>
      </c>
    </row>
    <row r="1280" spans="1:20" x14ac:dyDescent="0.25">
      <c r="A1280" s="2">
        <v>2012</v>
      </c>
      <c r="B1280" s="1" t="s">
        <v>85</v>
      </c>
      <c r="C1280" s="1" t="s">
        <v>1819</v>
      </c>
      <c r="D1280" s="1" t="s">
        <v>1196</v>
      </c>
      <c r="E1280" s="1" t="s">
        <v>71</v>
      </c>
      <c r="F1280" s="1" t="s">
        <v>20</v>
      </c>
      <c r="G1280" s="1" t="s">
        <v>1989</v>
      </c>
      <c r="H1280" s="1" t="s">
        <v>22</v>
      </c>
      <c r="I1280" s="1">
        <v>33</v>
      </c>
      <c r="J1280" s="1">
        <v>47558</v>
      </c>
      <c r="K1280" s="1" t="s">
        <v>24</v>
      </c>
      <c r="L1280" s="1" t="s">
        <v>24</v>
      </c>
      <c r="M1280" s="1" t="s">
        <v>431</v>
      </c>
      <c r="N1280" s="1">
        <v>11650</v>
      </c>
      <c r="O1280" s="12">
        <v>11400</v>
      </c>
      <c r="P1280" s="3" t="s">
        <v>270</v>
      </c>
      <c r="Q1280" s="1" cm="1">
        <f t="array" ref="Q1280">VALUE(INDEX(_xlfn.TEXTSPLIT(P1280, " "), 4))</f>
        <v>2014</v>
      </c>
      <c r="R1280" s="1" t="str">
        <f t="shared" si="19"/>
        <v>Ford Mustang V6</v>
      </c>
      <c r="S1280" s="1" t="str" cm="1">
        <f t="array" ref="S1280">_xlfn.IFS(I1280 &gt;= 40, "High", I1280&gt;=20, "Medium", I1280&lt;20, "Low")</f>
        <v>Medium</v>
      </c>
      <c r="T1280" s="1" t="str" cm="1">
        <f t="array" ref="T1280">_xlfn.IFS(O1280&lt;18200, "Low", O1280&lt;=50000, "Medium", O1280&gt;50000, "High")</f>
        <v>Low</v>
      </c>
    </row>
    <row r="1281" spans="1:20" x14ac:dyDescent="0.25">
      <c r="A1281" s="2">
        <v>2012</v>
      </c>
      <c r="B1281" s="1" t="s">
        <v>98</v>
      </c>
      <c r="C1281" s="1" t="s">
        <v>340</v>
      </c>
      <c r="D1281" s="1">
        <v>3.8</v>
      </c>
      <c r="E1281" s="1" t="s">
        <v>32</v>
      </c>
      <c r="F1281" s="1" t="s">
        <v>20</v>
      </c>
      <c r="G1281" s="1" t="s">
        <v>1990</v>
      </c>
      <c r="H1281" s="1" t="s">
        <v>22</v>
      </c>
      <c r="I1281" s="1">
        <v>34</v>
      </c>
      <c r="J1281" s="1">
        <v>74227</v>
      </c>
      <c r="K1281" s="1" t="s">
        <v>216</v>
      </c>
      <c r="L1281" s="1" t="s">
        <v>28</v>
      </c>
      <c r="M1281" s="1" t="s">
        <v>350</v>
      </c>
      <c r="N1281" s="1">
        <v>12750</v>
      </c>
      <c r="O1281" s="12">
        <v>13800</v>
      </c>
      <c r="P1281" s="3" t="s">
        <v>593</v>
      </c>
      <c r="Q1281" s="1" cm="1">
        <f t="array" ref="Q1281">VALUE(INDEX(_xlfn.TEXTSPLIT(P1281, " "), 4))</f>
        <v>2015</v>
      </c>
      <c r="R1281" s="1" t="str">
        <f t="shared" si="19"/>
        <v>Hyundai Genesis 3.8</v>
      </c>
      <c r="S1281" s="1" t="str" cm="1">
        <f t="array" ref="S1281">_xlfn.IFS(I1281 &gt;= 40, "High", I1281&gt;=20, "Medium", I1281&lt;20, "Low")</f>
        <v>Medium</v>
      </c>
      <c r="T1281" s="1" t="str" cm="1">
        <f t="array" ref="T1281">_xlfn.IFS(O1281&lt;18200, "Low", O1281&lt;=50000, "Medium", O1281&gt;50000, "High")</f>
        <v>Low</v>
      </c>
    </row>
    <row r="1282" spans="1:20" x14ac:dyDescent="0.25">
      <c r="A1282" s="2">
        <v>2012</v>
      </c>
      <c r="B1282" s="1" t="s">
        <v>318</v>
      </c>
      <c r="C1282" s="1" t="s">
        <v>323</v>
      </c>
      <c r="D1282" s="1" t="s">
        <v>1817</v>
      </c>
      <c r="E1282" s="1" t="s">
        <v>323</v>
      </c>
      <c r="F1282" s="1" t="s">
        <v>20</v>
      </c>
      <c r="G1282" s="1" t="s">
        <v>1991</v>
      </c>
      <c r="H1282" s="1" t="s">
        <v>22</v>
      </c>
      <c r="I1282" s="1">
        <v>47</v>
      </c>
      <c r="J1282" s="1">
        <v>14334</v>
      </c>
      <c r="K1282" s="1" t="s">
        <v>24</v>
      </c>
      <c r="L1282" s="1" t="s">
        <v>24</v>
      </c>
      <c r="M1282" s="1" t="s">
        <v>322</v>
      </c>
      <c r="N1282" s="1">
        <v>20400</v>
      </c>
      <c r="O1282" s="12">
        <v>20250</v>
      </c>
      <c r="P1282" s="3" t="s">
        <v>46</v>
      </c>
      <c r="Q1282" s="1" cm="1">
        <f t="array" ref="Q1282">VALUE(INDEX(_xlfn.TEXTSPLIT(P1282, " "), 4))</f>
        <v>2014</v>
      </c>
      <c r="R1282" s="1" t="str">
        <f t="shared" si="19"/>
        <v>Infiniti G Sedan G25</v>
      </c>
      <c r="S1282" s="1" t="str" cm="1">
        <f t="array" ref="S1282">_xlfn.IFS(I1282 &gt;= 40, "High", I1282&gt;=20, "Medium", I1282&lt;20, "Low")</f>
        <v>High</v>
      </c>
      <c r="T1282" s="1" t="str" cm="1">
        <f t="array" ref="T1282">_xlfn.IFS(O1282&lt;18200, "Low", O1282&lt;=50000, "Medium", O1282&gt;50000, "High")</f>
        <v>Medium</v>
      </c>
    </row>
    <row r="1283" spans="1:20" x14ac:dyDescent="0.25">
      <c r="A1283" s="2">
        <v>2012</v>
      </c>
      <c r="B1283" s="1" t="s">
        <v>1806</v>
      </c>
      <c r="C1283" s="1" t="s">
        <v>1837</v>
      </c>
      <c r="D1283" s="1" t="s">
        <v>646</v>
      </c>
      <c r="E1283" s="1" t="s">
        <v>19</v>
      </c>
      <c r="F1283" s="1" t="s">
        <v>20</v>
      </c>
      <c r="G1283" s="1" t="s">
        <v>1992</v>
      </c>
      <c r="H1283" s="1" t="s">
        <v>22</v>
      </c>
      <c r="I1283" s="1">
        <v>37</v>
      </c>
      <c r="J1283" s="1">
        <v>57075</v>
      </c>
      <c r="K1283" s="1" t="s">
        <v>24</v>
      </c>
      <c r="L1283" s="1" t="s">
        <v>34</v>
      </c>
      <c r="M1283" s="1" t="s">
        <v>625</v>
      </c>
      <c r="N1283" s="1">
        <v>23900</v>
      </c>
      <c r="O1283" s="12">
        <v>24500</v>
      </c>
      <c r="P1283" s="3" t="s">
        <v>362</v>
      </c>
      <c r="Q1283" s="1" cm="1">
        <f t="array" ref="Q1283">VALUE(INDEX(_xlfn.TEXTSPLIT(P1283, " "), 4))</f>
        <v>2014</v>
      </c>
      <c r="R1283" s="1" t="str">
        <f t="shared" ref="R1283:R1346" si="20">_xlfn.TEXTJOIN(" ", TRUE, B1283, C1283, D1283)</f>
        <v>Honda Pilot Touring</v>
      </c>
      <c r="S1283" s="1" t="str" cm="1">
        <f t="array" ref="S1283">_xlfn.IFS(I1283 &gt;= 40, "High", I1283&gt;=20, "Medium", I1283&lt;20, "Low")</f>
        <v>Medium</v>
      </c>
      <c r="T1283" s="1" t="str" cm="1">
        <f t="array" ref="T1283">_xlfn.IFS(O1283&lt;18200, "Low", O1283&lt;=50000, "Medium", O1283&gt;50000, "High")</f>
        <v>Medium</v>
      </c>
    </row>
    <row r="1284" spans="1:20" x14ac:dyDescent="0.25">
      <c r="A1284" s="2">
        <v>2012</v>
      </c>
      <c r="B1284" s="1" t="s">
        <v>98</v>
      </c>
      <c r="C1284" s="1" t="s">
        <v>99</v>
      </c>
      <c r="D1284" s="1" t="s">
        <v>337</v>
      </c>
      <c r="E1284" s="1" t="s">
        <v>32</v>
      </c>
      <c r="F1284" s="1" t="s">
        <v>20</v>
      </c>
      <c r="G1284" s="1" t="s">
        <v>1993</v>
      </c>
      <c r="H1284" s="1" t="s">
        <v>22</v>
      </c>
      <c r="I1284" s="1">
        <v>45</v>
      </c>
      <c r="J1284" s="1">
        <v>35729</v>
      </c>
      <c r="K1284" s="1" t="s">
        <v>91</v>
      </c>
      <c r="L1284" s="1" t="s">
        <v>34</v>
      </c>
      <c r="M1284" s="1" t="s">
        <v>350</v>
      </c>
      <c r="N1284" s="1">
        <v>15650</v>
      </c>
      <c r="O1284" s="12">
        <v>16300</v>
      </c>
      <c r="P1284" s="3" t="s">
        <v>164</v>
      </c>
      <c r="Q1284" s="1" cm="1">
        <f t="array" ref="Q1284">VALUE(INDEX(_xlfn.TEXTSPLIT(P1284, " "), 4))</f>
        <v>2015</v>
      </c>
      <c r="R1284" s="1" t="str">
        <f t="shared" si="20"/>
        <v>Hyundai Sonata Limited</v>
      </c>
      <c r="S1284" s="1" t="str" cm="1">
        <f t="array" ref="S1284">_xlfn.IFS(I1284 &gt;= 40, "High", I1284&gt;=20, "Medium", I1284&lt;20, "Low")</f>
        <v>High</v>
      </c>
      <c r="T1284" s="1" t="str" cm="1">
        <f t="array" ref="T1284">_xlfn.IFS(O1284&lt;18200, "Low", O1284&lt;=50000, "Medium", O1284&gt;50000, "High")</f>
        <v>Low</v>
      </c>
    </row>
    <row r="1285" spans="1:20" x14ac:dyDescent="0.25">
      <c r="A1285" s="2">
        <v>2012</v>
      </c>
      <c r="B1285" s="1" t="s">
        <v>85</v>
      </c>
      <c r="C1285" s="1" t="s">
        <v>1819</v>
      </c>
      <c r="D1285" s="1" t="s">
        <v>1196</v>
      </c>
      <c r="E1285" s="1" t="s">
        <v>107</v>
      </c>
      <c r="F1285" s="1" t="s">
        <v>20</v>
      </c>
      <c r="G1285" s="1" t="s">
        <v>1994</v>
      </c>
      <c r="H1285" s="1" t="s">
        <v>22</v>
      </c>
      <c r="I1285" s="1">
        <v>41</v>
      </c>
      <c r="J1285" s="1">
        <v>64757</v>
      </c>
      <c r="K1285" s="1" t="s">
        <v>23</v>
      </c>
      <c r="L1285" s="1" t="s">
        <v>24</v>
      </c>
      <c r="M1285" s="1" t="s">
        <v>705</v>
      </c>
      <c r="N1285" s="1">
        <v>12750</v>
      </c>
      <c r="O1285" s="12">
        <v>13250</v>
      </c>
      <c r="P1285" s="3" t="s">
        <v>68</v>
      </c>
      <c r="Q1285" s="1" cm="1">
        <f t="array" ref="Q1285">VALUE(INDEX(_xlfn.TEXTSPLIT(P1285, " "), 4))</f>
        <v>2014</v>
      </c>
      <c r="R1285" s="1" t="str">
        <f t="shared" si="20"/>
        <v>Ford Mustang V6</v>
      </c>
      <c r="S1285" s="1" t="str" cm="1">
        <f t="array" ref="S1285">_xlfn.IFS(I1285 &gt;= 40, "High", I1285&gt;=20, "Medium", I1285&lt;20, "Low")</f>
        <v>High</v>
      </c>
      <c r="T1285" s="1" t="str" cm="1">
        <f t="array" ref="T1285">_xlfn.IFS(O1285&lt;18200, "Low", O1285&lt;=50000, "Medium", O1285&gt;50000, "High")</f>
        <v>Low</v>
      </c>
    </row>
    <row r="1286" spans="1:20" x14ac:dyDescent="0.25">
      <c r="A1286" s="2">
        <v>2012</v>
      </c>
      <c r="B1286" s="1" t="s">
        <v>1806</v>
      </c>
      <c r="C1286" s="1" t="s">
        <v>1807</v>
      </c>
      <c r="D1286" s="1" t="s">
        <v>1868</v>
      </c>
      <c r="E1286" s="1" t="s">
        <v>32</v>
      </c>
      <c r="F1286" s="1" t="s">
        <v>20</v>
      </c>
      <c r="G1286" s="1" t="s">
        <v>1995</v>
      </c>
      <c r="H1286" s="1" t="s">
        <v>22</v>
      </c>
      <c r="I1286" s="1">
        <v>46</v>
      </c>
      <c r="J1286" s="1">
        <v>39312</v>
      </c>
      <c r="K1286" s="1" t="s">
        <v>24</v>
      </c>
      <c r="L1286" s="1" t="s">
        <v>24</v>
      </c>
      <c r="M1286" s="1" t="s">
        <v>1266</v>
      </c>
      <c r="N1286" s="1">
        <v>14200</v>
      </c>
      <c r="O1286" s="12">
        <v>15800</v>
      </c>
      <c r="P1286" s="3" t="s">
        <v>68</v>
      </c>
      <c r="Q1286" s="1" cm="1">
        <f t="array" ref="Q1286">VALUE(INDEX(_xlfn.TEXTSPLIT(P1286, " "), 4))</f>
        <v>2014</v>
      </c>
      <c r="R1286" s="1" t="str">
        <f t="shared" si="20"/>
        <v>Honda Accord EX-L</v>
      </c>
      <c r="S1286" s="1" t="str" cm="1">
        <f t="array" ref="S1286">_xlfn.IFS(I1286 &gt;= 40, "High", I1286&gt;=20, "Medium", I1286&lt;20, "Low")</f>
        <v>High</v>
      </c>
      <c r="T1286" s="1" t="str" cm="1">
        <f t="array" ref="T1286">_xlfn.IFS(O1286&lt;18200, "Low", O1286&lt;=50000, "Medium", O1286&gt;50000, "High")</f>
        <v>Low</v>
      </c>
    </row>
    <row r="1287" spans="1:20" x14ac:dyDescent="0.25">
      <c r="A1287" s="2">
        <v>2012</v>
      </c>
      <c r="B1287" s="1" t="s">
        <v>85</v>
      </c>
      <c r="C1287" s="1" t="s">
        <v>1819</v>
      </c>
      <c r="D1287" s="1" t="s">
        <v>1882</v>
      </c>
      <c r="E1287" s="1" t="s">
        <v>71</v>
      </c>
      <c r="F1287" s="1"/>
      <c r="G1287" s="1" t="s">
        <v>1996</v>
      </c>
      <c r="H1287" s="1" t="s">
        <v>22</v>
      </c>
      <c r="I1287" s="1"/>
      <c r="J1287" s="1">
        <v>33956</v>
      </c>
      <c r="K1287" s="1" t="s">
        <v>34</v>
      </c>
      <c r="L1287" s="1" t="s">
        <v>101</v>
      </c>
      <c r="M1287" s="1" t="s">
        <v>855</v>
      </c>
      <c r="N1287" s="1">
        <v>23000</v>
      </c>
      <c r="O1287" s="12">
        <v>21000</v>
      </c>
      <c r="P1287" s="3" t="s">
        <v>26</v>
      </c>
      <c r="Q1287" s="1" cm="1">
        <f t="array" ref="Q1287">VALUE(INDEX(_xlfn.TEXTSPLIT(P1287, " "), 4))</f>
        <v>2014</v>
      </c>
      <c r="R1287" s="1" t="str">
        <f t="shared" si="20"/>
        <v>Ford Mustang GT</v>
      </c>
      <c r="S1287" s="1" t="str" cm="1">
        <f t="array" ref="S1287">_xlfn.IFS(I1287 &gt;= 40, "High", I1287&gt;=20, "Medium", I1287&lt;20, "Low")</f>
        <v>Low</v>
      </c>
      <c r="T1287" s="1" t="str" cm="1">
        <f t="array" ref="T1287">_xlfn.IFS(O1287&lt;18200, "Low", O1287&lt;=50000, "Medium", O1287&gt;50000, "High")</f>
        <v>Medium</v>
      </c>
    </row>
    <row r="1288" spans="1:20" x14ac:dyDescent="0.25">
      <c r="A1288" s="2">
        <v>2012</v>
      </c>
      <c r="B1288" s="1" t="s">
        <v>98</v>
      </c>
      <c r="C1288" s="1" t="s">
        <v>398</v>
      </c>
      <c r="D1288" s="1" t="s">
        <v>348</v>
      </c>
      <c r="E1288" s="1" t="s">
        <v>32</v>
      </c>
      <c r="F1288" s="1" t="s">
        <v>20</v>
      </c>
      <c r="G1288" s="1" t="s">
        <v>1997</v>
      </c>
      <c r="H1288" s="1" t="s">
        <v>22</v>
      </c>
      <c r="I1288" s="1">
        <v>35</v>
      </c>
      <c r="J1288" s="1">
        <v>42403</v>
      </c>
      <c r="K1288" s="1" t="s">
        <v>34</v>
      </c>
      <c r="L1288" s="1" t="s">
        <v>34</v>
      </c>
      <c r="M1288" s="1" t="s">
        <v>350</v>
      </c>
      <c r="N1288" s="1">
        <v>8025</v>
      </c>
      <c r="O1288" s="12">
        <v>8000</v>
      </c>
      <c r="P1288" s="3" t="s">
        <v>84</v>
      </c>
      <c r="Q1288" s="1" cm="1">
        <f t="array" ref="Q1288">VALUE(INDEX(_xlfn.TEXTSPLIT(P1288, " "), 4))</f>
        <v>2014</v>
      </c>
      <c r="R1288" s="1" t="str">
        <f t="shared" si="20"/>
        <v>Hyundai Accent GLS</v>
      </c>
      <c r="S1288" s="1" t="str" cm="1">
        <f t="array" ref="S1288">_xlfn.IFS(I1288 &gt;= 40, "High", I1288&gt;=20, "Medium", I1288&lt;20, "Low")</f>
        <v>Medium</v>
      </c>
      <c r="T1288" s="1" t="str" cm="1">
        <f t="array" ref="T1288">_xlfn.IFS(O1288&lt;18200, "Low", O1288&lt;=50000, "Medium", O1288&gt;50000, "High")</f>
        <v>Low</v>
      </c>
    </row>
    <row r="1289" spans="1:20" x14ac:dyDescent="0.25">
      <c r="A1289" s="2">
        <v>2012</v>
      </c>
      <c r="B1289" s="1" t="s">
        <v>98</v>
      </c>
      <c r="C1289" s="1" t="s">
        <v>99</v>
      </c>
      <c r="D1289" s="1" t="s">
        <v>348</v>
      </c>
      <c r="E1289" s="1" t="s">
        <v>32</v>
      </c>
      <c r="F1289" s="1" t="s">
        <v>20</v>
      </c>
      <c r="G1289" s="1" t="s">
        <v>1998</v>
      </c>
      <c r="H1289" s="1" t="s">
        <v>22</v>
      </c>
      <c r="I1289" s="1">
        <v>4</v>
      </c>
      <c r="J1289" s="1">
        <v>40065</v>
      </c>
      <c r="K1289" s="1" t="s">
        <v>91</v>
      </c>
      <c r="L1289" s="1" t="s">
        <v>34</v>
      </c>
      <c r="M1289" s="1" t="s">
        <v>350</v>
      </c>
      <c r="N1289" s="1">
        <v>10950</v>
      </c>
      <c r="O1289" s="12">
        <v>11900</v>
      </c>
      <c r="P1289" s="3" t="s">
        <v>84</v>
      </c>
      <c r="Q1289" s="1" cm="1">
        <f t="array" ref="Q1289">VALUE(INDEX(_xlfn.TEXTSPLIT(P1289, " "), 4))</f>
        <v>2014</v>
      </c>
      <c r="R1289" s="1" t="str">
        <f t="shared" si="20"/>
        <v>Hyundai Sonata GLS</v>
      </c>
      <c r="S1289" s="1" t="str" cm="1">
        <f t="array" ref="S1289">_xlfn.IFS(I1289 &gt;= 40, "High", I1289&gt;=20, "Medium", I1289&lt;20, "Low")</f>
        <v>Low</v>
      </c>
      <c r="T1289" s="1" t="str" cm="1">
        <f t="array" ref="T1289">_xlfn.IFS(O1289&lt;18200, "Low", O1289&lt;=50000, "Medium", O1289&gt;50000, "High")</f>
        <v>Low</v>
      </c>
    </row>
    <row r="1290" spans="1:20" x14ac:dyDescent="0.25">
      <c r="A1290" s="2">
        <v>2012</v>
      </c>
      <c r="B1290" s="1" t="s">
        <v>1806</v>
      </c>
      <c r="C1290" s="1" t="s">
        <v>1807</v>
      </c>
      <c r="D1290" s="1" t="s">
        <v>87</v>
      </c>
      <c r="E1290" s="1" t="s">
        <v>32</v>
      </c>
      <c r="F1290" s="1" t="s">
        <v>20</v>
      </c>
      <c r="G1290" s="1" t="s">
        <v>1999</v>
      </c>
      <c r="H1290" s="1" t="s">
        <v>22</v>
      </c>
      <c r="I1290" s="1">
        <v>35</v>
      </c>
      <c r="J1290" s="1">
        <v>30908</v>
      </c>
      <c r="K1290" s="1" t="s">
        <v>34</v>
      </c>
      <c r="L1290" s="1" t="s">
        <v>24</v>
      </c>
      <c r="M1290" s="1" t="s">
        <v>1327</v>
      </c>
      <c r="N1290" s="1">
        <v>13200</v>
      </c>
      <c r="O1290" s="12">
        <v>14100</v>
      </c>
      <c r="P1290" s="3" t="s">
        <v>68</v>
      </c>
      <c r="Q1290" s="1" cm="1">
        <f t="array" ref="Q1290">VALUE(INDEX(_xlfn.TEXTSPLIT(P1290, " "), 4))</f>
        <v>2014</v>
      </c>
      <c r="R1290" s="1" t="str">
        <f t="shared" si="20"/>
        <v>Honda Accord SE</v>
      </c>
      <c r="S1290" s="1" t="str" cm="1">
        <f t="array" ref="S1290">_xlfn.IFS(I1290 &gt;= 40, "High", I1290&gt;=20, "Medium", I1290&lt;20, "Low")</f>
        <v>Medium</v>
      </c>
      <c r="T1290" s="1" t="str" cm="1">
        <f t="array" ref="T1290">_xlfn.IFS(O1290&lt;18200, "Low", O1290&lt;=50000, "Medium", O1290&gt;50000, "High")</f>
        <v>Low</v>
      </c>
    </row>
    <row r="1291" spans="1:20" x14ac:dyDescent="0.25">
      <c r="A1291" s="2">
        <v>2012</v>
      </c>
      <c r="B1291" s="1" t="s">
        <v>1806</v>
      </c>
      <c r="C1291" s="1" t="s">
        <v>1807</v>
      </c>
      <c r="D1291" s="1" t="s">
        <v>87</v>
      </c>
      <c r="E1291" s="1" t="s">
        <v>32</v>
      </c>
      <c r="F1291" s="1" t="s">
        <v>20</v>
      </c>
      <c r="G1291" s="1" t="s">
        <v>2000</v>
      </c>
      <c r="H1291" s="1" t="s">
        <v>22</v>
      </c>
      <c r="I1291" s="1">
        <v>19</v>
      </c>
      <c r="J1291" s="1">
        <v>31377</v>
      </c>
      <c r="K1291" s="1" t="s">
        <v>34</v>
      </c>
      <c r="L1291" s="1" t="s">
        <v>24</v>
      </c>
      <c r="M1291" s="1" t="s">
        <v>1266</v>
      </c>
      <c r="N1291" s="1">
        <v>13150</v>
      </c>
      <c r="O1291" s="12">
        <v>12500</v>
      </c>
      <c r="P1291" s="3" t="s">
        <v>68</v>
      </c>
      <c r="Q1291" s="1" cm="1">
        <f t="array" ref="Q1291">VALUE(INDEX(_xlfn.TEXTSPLIT(P1291, " "), 4))</f>
        <v>2014</v>
      </c>
      <c r="R1291" s="1" t="str">
        <f t="shared" si="20"/>
        <v>Honda Accord SE</v>
      </c>
      <c r="S1291" s="1" t="str" cm="1">
        <f t="array" ref="S1291">_xlfn.IFS(I1291 &gt;= 40, "High", I1291&gt;=20, "Medium", I1291&lt;20, "Low")</f>
        <v>Low</v>
      </c>
      <c r="T1291" s="1" t="str" cm="1">
        <f t="array" ref="T1291">_xlfn.IFS(O1291&lt;18200, "Low", O1291&lt;=50000, "Medium", O1291&gt;50000, "High")</f>
        <v>Low</v>
      </c>
    </row>
    <row r="1292" spans="1:20" x14ac:dyDescent="0.25">
      <c r="A1292" s="2">
        <v>2012</v>
      </c>
      <c r="B1292" s="1" t="s">
        <v>98</v>
      </c>
      <c r="C1292" s="1" t="s">
        <v>99</v>
      </c>
      <c r="D1292" s="1" t="s">
        <v>348</v>
      </c>
      <c r="E1292" s="1" t="s">
        <v>32</v>
      </c>
      <c r="F1292" s="1" t="s">
        <v>20</v>
      </c>
      <c r="G1292" s="1" t="s">
        <v>2001</v>
      </c>
      <c r="H1292" s="1" t="s">
        <v>22</v>
      </c>
      <c r="I1292" s="1">
        <v>22</v>
      </c>
      <c r="J1292" s="1">
        <v>28181</v>
      </c>
      <c r="K1292" s="1" t="s">
        <v>23</v>
      </c>
      <c r="L1292" s="1" t="s">
        <v>28</v>
      </c>
      <c r="M1292" s="1" t="s">
        <v>350</v>
      </c>
      <c r="N1292" s="1">
        <v>11500</v>
      </c>
      <c r="O1292" s="12">
        <v>10200</v>
      </c>
      <c r="P1292" s="3" t="s">
        <v>84</v>
      </c>
      <c r="Q1292" s="1" cm="1">
        <f t="array" ref="Q1292">VALUE(INDEX(_xlfn.TEXTSPLIT(P1292, " "), 4))</f>
        <v>2014</v>
      </c>
      <c r="R1292" s="1" t="str">
        <f t="shared" si="20"/>
        <v>Hyundai Sonata GLS</v>
      </c>
      <c r="S1292" s="1" t="str" cm="1">
        <f t="array" ref="S1292">_xlfn.IFS(I1292 &gt;= 40, "High", I1292&gt;=20, "Medium", I1292&lt;20, "Low")</f>
        <v>Medium</v>
      </c>
      <c r="T1292" s="1" t="str" cm="1">
        <f t="array" ref="T1292">_xlfn.IFS(O1292&lt;18200, "Low", O1292&lt;=50000, "Medium", O1292&gt;50000, "High")</f>
        <v>Low</v>
      </c>
    </row>
    <row r="1293" spans="1:20" x14ac:dyDescent="0.25">
      <c r="A1293" s="2">
        <v>2012</v>
      </c>
      <c r="B1293" s="1" t="s">
        <v>1806</v>
      </c>
      <c r="C1293" s="1" t="s">
        <v>1829</v>
      </c>
      <c r="D1293" s="1" t="s">
        <v>18</v>
      </c>
      <c r="E1293" s="1" t="s">
        <v>32</v>
      </c>
      <c r="F1293" s="1" t="s">
        <v>20</v>
      </c>
      <c r="G1293" s="1" t="s">
        <v>2002</v>
      </c>
      <c r="H1293" s="1" t="s">
        <v>22</v>
      </c>
      <c r="I1293" s="1">
        <v>37</v>
      </c>
      <c r="J1293" s="1">
        <v>43570</v>
      </c>
      <c r="K1293" s="1" t="s">
        <v>73</v>
      </c>
      <c r="L1293" s="1" t="s">
        <v>82</v>
      </c>
      <c r="M1293" s="1" t="s">
        <v>1266</v>
      </c>
      <c r="N1293" s="1">
        <v>10750</v>
      </c>
      <c r="O1293" s="12">
        <v>12200</v>
      </c>
      <c r="P1293" s="3" t="s">
        <v>68</v>
      </c>
      <c r="Q1293" s="1" cm="1">
        <f t="array" ref="Q1293">VALUE(INDEX(_xlfn.TEXTSPLIT(P1293, " "), 4))</f>
        <v>2014</v>
      </c>
      <c r="R1293" s="1" t="str">
        <f t="shared" si="20"/>
        <v>Honda Civic LX</v>
      </c>
      <c r="S1293" s="1" t="str" cm="1">
        <f t="array" ref="S1293">_xlfn.IFS(I1293 &gt;= 40, "High", I1293&gt;=20, "Medium", I1293&lt;20, "Low")</f>
        <v>Medium</v>
      </c>
      <c r="T1293" s="1" t="str" cm="1">
        <f t="array" ref="T1293">_xlfn.IFS(O1293&lt;18200, "Low", O1293&lt;=50000, "Medium", O1293&gt;50000, "High")</f>
        <v>Low</v>
      </c>
    </row>
    <row r="1294" spans="1:20" x14ac:dyDescent="0.25">
      <c r="A1294" s="2">
        <v>2012</v>
      </c>
      <c r="B1294" s="1" t="s">
        <v>1806</v>
      </c>
      <c r="C1294" s="1" t="s">
        <v>1829</v>
      </c>
      <c r="D1294" s="1" t="s">
        <v>18</v>
      </c>
      <c r="E1294" s="1" t="s">
        <v>107</v>
      </c>
      <c r="F1294" s="1" t="s">
        <v>20</v>
      </c>
      <c r="G1294" s="1" t="s">
        <v>2003</v>
      </c>
      <c r="H1294" s="1" t="s">
        <v>22</v>
      </c>
      <c r="I1294" s="1">
        <v>21</v>
      </c>
      <c r="J1294" s="1">
        <v>44061</v>
      </c>
      <c r="K1294" s="1" t="s">
        <v>94</v>
      </c>
      <c r="L1294" s="1" t="s">
        <v>34</v>
      </c>
      <c r="M1294" s="1" t="s">
        <v>1266</v>
      </c>
      <c r="N1294" s="1">
        <v>10400</v>
      </c>
      <c r="O1294" s="12">
        <v>9700</v>
      </c>
      <c r="P1294" s="3" t="s">
        <v>68</v>
      </c>
      <c r="Q1294" s="1" cm="1">
        <f t="array" ref="Q1294">VALUE(INDEX(_xlfn.TEXTSPLIT(P1294, " "), 4))</f>
        <v>2014</v>
      </c>
      <c r="R1294" s="1" t="str">
        <f t="shared" si="20"/>
        <v>Honda Civic LX</v>
      </c>
      <c r="S1294" s="1" t="str" cm="1">
        <f t="array" ref="S1294">_xlfn.IFS(I1294 &gt;= 40, "High", I1294&gt;=20, "Medium", I1294&lt;20, "Low")</f>
        <v>Medium</v>
      </c>
      <c r="T1294" s="1" t="str" cm="1">
        <f t="array" ref="T1294">_xlfn.IFS(O1294&lt;18200, "Low", O1294&lt;=50000, "Medium", O1294&gt;50000, "High")</f>
        <v>Low</v>
      </c>
    </row>
    <row r="1295" spans="1:20" x14ac:dyDescent="0.25">
      <c r="A1295" s="2">
        <v>2012</v>
      </c>
      <c r="B1295" s="1" t="s">
        <v>1806</v>
      </c>
      <c r="C1295" s="1" t="s">
        <v>1807</v>
      </c>
      <c r="D1295" s="1" t="s">
        <v>1824</v>
      </c>
      <c r="E1295" s="1" t="s">
        <v>32</v>
      </c>
      <c r="F1295" s="1" t="s">
        <v>20</v>
      </c>
      <c r="G1295" s="1" t="s">
        <v>2004</v>
      </c>
      <c r="H1295" s="1" t="s">
        <v>22</v>
      </c>
      <c r="I1295" s="1">
        <v>26</v>
      </c>
      <c r="J1295" s="1">
        <v>24318</v>
      </c>
      <c r="K1295" s="1" t="s">
        <v>23</v>
      </c>
      <c r="L1295" s="1" t="s">
        <v>34</v>
      </c>
      <c r="M1295" s="1" t="s">
        <v>1266</v>
      </c>
      <c r="N1295" s="1">
        <v>12850</v>
      </c>
      <c r="O1295" s="12">
        <v>12300</v>
      </c>
      <c r="P1295" s="3" t="s">
        <v>68</v>
      </c>
      <c r="Q1295" s="1" cm="1">
        <f t="array" ref="Q1295">VALUE(INDEX(_xlfn.TEXTSPLIT(P1295, " "), 4))</f>
        <v>2014</v>
      </c>
      <c r="R1295" s="1" t="str">
        <f t="shared" si="20"/>
        <v>Honda Accord LX-P</v>
      </c>
      <c r="S1295" s="1" t="str" cm="1">
        <f t="array" ref="S1295">_xlfn.IFS(I1295 &gt;= 40, "High", I1295&gt;=20, "Medium", I1295&lt;20, "Low")</f>
        <v>Medium</v>
      </c>
      <c r="T1295" s="1" t="str" cm="1">
        <f t="array" ref="T1295">_xlfn.IFS(O1295&lt;18200, "Low", O1295&lt;=50000, "Medium", O1295&gt;50000, "High")</f>
        <v>Low</v>
      </c>
    </row>
    <row r="1296" spans="1:20" x14ac:dyDescent="0.25">
      <c r="A1296" s="2">
        <v>2012</v>
      </c>
      <c r="B1296" s="1" t="s">
        <v>98</v>
      </c>
      <c r="C1296" s="1" t="s">
        <v>340</v>
      </c>
      <c r="D1296" s="1">
        <v>3.8</v>
      </c>
      <c r="E1296" s="1" t="s">
        <v>32</v>
      </c>
      <c r="F1296" s="1" t="s">
        <v>20</v>
      </c>
      <c r="G1296" s="1" t="s">
        <v>2005</v>
      </c>
      <c r="H1296" s="1" t="s">
        <v>22</v>
      </c>
      <c r="I1296" s="1">
        <v>46</v>
      </c>
      <c r="J1296" s="1">
        <v>40341</v>
      </c>
      <c r="K1296" s="1" t="s">
        <v>24</v>
      </c>
      <c r="L1296" s="1" t="s">
        <v>24</v>
      </c>
      <c r="M1296" s="1" t="s">
        <v>350</v>
      </c>
      <c r="N1296" s="1">
        <v>16250</v>
      </c>
      <c r="O1296" s="12">
        <v>19800</v>
      </c>
      <c r="P1296" s="3" t="s">
        <v>84</v>
      </c>
      <c r="Q1296" s="1" cm="1">
        <f t="array" ref="Q1296">VALUE(INDEX(_xlfn.TEXTSPLIT(P1296, " "), 4))</f>
        <v>2014</v>
      </c>
      <c r="R1296" s="1" t="str">
        <f t="shared" si="20"/>
        <v>Hyundai Genesis 3.8</v>
      </c>
      <c r="S1296" s="1" t="str" cm="1">
        <f t="array" ref="S1296">_xlfn.IFS(I1296 &gt;= 40, "High", I1296&gt;=20, "Medium", I1296&lt;20, "Low")</f>
        <v>High</v>
      </c>
      <c r="T1296" s="1" t="str" cm="1">
        <f t="array" ref="T1296">_xlfn.IFS(O1296&lt;18200, "Low", O1296&lt;=50000, "Medium", O1296&gt;50000, "High")</f>
        <v>Medium</v>
      </c>
    </row>
    <row r="1297" spans="1:20" x14ac:dyDescent="0.25">
      <c r="A1297" s="2">
        <v>2012</v>
      </c>
      <c r="B1297" s="1" t="s">
        <v>1806</v>
      </c>
      <c r="C1297" s="1" t="s">
        <v>1840</v>
      </c>
      <c r="D1297" s="1" t="s">
        <v>18</v>
      </c>
      <c r="E1297" s="1" t="s">
        <v>738</v>
      </c>
      <c r="F1297" s="1" t="s">
        <v>20</v>
      </c>
      <c r="G1297" s="1" t="s">
        <v>2006</v>
      </c>
      <c r="H1297" s="1" t="s">
        <v>22</v>
      </c>
      <c r="I1297" s="1">
        <v>32</v>
      </c>
      <c r="J1297" s="1">
        <v>83734</v>
      </c>
      <c r="K1297" s="1" t="s">
        <v>28</v>
      </c>
      <c r="L1297" s="1" t="s">
        <v>28</v>
      </c>
      <c r="M1297" s="1" t="s">
        <v>278</v>
      </c>
      <c r="N1297" s="1">
        <v>12900</v>
      </c>
      <c r="O1297" s="12">
        <v>13700</v>
      </c>
      <c r="P1297" s="3" t="s">
        <v>1609</v>
      </c>
      <c r="Q1297" s="1" cm="1">
        <f t="array" ref="Q1297">VALUE(INDEX(_xlfn.TEXTSPLIT(P1297, " "), 4))</f>
        <v>2015</v>
      </c>
      <c r="R1297" s="1" t="str">
        <f t="shared" si="20"/>
        <v>Honda Odyssey LX</v>
      </c>
      <c r="S1297" s="1" t="str" cm="1">
        <f t="array" ref="S1297">_xlfn.IFS(I1297 &gt;= 40, "High", I1297&gt;=20, "Medium", I1297&lt;20, "Low")</f>
        <v>Medium</v>
      </c>
      <c r="T1297" s="1" t="str" cm="1">
        <f t="array" ref="T1297">_xlfn.IFS(O1297&lt;18200, "Low", O1297&lt;=50000, "Medium", O1297&gt;50000, "High")</f>
        <v>Low</v>
      </c>
    </row>
    <row r="1298" spans="1:20" x14ac:dyDescent="0.25">
      <c r="A1298" s="2">
        <v>2012</v>
      </c>
      <c r="B1298" s="1" t="s">
        <v>98</v>
      </c>
      <c r="C1298" s="1" t="s">
        <v>219</v>
      </c>
      <c r="D1298" s="1" t="s">
        <v>337</v>
      </c>
      <c r="E1298" s="1" t="s">
        <v>32</v>
      </c>
      <c r="F1298" s="1" t="s">
        <v>20</v>
      </c>
      <c r="G1298" s="1" t="s">
        <v>2007</v>
      </c>
      <c r="H1298" s="1" t="s">
        <v>22</v>
      </c>
      <c r="I1298" s="1">
        <v>36</v>
      </c>
      <c r="J1298" s="1">
        <v>34230</v>
      </c>
      <c r="K1298" s="1" t="s">
        <v>34</v>
      </c>
      <c r="L1298" s="1" t="s">
        <v>34</v>
      </c>
      <c r="M1298" s="1" t="s">
        <v>350</v>
      </c>
      <c r="N1298" s="1">
        <v>12200</v>
      </c>
      <c r="O1298" s="12">
        <v>12700</v>
      </c>
      <c r="P1298" s="3" t="s">
        <v>84</v>
      </c>
      <c r="Q1298" s="1" cm="1">
        <f t="array" ref="Q1298">VALUE(INDEX(_xlfn.TEXTSPLIT(P1298, " "), 4))</f>
        <v>2014</v>
      </c>
      <c r="R1298" s="1" t="str">
        <f t="shared" si="20"/>
        <v>Hyundai Elantra Limited</v>
      </c>
      <c r="S1298" s="1" t="str" cm="1">
        <f t="array" ref="S1298">_xlfn.IFS(I1298 &gt;= 40, "High", I1298&gt;=20, "Medium", I1298&lt;20, "Low")</f>
        <v>Medium</v>
      </c>
      <c r="T1298" s="1" t="str" cm="1">
        <f t="array" ref="T1298">_xlfn.IFS(O1298&lt;18200, "Low", O1298&lt;=50000, "Medium", O1298&gt;50000, "High")</f>
        <v>Low</v>
      </c>
    </row>
    <row r="1299" spans="1:20" x14ac:dyDescent="0.25">
      <c r="A1299" s="2">
        <v>2012</v>
      </c>
      <c r="B1299" s="1" t="s">
        <v>1806</v>
      </c>
      <c r="C1299" s="1" t="s">
        <v>1829</v>
      </c>
      <c r="D1299" s="1" t="s">
        <v>18</v>
      </c>
      <c r="E1299" s="1" t="s">
        <v>107</v>
      </c>
      <c r="F1299" s="1" t="s">
        <v>20</v>
      </c>
      <c r="G1299" s="1" t="s">
        <v>2008</v>
      </c>
      <c r="H1299" s="1" t="s">
        <v>22</v>
      </c>
      <c r="I1299" s="1">
        <v>26</v>
      </c>
      <c r="J1299" s="1">
        <v>56731</v>
      </c>
      <c r="K1299" s="1" t="s">
        <v>24</v>
      </c>
      <c r="L1299" s="1" t="s">
        <v>34</v>
      </c>
      <c r="M1299" s="1" t="s">
        <v>1327</v>
      </c>
      <c r="N1299" s="1">
        <v>10000</v>
      </c>
      <c r="O1299" s="12">
        <v>9100</v>
      </c>
      <c r="P1299" s="3" t="s">
        <v>68</v>
      </c>
      <c r="Q1299" s="1" cm="1">
        <f t="array" ref="Q1299">VALUE(INDEX(_xlfn.TEXTSPLIT(P1299, " "), 4))</f>
        <v>2014</v>
      </c>
      <c r="R1299" s="1" t="str">
        <f t="shared" si="20"/>
        <v>Honda Civic LX</v>
      </c>
      <c r="S1299" s="1" t="str" cm="1">
        <f t="array" ref="S1299">_xlfn.IFS(I1299 &gt;= 40, "High", I1299&gt;=20, "Medium", I1299&lt;20, "Low")</f>
        <v>Medium</v>
      </c>
      <c r="T1299" s="1" t="str" cm="1">
        <f t="array" ref="T1299">_xlfn.IFS(O1299&lt;18200, "Low", O1299&lt;=50000, "Medium", O1299&gt;50000, "High")</f>
        <v>Low</v>
      </c>
    </row>
    <row r="1300" spans="1:20" x14ac:dyDescent="0.25">
      <c r="A1300" s="2">
        <v>2012</v>
      </c>
      <c r="B1300" s="1" t="s">
        <v>318</v>
      </c>
      <c r="C1300" s="1" t="s">
        <v>323</v>
      </c>
      <c r="D1300" s="1" t="s">
        <v>1817</v>
      </c>
      <c r="E1300" s="1" t="s">
        <v>323</v>
      </c>
      <c r="F1300" s="1" t="s">
        <v>20</v>
      </c>
      <c r="G1300" s="1" t="s">
        <v>2009</v>
      </c>
      <c r="H1300" s="1" t="s">
        <v>22</v>
      </c>
      <c r="I1300" s="1">
        <v>44</v>
      </c>
      <c r="J1300" s="1">
        <v>20345</v>
      </c>
      <c r="K1300" s="1" t="s">
        <v>34</v>
      </c>
      <c r="L1300" s="1" t="s">
        <v>24</v>
      </c>
      <c r="M1300" s="1" t="s">
        <v>322</v>
      </c>
      <c r="N1300" s="1">
        <v>19750</v>
      </c>
      <c r="O1300" s="12">
        <v>19000</v>
      </c>
      <c r="P1300" s="3" t="s">
        <v>46</v>
      </c>
      <c r="Q1300" s="1" cm="1">
        <f t="array" ref="Q1300">VALUE(INDEX(_xlfn.TEXTSPLIT(P1300, " "), 4))</f>
        <v>2014</v>
      </c>
      <c r="R1300" s="1" t="str">
        <f t="shared" si="20"/>
        <v>Infiniti G Sedan G25</v>
      </c>
      <c r="S1300" s="1" t="str" cm="1">
        <f t="array" ref="S1300">_xlfn.IFS(I1300 &gt;= 40, "High", I1300&gt;=20, "Medium", I1300&lt;20, "Low")</f>
        <v>High</v>
      </c>
      <c r="T1300" s="1" t="str" cm="1">
        <f t="array" ref="T1300">_xlfn.IFS(O1300&lt;18200, "Low", O1300&lt;=50000, "Medium", O1300&gt;50000, "High")</f>
        <v>Medium</v>
      </c>
    </row>
    <row r="1301" spans="1:20" x14ac:dyDescent="0.25">
      <c r="A1301" s="2">
        <v>2012</v>
      </c>
      <c r="B1301" s="1" t="s">
        <v>1806</v>
      </c>
      <c r="C1301" s="1" t="s">
        <v>1829</v>
      </c>
      <c r="D1301" s="1" t="s">
        <v>735</v>
      </c>
      <c r="E1301" s="1" t="s">
        <v>32</v>
      </c>
      <c r="F1301" s="1" t="s">
        <v>20</v>
      </c>
      <c r="G1301" s="1" t="s">
        <v>2010</v>
      </c>
      <c r="H1301" s="1" t="s">
        <v>22</v>
      </c>
      <c r="I1301" s="1">
        <v>21</v>
      </c>
      <c r="J1301" s="1">
        <v>32403</v>
      </c>
      <c r="K1301" s="1" t="s">
        <v>34</v>
      </c>
      <c r="L1301" s="1" t="s">
        <v>34</v>
      </c>
      <c r="M1301" s="1" t="s">
        <v>1266</v>
      </c>
      <c r="N1301" s="1">
        <v>12300</v>
      </c>
      <c r="O1301" s="12">
        <v>11500</v>
      </c>
      <c r="P1301" s="3" t="s">
        <v>68</v>
      </c>
      <c r="Q1301" s="1" cm="1">
        <f t="array" ref="Q1301">VALUE(INDEX(_xlfn.TEXTSPLIT(P1301, " "), 4))</f>
        <v>2014</v>
      </c>
      <c r="R1301" s="1" t="str">
        <f t="shared" si="20"/>
        <v>Honda Civic EX</v>
      </c>
      <c r="S1301" s="1" t="str" cm="1">
        <f t="array" ref="S1301">_xlfn.IFS(I1301 &gt;= 40, "High", I1301&gt;=20, "Medium", I1301&lt;20, "Low")</f>
        <v>Medium</v>
      </c>
      <c r="T1301" s="1" t="str" cm="1">
        <f t="array" ref="T1301">_xlfn.IFS(O1301&lt;18200, "Low", O1301&lt;=50000, "Medium", O1301&gt;50000, "High")</f>
        <v>Low</v>
      </c>
    </row>
    <row r="1302" spans="1:20" x14ac:dyDescent="0.25">
      <c r="A1302" s="2">
        <v>2012</v>
      </c>
      <c r="B1302" s="1" t="s">
        <v>1806</v>
      </c>
      <c r="C1302" s="1" t="s">
        <v>1829</v>
      </c>
      <c r="D1302" s="1" t="s">
        <v>1868</v>
      </c>
      <c r="E1302" s="1" t="s">
        <v>32</v>
      </c>
      <c r="F1302" s="1" t="s">
        <v>20</v>
      </c>
      <c r="G1302" s="1" t="s">
        <v>2011</v>
      </c>
      <c r="H1302" s="1" t="s">
        <v>22</v>
      </c>
      <c r="I1302" s="1">
        <v>19</v>
      </c>
      <c r="J1302" s="1">
        <v>14958</v>
      </c>
      <c r="K1302" s="1" t="s">
        <v>34</v>
      </c>
      <c r="L1302" s="1" t="s">
        <v>34</v>
      </c>
      <c r="M1302" s="1" t="s">
        <v>1266</v>
      </c>
      <c r="N1302" s="1">
        <v>14150</v>
      </c>
      <c r="O1302" s="12">
        <v>12800</v>
      </c>
      <c r="P1302" s="3" t="s">
        <v>110</v>
      </c>
      <c r="Q1302" s="1" cm="1">
        <f t="array" ref="Q1302">VALUE(INDEX(_xlfn.TEXTSPLIT(P1302, " "), 4))</f>
        <v>2014</v>
      </c>
      <c r="R1302" s="1" t="str">
        <f t="shared" si="20"/>
        <v>Honda Civic EX-L</v>
      </c>
      <c r="S1302" s="1" t="str" cm="1">
        <f t="array" ref="S1302">_xlfn.IFS(I1302 &gt;= 40, "High", I1302&gt;=20, "Medium", I1302&lt;20, "Low")</f>
        <v>Low</v>
      </c>
      <c r="T1302" s="1" t="str" cm="1">
        <f t="array" ref="T1302">_xlfn.IFS(O1302&lt;18200, "Low", O1302&lt;=50000, "Medium", O1302&gt;50000, "High")</f>
        <v>Low</v>
      </c>
    </row>
    <row r="1303" spans="1:20" x14ac:dyDescent="0.25">
      <c r="A1303" s="2">
        <v>2012</v>
      </c>
      <c r="B1303" s="1" t="s">
        <v>98</v>
      </c>
      <c r="C1303" s="1" t="s">
        <v>219</v>
      </c>
      <c r="D1303" s="1" t="s">
        <v>348</v>
      </c>
      <c r="E1303" s="1" t="s">
        <v>32</v>
      </c>
      <c r="F1303" s="1" t="s">
        <v>20</v>
      </c>
      <c r="G1303" s="1" t="s">
        <v>2012</v>
      </c>
      <c r="H1303" s="1" t="s">
        <v>22</v>
      </c>
      <c r="I1303" s="1">
        <v>2</v>
      </c>
      <c r="J1303" s="1">
        <v>37504</v>
      </c>
      <c r="K1303" s="1" t="s">
        <v>24</v>
      </c>
      <c r="L1303" s="1" t="s">
        <v>28</v>
      </c>
      <c r="M1303" s="1" t="s">
        <v>350</v>
      </c>
      <c r="N1303" s="1">
        <v>10250</v>
      </c>
      <c r="O1303" s="12">
        <v>7100</v>
      </c>
      <c r="P1303" s="3" t="s">
        <v>89</v>
      </c>
      <c r="Q1303" s="1" cm="1">
        <f t="array" ref="Q1303">VALUE(INDEX(_xlfn.TEXTSPLIT(P1303, " "), 4))</f>
        <v>2015</v>
      </c>
      <c r="R1303" s="1" t="str">
        <f t="shared" si="20"/>
        <v>Hyundai Elantra GLS</v>
      </c>
      <c r="S1303" s="1" t="str" cm="1">
        <f t="array" ref="S1303">_xlfn.IFS(I1303 &gt;= 40, "High", I1303&gt;=20, "Medium", I1303&lt;20, "Low")</f>
        <v>Low</v>
      </c>
      <c r="T1303" s="1" t="str" cm="1">
        <f t="array" ref="T1303">_xlfn.IFS(O1303&lt;18200, "Low", O1303&lt;=50000, "Medium", O1303&gt;50000, "High")</f>
        <v>Low</v>
      </c>
    </row>
    <row r="1304" spans="1:20" x14ac:dyDescent="0.25">
      <c r="A1304" s="2">
        <v>2012</v>
      </c>
      <c r="B1304" s="1" t="s">
        <v>98</v>
      </c>
      <c r="C1304" s="1" t="s">
        <v>432</v>
      </c>
      <c r="D1304" s="1" t="s">
        <v>54</v>
      </c>
      <c r="E1304" s="1" t="s">
        <v>32</v>
      </c>
      <c r="F1304" s="1" t="s">
        <v>20</v>
      </c>
      <c r="G1304" s="1" t="s">
        <v>2013</v>
      </c>
      <c r="H1304" s="1" t="s">
        <v>22</v>
      </c>
      <c r="I1304" s="1">
        <v>45</v>
      </c>
      <c r="J1304" s="1">
        <v>46218</v>
      </c>
      <c r="K1304" s="1" t="s">
        <v>24</v>
      </c>
      <c r="L1304" s="1" t="s">
        <v>24</v>
      </c>
      <c r="M1304" s="1" t="s">
        <v>350</v>
      </c>
      <c r="N1304" s="1">
        <v>16950</v>
      </c>
      <c r="O1304" s="12">
        <v>18000</v>
      </c>
      <c r="P1304" s="3" t="s">
        <v>84</v>
      </c>
      <c r="Q1304" s="1" cm="1">
        <f t="array" ref="Q1304">VALUE(INDEX(_xlfn.TEXTSPLIT(P1304, " "), 4))</f>
        <v>2014</v>
      </c>
      <c r="R1304" s="1" t="str">
        <f t="shared" si="20"/>
        <v>Hyundai Azera Base</v>
      </c>
      <c r="S1304" s="1" t="str" cm="1">
        <f t="array" ref="S1304">_xlfn.IFS(I1304 &gt;= 40, "High", I1304&gt;=20, "Medium", I1304&lt;20, "Low")</f>
        <v>High</v>
      </c>
      <c r="T1304" s="1" t="str" cm="1">
        <f t="array" ref="T1304">_xlfn.IFS(O1304&lt;18200, "Low", O1304&lt;=50000, "Medium", O1304&gt;50000, "High")</f>
        <v>Low</v>
      </c>
    </row>
    <row r="1305" spans="1:20" x14ac:dyDescent="0.25">
      <c r="A1305" s="2">
        <v>2012</v>
      </c>
      <c r="B1305" s="1" t="s">
        <v>1806</v>
      </c>
      <c r="C1305" s="1" t="s">
        <v>1807</v>
      </c>
      <c r="D1305" s="1" t="s">
        <v>87</v>
      </c>
      <c r="E1305" s="1" t="s">
        <v>32</v>
      </c>
      <c r="F1305" s="1" t="s">
        <v>20</v>
      </c>
      <c r="G1305" s="1" t="s">
        <v>2014</v>
      </c>
      <c r="H1305" s="1" t="s">
        <v>22</v>
      </c>
      <c r="I1305" s="1">
        <v>21</v>
      </c>
      <c r="J1305" s="1">
        <v>25626</v>
      </c>
      <c r="K1305" s="1" t="s">
        <v>24</v>
      </c>
      <c r="L1305" s="1" t="s">
        <v>24</v>
      </c>
      <c r="M1305" s="1" t="s">
        <v>1266</v>
      </c>
      <c r="N1305" s="1">
        <v>13600</v>
      </c>
      <c r="O1305" s="12">
        <v>13100</v>
      </c>
      <c r="P1305" s="3" t="s">
        <v>110</v>
      </c>
      <c r="Q1305" s="1" cm="1">
        <f t="array" ref="Q1305">VALUE(INDEX(_xlfn.TEXTSPLIT(P1305, " "), 4))</f>
        <v>2014</v>
      </c>
      <c r="R1305" s="1" t="str">
        <f t="shared" si="20"/>
        <v>Honda Accord SE</v>
      </c>
      <c r="S1305" s="1" t="str" cm="1">
        <f t="array" ref="S1305">_xlfn.IFS(I1305 &gt;= 40, "High", I1305&gt;=20, "Medium", I1305&lt;20, "Low")</f>
        <v>Medium</v>
      </c>
      <c r="T1305" s="1" t="str" cm="1">
        <f t="array" ref="T1305">_xlfn.IFS(O1305&lt;18200, "Low", O1305&lt;=50000, "Medium", O1305&gt;50000, "High")</f>
        <v>Low</v>
      </c>
    </row>
    <row r="1306" spans="1:20" x14ac:dyDescent="0.25">
      <c r="A1306" s="2">
        <v>2012</v>
      </c>
      <c r="B1306" s="1" t="s">
        <v>85</v>
      </c>
      <c r="C1306" s="1" t="s">
        <v>86</v>
      </c>
      <c r="D1306" s="1" t="s">
        <v>1518</v>
      </c>
      <c r="E1306" s="1" t="s">
        <v>32</v>
      </c>
      <c r="F1306" s="1" t="s">
        <v>20</v>
      </c>
      <c r="G1306" s="1" t="s">
        <v>2015</v>
      </c>
      <c r="H1306" s="1" t="s">
        <v>22</v>
      </c>
      <c r="I1306" s="1">
        <v>28</v>
      </c>
      <c r="J1306" s="1">
        <v>85069</v>
      </c>
      <c r="K1306" s="1" t="s">
        <v>34</v>
      </c>
      <c r="L1306" s="1" t="s">
        <v>82</v>
      </c>
      <c r="M1306" s="1" t="s">
        <v>2016</v>
      </c>
      <c r="N1306" s="1">
        <v>8600</v>
      </c>
      <c r="O1306" s="12">
        <v>7900</v>
      </c>
      <c r="P1306" s="3" t="s">
        <v>68</v>
      </c>
      <c r="Q1306" s="1" cm="1">
        <f t="array" ref="Q1306">VALUE(INDEX(_xlfn.TEXTSPLIT(P1306, " "), 4))</f>
        <v>2014</v>
      </c>
      <c r="R1306" s="1" t="str">
        <f t="shared" si="20"/>
        <v>Ford Fusion SEL</v>
      </c>
      <c r="S1306" s="1" t="str" cm="1">
        <f t="array" ref="S1306">_xlfn.IFS(I1306 &gt;= 40, "High", I1306&gt;=20, "Medium", I1306&lt;20, "Low")</f>
        <v>Medium</v>
      </c>
      <c r="T1306" s="1" t="str" cm="1">
        <f t="array" ref="T1306">_xlfn.IFS(O1306&lt;18200, "Low", O1306&lt;=50000, "Medium", O1306&gt;50000, "High")</f>
        <v>Low</v>
      </c>
    </row>
    <row r="1307" spans="1:20" x14ac:dyDescent="0.25">
      <c r="A1307" s="2">
        <v>2012</v>
      </c>
      <c r="B1307" s="1" t="s">
        <v>85</v>
      </c>
      <c r="C1307" s="1" t="s">
        <v>86</v>
      </c>
      <c r="D1307" s="1" t="s">
        <v>87</v>
      </c>
      <c r="E1307" s="1" t="s">
        <v>32</v>
      </c>
      <c r="F1307" s="1" t="s">
        <v>20</v>
      </c>
      <c r="G1307" s="1" t="s">
        <v>2017</v>
      </c>
      <c r="H1307" s="1" t="s">
        <v>22</v>
      </c>
      <c r="I1307" s="1">
        <v>37</v>
      </c>
      <c r="J1307" s="1">
        <v>37315</v>
      </c>
      <c r="K1307" s="1" t="s">
        <v>34</v>
      </c>
      <c r="L1307" s="1" t="s">
        <v>24</v>
      </c>
      <c r="M1307" s="1" t="s">
        <v>1515</v>
      </c>
      <c r="N1307" s="1">
        <v>11200</v>
      </c>
      <c r="O1307" s="12">
        <v>12200</v>
      </c>
      <c r="P1307" s="3" t="s">
        <v>68</v>
      </c>
      <c r="Q1307" s="1" cm="1">
        <f t="array" ref="Q1307">VALUE(INDEX(_xlfn.TEXTSPLIT(P1307, " "), 4))</f>
        <v>2014</v>
      </c>
      <c r="R1307" s="1" t="str">
        <f t="shared" si="20"/>
        <v>Ford Fusion SE</v>
      </c>
      <c r="S1307" s="1" t="str" cm="1">
        <f t="array" ref="S1307">_xlfn.IFS(I1307 &gt;= 40, "High", I1307&gt;=20, "Medium", I1307&lt;20, "Low")</f>
        <v>Medium</v>
      </c>
      <c r="T1307" s="1" t="str" cm="1">
        <f t="array" ref="T1307">_xlfn.IFS(O1307&lt;18200, "Low", O1307&lt;=50000, "Medium", O1307&gt;50000, "High")</f>
        <v>Low</v>
      </c>
    </row>
    <row r="1308" spans="1:20" x14ac:dyDescent="0.25">
      <c r="A1308" s="2">
        <v>2012</v>
      </c>
      <c r="B1308" s="1" t="s">
        <v>98</v>
      </c>
      <c r="C1308" s="1" t="s">
        <v>99</v>
      </c>
      <c r="D1308" s="1" t="s">
        <v>348</v>
      </c>
      <c r="E1308" s="1" t="s">
        <v>32</v>
      </c>
      <c r="F1308" s="1" t="s">
        <v>20</v>
      </c>
      <c r="G1308" s="1" t="s">
        <v>2018</v>
      </c>
      <c r="H1308" s="1" t="s">
        <v>22</v>
      </c>
      <c r="I1308" s="1">
        <v>37</v>
      </c>
      <c r="J1308" s="1">
        <v>48502</v>
      </c>
      <c r="K1308" s="1" t="s">
        <v>34</v>
      </c>
      <c r="L1308" s="1" t="s">
        <v>34</v>
      </c>
      <c r="M1308" s="1" t="s">
        <v>350</v>
      </c>
      <c r="N1308" s="1">
        <v>10500</v>
      </c>
      <c r="O1308" s="12">
        <v>11500</v>
      </c>
      <c r="P1308" s="3" t="s">
        <v>84</v>
      </c>
      <c r="Q1308" s="1" cm="1">
        <f t="array" ref="Q1308">VALUE(INDEX(_xlfn.TEXTSPLIT(P1308, " "), 4))</f>
        <v>2014</v>
      </c>
      <c r="R1308" s="1" t="str">
        <f t="shared" si="20"/>
        <v>Hyundai Sonata GLS</v>
      </c>
      <c r="S1308" s="1" t="str" cm="1">
        <f t="array" ref="S1308">_xlfn.IFS(I1308 &gt;= 40, "High", I1308&gt;=20, "Medium", I1308&lt;20, "Low")</f>
        <v>Medium</v>
      </c>
      <c r="T1308" s="1" t="str" cm="1">
        <f t="array" ref="T1308">_xlfn.IFS(O1308&lt;18200, "Low", O1308&lt;=50000, "Medium", O1308&gt;50000, "High")</f>
        <v>Low</v>
      </c>
    </row>
    <row r="1309" spans="1:20" x14ac:dyDescent="0.25">
      <c r="A1309" s="2">
        <v>2012</v>
      </c>
      <c r="B1309" s="1" t="s">
        <v>1806</v>
      </c>
      <c r="C1309" s="1" t="s">
        <v>1829</v>
      </c>
      <c r="D1309" s="1" t="s">
        <v>735</v>
      </c>
      <c r="E1309" s="1" t="s">
        <v>107</v>
      </c>
      <c r="F1309" s="1" t="s">
        <v>20</v>
      </c>
      <c r="G1309" s="1" t="s">
        <v>2019</v>
      </c>
      <c r="H1309" s="1" t="s">
        <v>22</v>
      </c>
      <c r="I1309" s="1">
        <v>3</v>
      </c>
      <c r="J1309" s="1">
        <v>44830</v>
      </c>
      <c r="K1309" s="1" t="s">
        <v>94</v>
      </c>
      <c r="L1309" s="1" t="s">
        <v>34</v>
      </c>
      <c r="M1309" s="1" t="s">
        <v>1888</v>
      </c>
      <c r="N1309" s="1">
        <v>10700</v>
      </c>
      <c r="O1309" s="12">
        <v>10750</v>
      </c>
      <c r="P1309" s="3" t="s">
        <v>26</v>
      </c>
      <c r="Q1309" s="1" cm="1">
        <f t="array" ref="Q1309">VALUE(INDEX(_xlfn.TEXTSPLIT(P1309, " "), 4))</f>
        <v>2014</v>
      </c>
      <c r="R1309" s="1" t="str">
        <f t="shared" si="20"/>
        <v>Honda Civic EX</v>
      </c>
      <c r="S1309" s="1" t="str" cm="1">
        <f t="array" ref="S1309">_xlfn.IFS(I1309 &gt;= 40, "High", I1309&gt;=20, "Medium", I1309&lt;20, "Low")</f>
        <v>Low</v>
      </c>
      <c r="T1309" s="1" t="str" cm="1">
        <f t="array" ref="T1309">_xlfn.IFS(O1309&lt;18200, "Low", O1309&lt;=50000, "Medium", O1309&gt;50000, "High")</f>
        <v>Low</v>
      </c>
    </row>
    <row r="1310" spans="1:20" x14ac:dyDescent="0.25">
      <c r="A1310" s="2">
        <v>2012</v>
      </c>
      <c r="B1310" s="1" t="s">
        <v>85</v>
      </c>
      <c r="C1310" s="1" t="s">
        <v>86</v>
      </c>
      <c r="D1310" s="1" t="s">
        <v>1671</v>
      </c>
      <c r="E1310" s="1" t="s">
        <v>32</v>
      </c>
      <c r="F1310" s="1" t="s">
        <v>20</v>
      </c>
      <c r="G1310" s="1" t="s">
        <v>2020</v>
      </c>
      <c r="H1310" s="1" t="s">
        <v>22</v>
      </c>
      <c r="I1310" s="1">
        <v>41</v>
      </c>
      <c r="J1310" s="1">
        <v>64948</v>
      </c>
      <c r="K1310" s="1" t="s">
        <v>23</v>
      </c>
      <c r="L1310" s="1" t="s">
        <v>24</v>
      </c>
      <c r="M1310" s="1" t="s">
        <v>1747</v>
      </c>
      <c r="N1310" s="1">
        <v>12050</v>
      </c>
      <c r="O1310" s="12">
        <v>12000</v>
      </c>
      <c r="P1310" s="3" t="s">
        <v>68</v>
      </c>
      <c r="Q1310" s="1" cm="1">
        <f t="array" ref="Q1310">VALUE(INDEX(_xlfn.TEXTSPLIT(P1310, " "), 4))</f>
        <v>2014</v>
      </c>
      <c r="R1310" s="1" t="str">
        <f t="shared" si="20"/>
        <v>Ford Fusion Hybrid</v>
      </c>
      <c r="S1310" s="1" t="str" cm="1">
        <f t="array" ref="S1310">_xlfn.IFS(I1310 &gt;= 40, "High", I1310&gt;=20, "Medium", I1310&lt;20, "Low")</f>
        <v>High</v>
      </c>
      <c r="T1310" s="1" t="str" cm="1">
        <f t="array" ref="T1310">_xlfn.IFS(O1310&lt;18200, "Low", O1310&lt;=50000, "Medium", O1310&gt;50000, "High")</f>
        <v>Low</v>
      </c>
    </row>
    <row r="1311" spans="1:20" x14ac:dyDescent="0.25">
      <c r="A1311" s="2">
        <v>2012</v>
      </c>
      <c r="B1311" s="1" t="s">
        <v>1806</v>
      </c>
      <c r="C1311" s="1" t="s">
        <v>1840</v>
      </c>
      <c r="D1311" s="1" t="s">
        <v>735</v>
      </c>
      <c r="E1311" s="1" t="s">
        <v>738</v>
      </c>
      <c r="F1311" s="1" t="s">
        <v>20</v>
      </c>
      <c r="G1311" s="1" t="s">
        <v>2021</v>
      </c>
      <c r="H1311" s="1" t="s">
        <v>22</v>
      </c>
      <c r="I1311" s="1">
        <v>36</v>
      </c>
      <c r="J1311" s="1">
        <v>36351</v>
      </c>
      <c r="K1311" s="1" t="s">
        <v>34</v>
      </c>
      <c r="L1311" s="1" t="s">
        <v>34</v>
      </c>
      <c r="M1311" s="1" t="s">
        <v>1266</v>
      </c>
      <c r="N1311" s="1">
        <v>17800</v>
      </c>
      <c r="O1311" s="12">
        <v>19100</v>
      </c>
      <c r="P1311" s="3" t="s">
        <v>68</v>
      </c>
      <c r="Q1311" s="1" cm="1">
        <f t="array" ref="Q1311">VALUE(INDEX(_xlfn.TEXTSPLIT(P1311, " "), 4))</f>
        <v>2014</v>
      </c>
      <c r="R1311" s="1" t="str">
        <f t="shared" si="20"/>
        <v>Honda Odyssey EX</v>
      </c>
      <c r="S1311" s="1" t="str" cm="1">
        <f t="array" ref="S1311">_xlfn.IFS(I1311 &gt;= 40, "High", I1311&gt;=20, "Medium", I1311&lt;20, "Low")</f>
        <v>Medium</v>
      </c>
      <c r="T1311" s="1" t="str" cm="1">
        <f t="array" ref="T1311">_xlfn.IFS(O1311&lt;18200, "Low", O1311&lt;=50000, "Medium", O1311&gt;50000, "High")</f>
        <v>Medium</v>
      </c>
    </row>
    <row r="1312" spans="1:20" x14ac:dyDescent="0.25">
      <c r="A1312" s="2">
        <v>2012</v>
      </c>
      <c r="B1312" s="1" t="s">
        <v>85</v>
      </c>
      <c r="C1312" s="1" t="s">
        <v>86</v>
      </c>
      <c r="D1312" s="1" t="s">
        <v>87</v>
      </c>
      <c r="E1312" s="1" t="s">
        <v>32</v>
      </c>
      <c r="F1312" s="1" t="s">
        <v>20</v>
      </c>
      <c r="G1312" s="1" t="s">
        <v>2022</v>
      </c>
      <c r="H1312" s="1" t="s">
        <v>22</v>
      </c>
      <c r="I1312" s="1">
        <v>35</v>
      </c>
      <c r="J1312" s="1">
        <v>28992</v>
      </c>
      <c r="K1312" s="1" t="s">
        <v>91</v>
      </c>
      <c r="L1312" s="1" t="s">
        <v>28</v>
      </c>
      <c r="M1312" s="1" t="s">
        <v>1515</v>
      </c>
      <c r="N1312" s="1">
        <v>11750</v>
      </c>
      <c r="O1312" s="12">
        <v>12200</v>
      </c>
      <c r="P1312" s="3" t="s">
        <v>68</v>
      </c>
      <c r="Q1312" s="1" cm="1">
        <f t="array" ref="Q1312">VALUE(INDEX(_xlfn.TEXTSPLIT(P1312, " "), 4))</f>
        <v>2014</v>
      </c>
      <c r="R1312" s="1" t="str">
        <f t="shared" si="20"/>
        <v>Ford Fusion SE</v>
      </c>
      <c r="S1312" s="1" t="str" cm="1">
        <f t="array" ref="S1312">_xlfn.IFS(I1312 &gt;= 40, "High", I1312&gt;=20, "Medium", I1312&lt;20, "Low")</f>
        <v>Medium</v>
      </c>
      <c r="T1312" s="1" t="str" cm="1">
        <f t="array" ref="T1312">_xlfn.IFS(O1312&lt;18200, "Low", O1312&lt;=50000, "Medium", O1312&gt;50000, "High")</f>
        <v>Low</v>
      </c>
    </row>
    <row r="1313" spans="1:20" x14ac:dyDescent="0.25">
      <c r="A1313" s="2">
        <v>2012</v>
      </c>
      <c r="B1313" s="1" t="s">
        <v>1806</v>
      </c>
      <c r="C1313" s="1" t="s">
        <v>1807</v>
      </c>
      <c r="D1313" s="1" t="s">
        <v>87</v>
      </c>
      <c r="E1313" s="1" t="s">
        <v>32</v>
      </c>
      <c r="F1313" s="1" t="s">
        <v>20</v>
      </c>
      <c r="G1313" s="1" t="s">
        <v>2023</v>
      </c>
      <c r="H1313" s="1" t="s">
        <v>22</v>
      </c>
      <c r="I1313" s="1">
        <v>42</v>
      </c>
      <c r="J1313" s="1">
        <v>20187</v>
      </c>
      <c r="K1313" s="1" t="s">
        <v>91</v>
      </c>
      <c r="L1313" s="1" t="s">
        <v>24</v>
      </c>
      <c r="M1313" s="1" t="s">
        <v>1266</v>
      </c>
      <c r="N1313" s="1">
        <v>13700</v>
      </c>
      <c r="O1313" s="12">
        <v>15300</v>
      </c>
      <c r="P1313" s="3" t="s">
        <v>68</v>
      </c>
      <c r="Q1313" s="1" cm="1">
        <f t="array" ref="Q1313">VALUE(INDEX(_xlfn.TEXTSPLIT(P1313, " "), 4))</f>
        <v>2014</v>
      </c>
      <c r="R1313" s="1" t="str">
        <f t="shared" si="20"/>
        <v>Honda Accord SE</v>
      </c>
      <c r="S1313" s="1" t="str" cm="1">
        <f t="array" ref="S1313">_xlfn.IFS(I1313 &gt;= 40, "High", I1313&gt;=20, "Medium", I1313&lt;20, "Low")</f>
        <v>High</v>
      </c>
      <c r="T1313" s="1" t="str" cm="1">
        <f t="array" ref="T1313">_xlfn.IFS(O1313&lt;18200, "Low", O1313&lt;=50000, "Medium", O1313&gt;50000, "High")</f>
        <v>Low</v>
      </c>
    </row>
    <row r="1314" spans="1:20" x14ac:dyDescent="0.25">
      <c r="A1314" s="2">
        <v>2012</v>
      </c>
      <c r="B1314" s="1" t="s">
        <v>98</v>
      </c>
      <c r="C1314" s="1" t="s">
        <v>340</v>
      </c>
      <c r="D1314" s="1">
        <v>3.8</v>
      </c>
      <c r="E1314" s="1" t="s">
        <v>32</v>
      </c>
      <c r="F1314" s="1" t="s">
        <v>20</v>
      </c>
      <c r="G1314" s="1" t="s">
        <v>2024</v>
      </c>
      <c r="H1314" s="1" t="s">
        <v>22</v>
      </c>
      <c r="I1314" s="1">
        <v>39</v>
      </c>
      <c r="J1314" s="1">
        <v>61835</v>
      </c>
      <c r="K1314" s="1" t="s">
        <v>91</v>
      </c>
      <c r="L1314" s="1" t="s">
        <v>24</v>
      </c>
      <c r="M1314" s="1" t="s">
        <v>56</v>
      </c>
      <c r="N1314" s="1">
        <v>14550</v>
      </c>
      <c r="O1314" s="12">
        <v>11800</v>
      </c>
      <c r="P1314" s="3" t="s">
        <v>173</v>
      </c>
      <c r="Q1314" s="1" cm="1">
        <f t="array" ref="Q1314">VALUE(INDEX(_xlfn.TEXTSPLIT(P1314, " "), 4))</f>
        <v>2015</v>
      </c>
      <c r="R1314" s="1" t="str">
        <f t="shared" si="20"/>
        <v>Hyundai Genesis 3.8</v>
      </c>
      <c r="S1314" s="1" t="str" cm="1">
        <f t="array" ref="S1314">_xlfn.IFS(I1314 &gt;= 40, "High", I1314&gt;=20, "Medium", I1314&lt;20, "Low")</f>
        <v>Medium</v>
      </c>
      <c r="T1314" s="1" t="str" cm="1">
        <f t="array" ref="T1314">_xlfn.IFS(O1314&lt;18200, "Low", O1314&lt;=50000, "Medium", O1314&gt;50000, "High")</f>
        <v>Low</v>
      </c>
    </row>
    <row r="1315" spans="1:20" x14ac:dyDescent="0.25">
      <c r="A1315" s="2">
        <v>2012</v>
      </c>
      <c r="B1315" s="1" t="s">
        <v>318</v>
      </c>
      <c r="C1315" s="1" t="s">
        <v>323</v>
      </c>
      <c r="D1315" s="1" t="s">
        <v>1817</v>
      </c>
      <c r="E1315" s="1" t="s">
        <v>323</v>
      </c>
      <c r="F1315" s="1" t="s">
        <v>20</v>
      </c>
      <c r="G1315" s="1" t="s">
        <v>2025</v>
      </c>
      <c r="H1315" s="1" t="s">
        <v>22</v>
      </c>
      <c r="I1315" s="1">
        <v>26</v>
      </c>
      <c r="J1315" s="1">
        <v>30100</v>
      </c>
      <c r="K1315" s="1" t="s">
        <v>34</v>
      </c>
      <c r="L1315" s="1" t="s">
        <v>24</v>
      </c>
      <c r="M1315" s="1" t="s">
        <v>322</v>
      </c>
      <c r="N1315" s="1">
        <v>18850</v>
      </c>
      <c r="O1315" s="12">
        <v>15000</v>
      </c>
      <c r="P1315" s="3" t="s">
        <v>251</v>
      </c>
      <c r="Q1315" s="1" cm="1">
        <f t="array" ref="Q1315">VALUE(INDEX(_xlfn.TEXTSPLIT(P1315, " "), 4))</f>
        <v>2014</v>
      </c>
      <c r="R1315" s="1" t="str">
        <f t="shared" si="20"/>
        <v>Infiniti G Sedan G25</v>
      </c>
      <c r="S1315" s="1" t="str" cm="1">
        <f t="array" ref="S1315">_xlfn.IFS(I1315 &gt;= 40, "High", I1315&gt;=20, "Medium", I1315&lt;20, "Low")</f>
        <v>Medium</v>
      </c>
      <c r="T1315" s="1" t="str" cm="1">
        <f t="array" ref="T1315">_xlfn.IFS(O1315&lt;18200, "Low", O1315&lt;=50000, "Medium", O1315&gt;50000, "High")</f>
        <v>Low</v>
      </c>
    </row>
    <row r="1316" spans="1:20" x14ac:dyDescent="0.25">
      <c r="A1316" s="2">
        <v>2012</v>
      </c>
      <c r="B1316" s="1" t="s">
        <v>1806</v>
      </c>
      <c r="C1316" s="1" t="s">
        <v>1829</v>
      </c>
      <c r="D1316" s="1" t="s">
        <v>735</v>
      </c>
      <c r="E1316" s="1" t="s">
        <v>32</v>
      </c>
      <c r="F1316" s="1" t="s">
        <v>20</v>
      </c>
      <c r="G1316" s="1" t="s">
        <v>2026</v>
      </c>
      <c r="H1316" s="1" t="s">
        <v>22</v>
      </c>
      <c r="I1316" s="1">
        <v>22</v>
      </c>
      <c r="J1316" s="1">
        <v>35823</v>
      </c>
      <c r="K1316" s="1" t="s">
        <v>24</v>
      </c>
      <c r="L1316" s="1" t="s">
        <v>34</v>
      </c>
      <c r="M1316" s="1" t="s">
        <v>1266</v>
      </c>
      <c r="N1316" s="1">
        <v>12150</v>
      </c>
      <c r="O1316" s="12">
        <v>11200</v>
      </c>
      <c r="P1316" s="3" t="s">
        <v>68</v>
      </c>
      <c r="Q1316" s="1" cm="1">
        <f t="array" ref="Q1316">VALUE(INDEX(_xlfn.TEXTSPLIT(P1316, " "), 4))</f>
        <v>2014</v>
      </c>
      <c r="R1316" s="1" t="str">
        <f t="shared" si="20"/>
        <v>Honda Civic EX</v>
      </c>
      <c r="S1316" s="1" t="str" cm="1">
        <f t="array" ref="S1316">_xlfn.IFS(I1316 &gt;= 40, "High", I1316&gt;=20, "Medium", I1316&lt;20, "Low")</f>
        <v>Medium</v>
      </c>
      <c r="T1316" s="1" t="str" cm="1">
        <f t="array" ref="T1316">_xlfn.IFS(O1316&lt;18200, "Low", O1316&lt;=50000, "Medium", O1316&gt;50000, "High")</f>
        <v>Low</v>
      </c>
    </row>
    <row r="1317" spans="1:20" x14ac:dyDescent="0.25">
      <c r="A1317" s="2">
        <v>2012</v>
      </c>
      <c r="B1317" s="1" t="s">
        <v>98</v>
      </c>
      <c r="C1317" s="1" t="s">
        <v>398</v>
      </c>
      <c r="D1317" s="1" t="s">
        <v>348</v>
      </c>
      <c r="E1317" s="1" t="s">
        <v>32</v>
      </c>
      <c r="F1317" s="1" t="s">
        <v>20</v>
      </c>
      <c r="G1317" s="1" t="s">
        <v>2027</v>
      </c>
      <c r="H1317" s="1" t="s">
        <v>22</v>
      </c>
      <c r="I1317" s="1">
        <v>19</v>
      </c>
      <c r="J1317" s="1">
        <v>40558</v>
      </c>
      <c r="K1317" s="1" t="s">
        <v>94</v>
      </c>
      <c r="L1317" s="1" t="s">
        <v>34</v>
      </c>
      <c r="M1317" s="1" t="s">
        <v>350</v>
      </c>
      <c r="N1317" s="1">
        <v>8100</v>
      </c>
      <c r="O1317" s="12">
        <v>7900</v>
      </c>
      <c r="P1317" s="3" t="s">
        <v>84</v>
      </c>
      <c r="Q1317" s="1" cm="1">
        <f t="array" ref="Q1317">VALUE(INDEX(_xlfn.TEXTSPLIT(P1317, " "), 4))</f>
        <v>2014</v>
      </c>
      <c r="R1317" s="1" t="str">
        <f t="shared" si="20"/>
        <v>Hyundai Accent GLS</v>
      </c>
      <c r="S1317" s="1" t="str" cm="1">
        <f t="array" ref="S1317">_xlfn.IFS(I1317 &gt;= 40, "High", I1317&gt;=20, "Medium", I1317&lt;20, "Low")</f>
        <v>Low</v>
      </c>
      <c r="T1317" s="1" t="str" cm="1">
        <f t="array" ref="T1317">_xlfn.IFS(O1317&lt;18200, "Low", O1317&lt;=50000, "Medium", O1317&gt;50000, "High")</f>
        <v>Low</v>
      </c>
    </row>
    <row r="1318" spans="1:20" x14ac:dyDescent="0.25">
      <c r="A1318" s="2">
        <v>2012</v>
      </c>
      <c r="B1318" s="1" t="s">
        <v>85</v>
      </c>
      <c r="C1318" s="1" t="s">
        <v>1953</v>
      </c>
      <c r="D1318" s="1" t="s">
        <v>1518</v>
      </c>
      <c r="E1318" s="1" t="s">
        <v>32</v>
      </c>
      <c r="F1318" s="1" t="s">
        <v>20</v>
      </c>
      <c r="G1318" s="1" t="s">
        <v>2028</v>
      </c>
      <c r="H1318" s="1" t="s">
        <v>22</v>
      </c>
      <c r="I1318" s="1">
        <v>25</v>
      </c>
      <c r="J1318" s="1">
        <v>55817</v>
      </c>
      <c r="K1318" s="1" t="s">
        <v>34</v>
      </c>
      <c r="L1318" s="1" t="s">
        <v>28</v>
      </c>
      <c r="M1318" s="1" t="s">
        <v>1515</v>
      </c>
      <c r="N1318" s="1">
        <v>13250</v>
      </c>
      <c r="O1318" s="12">
        <v>10600</v>
      </c>
      <c r="P1318" s="3" t="s">
        <v>68</v>
      </c>
      <c r="Q1318" s="1" cm="1">
        <f t="array" ref="Q1318">VALUE(INDEX(_xlfn.TEXTSPLIT(P1318, " "), 4))</f>
        <v>2014</v>
      </c>
      <c r="R1318" s="1" t="str">
        <f t="shared" si="20"/>
        <v>Ford Taurus SEL</v>
      </c>
      <c r="S1318" s="1" t="str" cm="1">
        <f t="array" ref="S1318">_xlfn.IFS(I1318 &gt;= 40, "High", I1318&gt;=20, "Medium", I1318&lt;20, "Low")</f>
        <v>Medium</v>
      </c>
      <c r="T1318" s="1" t="str" cm="1">
        <f t="array" ref="T1318">_xlfn.IFS(O1318&lt;18200, "Low", O1318&lt;=50000, "Medium", O1318&gt;50000, "High")</f>
        <v>Low</v>
      </c>
    </row>
    <row r="1319" spans="1:20" x14ac:dyDescent="0.25">
      <c r="A1319" s="2">
        <v>2012</v>
      </c>
      <c r="B1319" s="1" t="s">
        <v>1806</v>
      </c>
      <c r="C1319" s="1" t="s">
        <v>1807</v>
      </c>
      <c r="D1319" s="1" t="s">
        <v>1870</v>
      </c>
      <c r="E1319" s="1" t="s">
        <v>32</v>
      </c>
      <c r="F1319" s="1" t="s">
        <v>20</v>
      </c>
      <c r="G1319" s="1" t="s">
        <v>2029</v>
      </c>
      <c r="H1319" s="1" t="s">
        <v>22</v>
      </c>
      <c r="I1319" s="1">
        <v>44</v>
      </c>
      <c r="J1319" s="1">
        <v>25954</v>
      </c>
      <c r="K1319" s="1" t="s">
        <v>23</v>
      </c>
      <c r="L1319" s="1" t="s">
        <v>28</v>
      </c>
      <c r="M1319" s="1" t="s">
        <v>1100</v>
      </c>
      <c r="N1319" s="1">
        <v>16500</v>
      </c>
      <c r="O1319" s="12">
        <v>17800</v>
      </c>
      <c r="P1319" s="3" t="s">
        <v>68</v>
      </c>
      <c r="Q1319" s="1" cm="1">
        <f t="array" ref="Q1319">VALUE(INDEX(_xlfn.TEXTSPLIT(P1319, " "), 4))</f>
        <v>2014</v>
      </c>
      <c r="R1319" s="1" t="str">
        <f t="shared" si="20"/>
        <v>Honda Accord EX-L V-6</v>
      </c>
      <c r="S1319" s="1" t="str" cm="1">
        <f t="array" ref="S1319">_xlfn.IFS(I1319 &gt;= 40, "High", I1319&gt;=20, "Medium", I1319&lt;20, "Low")</f>
        <v>High</v>
      </c>
      <c r="T1319" s="1" t="str" cm="1">
        <f t="array" ref="T1319">_xlfn.IFS(O1319&lt;18200, "Low", O1319&lt;=50000, "Medium", O1319&gt;50000, "High")</f>
        <v>Low</v>
      </c>
    </row>
    <row r="1320" spans="1:20" x14ac:dyDescent="0.25">
      <c r="A1320" s="2">
        <v>2012</v>
      </c>
      <c r="B1320" s="1" t="s">
        <v>85</v>
      </c>
      <c r="C1320" s="1" t="s">
        <v>1919</v>
      </c>
      <c r="D1320" s="1" t="s">
        <v>1920</v>
      </c>
      <c r="E1320" s="1" t="s">
        <v>738</v>
      </c>
      <c r="F1320" s="1" t="s">
        <v>20</v>
      </c>
      <c r="G1320" s="1" t="s">
        <v>2030</v>
      </c>
      <c r="H1320" s="1" t="s">
        <v>22</v>
      </c>
      <c r="I1320" s="1">
        <v>19</v>
      </c>
      <c r="J1320" s="1">
        <v>70018</v>
      </c>
      <c r="K1320" s="1" t="s">
        <v>101</v>
      </c>
      <c r="L1320" s="1" t="s">
        <v>34</v>
      </c>
      <c r="M1320" s="1" t="s">
        <v>742</v>
      </c>
      <c r="N1320" s="1">
        <v>12000</v>
      </c>
      <c r="O1320" s="12">
        <v>11000</v>
      </c>
      <c r="P1320" s="3" t="s">
        <v>57</v>
      </c>
      <c r="Q1320" s="1" cm="1">
        <f t="array" ref="Q1320">VALUE(INDEX(_xlfn.TEXTSPLIT(P1320, " "), 4))</f>
        <v>2014</v>
      </c>
      <c r="R1320" s="1" t="str">
        <f t="shared" si="20"/>
        <v>Ford Transit Connect Cargo Van XLT</v>
      </c>
      <c r="S1320" s="1" t="str" cm="1">
        <f t="array" ref="S1320">_xlfn.IFS(I1320 &gt;= 40, "High", I1320&gt;=20, "Medium", I1320&lt;20, "Low")</f>
        <v>Low</v>
      </c>
      <c r="T1320" s="1" t="str" cm="1">
        <f t="array" ref="T1320">_xlfn.IFS(O1320&lt;18200, "Low", O1320&lt;=50000, "Medium", O1320&gt;50000, "High")</f>
        <v>Low</v>
      </c>
    </row>
    <row r="1321" spans="1:20" x14ac:dyDescent="0.25">
      <c r="A1321" s="2">
        <v>2012</v>
      </c>
      <c r="B1321" s="1" t="s">
        <v>85</v>
      </c>
      <c r="C1321" s="1" t="s">
        <v>1953</v>
      </c>
      <c r="D1321" s="1" t="s">
        <v>87</v>
      </c>
      <c r="E1321" s="1" t="s">
        <v>32</v>
      </c>
      <c r="F1321" s="1" t="s">
        <v>20</v>
      </c>
      <c r="G1321" s="1" t="s">
        <v>2031</v>
      </c>
      <c r="H1321" s="1" t="s">
        <v>22</v>
      </c>
      <c r="I1321" s="1">
        <v>2</v>
      </c>
      <c r="J1321" s="1">
        <v>56916</v>
      </c>
      <c r="K1321" s="1" t="s">
        <v>23</v>
      </c>
      <c r="L1321" s="1" t="s">
        <v>82</v>
      </c>
      <c r="M1321" s="1" t="s">
        <v>51</v>
      </c>
      <c r="N1321" s="1">
        <v>11800</v>
      </c>
      <c r="O1321" s="12">
        <v>10200</v>
      </c>
      <c r="P1321" s="3" t="s">
        <v>84</v>
      </c>
      <c r="Q1321" s="1" cm="1">
        <f t="array" ref="Q1321">VALUE(INDEX(_xlfn.TEXTSPLIT(P1321, " "), 4))</f>
        <v>2014</v>
      </c>
      <c r="R1321" s="1" t="str">
        <f t="shared" si="20"/>
        <v>Ford Taurus SE</v>
      </c>
      <c r="S1321" s="1" t="str" cm="1">
        <f t="array" ref="S1321">_xlfn.IFS(I1321 &gt;= 40, "High", I1321&gt;=20, "Medium", I1321&lt;20, "Low")</f>
        <v>Low</v>
      </c>
      <c r="T1321" s="1" t="str" cm="1">
        <f t="array" ref="T1321">_xlfn.IFS(O1321&lt;18200, "Low", O1321&lt;=50000, "Medium", O1321&gt;50000, "High")</f>
        <v>Low</v>
      </c>
    </row>
    <row r="1322" spans="1:20" x14ac:dyDescent="0.25">
      <c r="A1322" s="2">
        <v>2012</v>
      </c>
      <c r="B1322" s="1" t="s">
        <v>98</v>
      </c>
      <c r="C1322" s="1" t="s">
        <v>99</v>
      </c>
      <c r="D1322" s="1" t="s">
        <v>348</v>
      </c>
      <c r="E1322" s="1" t="s">
        <v>32</v>
      </c>
      <c r="F1322" s="1" t="s">
        <v>20</v>
      </c>
      <c r="G1322" s="1" t="s">
        <v>2032</v>
      </c>
      <c r="H1322" s="1" t="s">
        <v>22</v>
      </c>
      <c r="I1322" s="1">
        <v>35</v>
      </c>
      <c r="J1322" s="1">
        <v>60874</v>
      </c>
      <c r="K1322" s="1" t="s">
        <v>34</v>
      </c>
      <c r="L1322" s="1" t="s">
        <v>34</v>
      </c>
      <c r="M1322" s="1" t="s">
        <v>625</v>
      </c>
      <c r="N1322" s="1">
        <v>9875</v>
      </c>
      <c r="O1322" s="12">
        <v>10000</v>
      </c>
      <c r="P1322" s="3" t="s">
        <v>362</v>
      </c>
      <c r="Q1322" s="1" cm="1">
        <f t="array" ref="Q1322">VALUE(INDEX(_xlfn.TEXTSPLIT(P1322, " "), 4))</f>
        <v>2014</v>
      </c>
      <c r="R1322" s="1" t="str">
        <f t="shared" si="20"/>
        <v>Hyundai Sonata GLS</v>
      </c>
      <c r="S1322" s="1" t="str" cm="1">
        <f t="array" ref="S1322">_xlfn.IFS(I1322 &gt;= 40, "High", I1322&gt;=20, "Medium", I1322&lt;20, "Low")</f>
        <v>Medium</v>
      </c>
      <c r="T1322" s="1" t="str" cm="1">
        <f t="array" ref="T1322">_xlfn.IFS(O1322&lt;18200, "Low", O1322&lt;=50000, "Medium", O1322&gt;50000, "High")</f>
        <v>Low</v>
      </c>
    </row>
    <row r="1323" spans="1:20" x14ac:dyDescent="0.25">
      <c r="A1323" s="2">
        <v>2012</v>
      </c>
      <c r="B1323" s="1" t="s">
        <v>1806</v>
      </c>
      <c r="C1323" s="1" t="s">
        <v>1912</v>
      </c>
      <c r="D1323" s="1" t="s">
        <v>1868</v>
      </c>
      <c r="E1323" s="1" t="s">
        <v>227</v>
      </c>
      <c r="F1323" s="1" t="s">
        <v>20</v>
      </c>
      <c r="G1323" s="1" t="s">
        <v>2033</v>
      </c>
      <c r="H1323" s="1" t="s">
        <v>22</v>
      </c>
      <c r="I1323" s="1">
        <v>41</v>
      </c>
      <c r="J1323" s="1">
        <v>32023</v>
      </c>
      <c r="K1323" s="1" t="s">
        <v>23</v>
      </c>
      <c r="L1323" s="1" t="s">
        <v>24</v>
      </c>
      <c r="M1323" s="1" t="s">
        <v>1266</v>
      </c>
      <c r="N1323" s="1">
        <v>18400</v>
      </c>
      <c r="O1323" s="12">
        <v>18400</v>
      </c>
      <c r="P1323" s="3" t="s">
        <v>68</v>
      </c>
      <c r="Q1323" s="1" cm="1">
        <f t="array" ref="Q1323">VALUE(INDEX(_xlfn.TEXTSPLIT(P1323, " "), 4))</f>
        <v>2014</v>
      </c>
      <c r="R1323" s="1" t="str">
        <f t="shared" si="20"/>
        <v>Honda Crosstour EX-L</v>
      </c>
      <c r="S1323" s="1" t="str" cm="1">
        <f t="array" ref="S1323">_xlfn.IFS(I1323 &gt;= 40, "High", I1323&gt;=20, "Medium", I1323&lt;20, "Low")</f>
        <v>High</v>
      </c>
      <c r="T1323" s="1" t="str" cm="1">
        <f t="array" ref="T1323">_xlfn.IFS(O1323&lt;18200, "Low", O1323&lt;=50000, "Medium", O1323&gt;50000, "High")</f>
        <v>Medium</v>
      </c>
    </row>
    <row r="1324" spans="1:20" x14ac:dyDescent="0.25">
      <c r="A1324" s="2">
        <v>2012</v>
      </c>
      <c r="B1324" s="1" t="s">
        <v>1806</v>
      </c>
      <c r="C1324" s="1" t="s">
        <v>1829</v>
      </c>
      <c r="D1324" s="1" t="s">
        <v>18</v>
      </c>
      <c r="E1324" s="1" t="s">
        <v>32</v>
      </c>
      <c r="F1324" s="1" t="s">
        <v>20</v>
      </c>
      <c r="G1324" s="1" t="s">
        <v>2034</v>
      </c>
      <c r="H1324" s="1" t="s">
        <v>22</v>
      </c>
      <c r="I1324" s="1">
        <v>26</v>
      </c>
      <c r="J1324" s="1">
        <v>21036</v>
      </c>
      <c r="K1324" s="1" t="s">
        <v>34</v>
      </c>
      <c r="L1324" s="1" t="s">
        <v>34</v>
      </c>
      <c r="M1324" s="1" t="s">
        <v>1561</v>
      </c>
      <c r="N1324" s="1">
        <v>11850</v>
      </c>
      <c r="O1324" s="12">
        <v>11300</v>
      </c>
      <c r="P1324" s="3" t="s">
        <v>57</v>
      </c>
      <c r="Q1324" s="1" cm="1">
        <f t="array" ref="Q1324">VALUE(INDEX(_xlfn.TEXTSPLIT(P1324, " "), 4))</f>
        <v>2014</v>
      </c>
      <c r="R1324" s="1" t="str">
        <f t="shared" si="20"/>
        <v>Honda Civic LX</v>
      </c>
      <c r="S1324" s="1" t="str" cm="1">
        <f t="array" ref="S1324">_xlfn.IFS(I1324 &gt;= 40, "High", I1324&gt;=20, "Medium", I1324&lt;20, "Low")</f>
        <v>Medium</v>
      </c>
      <c r="T1324" s="1" t="str" cm="1">
        <f t="array" ref="T1324">_xlfn.IFS(O1324&lt;18200, "Low", O1324&lt;=50000, "Medium", O1324&gt;50000, "High")</f>
        <v>Low</v>
      </c>
    </row>
    <row r="1325" spans="1:20" x14ac:dyDescent="0.25">
      <c r="A1325" s="2">
        <v>2012</v>
      </c>
      <c r="B1325" s="1" t="s">
        <v>318</v>
      </c>
      <c r="C1325" s="1" t="s">
        <v>331</v>
      </c>
      <c r="D1325" s="1" t="s">
        <v>2035</v>
      </c>
      <c r="E1325" s="1" t="s">
        <v>19</v>
      </c>
      <c r="F1325" s="1" t="s">
        <v>20</v>
      </c>
      <c r="G1325" s="1" t="s">
        <v>2036</v>
      </c>
      <c r="H1325" s="1" t="s">
        <v>22</v>
      </c>
      <c r="I1325" s="1">
        <v>35</v>
      </c>
      <c r="J1325" s="1">
        <v>31204</v>
      </c>
      <c r="K1325" s="1" t="s">
        <v>24</v>
      </c>
      <c r="L1325" s="1" t="s">
        <v>28</v>
      </c>
      <c r="M1325" s="1" t="s">
        <v>56</v>
      </c>
      <c r="N1325" s="1">
        <v>30000</v>
      </c>
      <c r="O1325" s="12">
        <v>26250</v>
      </c>
      <c r="P1325" s="3" t="s">
        <v>143</v>
      </c>
      <c r="Q1325" s="1" cm="1">
        <f t="array" ref="Q1325">VALUE(INDEX(_xlfn.TEXTSPLIT(P1325, " "), 4))</f>
        <v>2014</v>
      </c>
      <c r="R1325" s="1" t="str">
        <f t="shared" si="20"/>
        <v>Infiniti FX FX35</v>
      </c>
      <c r="S1325" s="1" t="str" cm="1">
        <f t="array" ref="S1325">_xlfn.IFS(I1325 &gt;= 40, "High", I1325&gt;=20, "Medium", I1325&lt;20, "Low")</f>
        <v>Medium</v>
      </c>
      <c r="T1325" s="1" t="str" cm="1">
        <f t="array" ref="T1325">_xlfn.IFS(O1325&lt;18200, "Low", O1325&lt;=50000, "Medium", O1325&gt;50000, "High")</f>
        <v>Medium</v>
      </c>
    </row>
    <row r="1326" spans="1:20" x14ac:dyDescent="0.25">
      <c r="A1326" s="2">
        <v>2012</v>
      </c>
      <c r="B1326" s="1" t="s">
        <v>1806</v>
      </c>
      <c r="C1326" s="1" t="s">
        <v>1912</v>
      </c>
      <c r="D1326" s="1" t="s">
        <v>1868</v>
      </c>
      <c r="E1326" s="1" t="s">
        <v>227</v>
      </c>
      <c r="F1326" s="1" t="s">
        <v>20</v>
      </c>
      <c r="G1326" s="1" t="s">
        <v>2037</v>
      </c>
      <c r="H1326" s="1" t="s">
        <v>22</v>
      </c>
      <c r="I1326" s="1">
        <v>25</v>
      </c>
      <c r="J1326" s="1">
        <v>27308</v>
      </c>
      <c r="K1326" s="1" t="s">
        <v>34</v>
      </c>
      <c r="L1326" s="1" t="s">
        <v>28</v>
      </c>
      <c r="M1326" s="1" t="s">
        <v>1266</v>
      </c>
      <c r="N1326" s="1">
        <v>18850</v>
      </c>
      <c r="O1326" s="12">
        <v>16600</v>
      </c>
      <c r="P1326" s="3" t="s">
        <v>68</v>
      </c>
      <c r="Q1326" s="1" cm="1">
        <f t="array" ref="Q1326">VALUE(INDEX(_xlfn.TEXTSPLIT(P1326, " "), 4))</f>
        <v>2014</v>
      </c>
      <c r="R1326" s="1" t="str">
        <f t="shared" si="20"/>
        <v>Honda Crosstour EX-L</v>
      </c>
      <c r="S1326" s="1" t="str" cm="1">
        <f t="array" ref="S1326">_xlfn.IFS(I1326 &gt;= 40, "High", I1326&gt;=20, "Medium", I1326&lt;20, "Low")</f>
        <v>Medium</v>
      </c>
      <c r="T1326" s="1" t="str" cm="1">
        <f t="array" ref="T1326">_xlfn.IFS(O1326&lt;18200, "Low", O1326&lt;=50000, "Medium", O1326&gt;50000, "High")</f>
        <v>Low</v>
      </c>
    </row>
    <row r="1327" spans="1:20" x14ac:dyDescent="0.25">
      <c r="A1327" s="2">
        <v>2012</v>
      </c>
      <c r="B1327" s="1" t="s">
        <v>98</v>
      </c>
      <c r="C1327" s="1" t="s">
        <v>219</v>
      </c>
      <c r="D1327" s="1" t="s">
        <v>337</v>
      </c>
      <c r="E1327" s="1" t="s">
        <v>32</v>
      </c>
      <c r="F1327" s="1" t="s">
        <v>20</v>
      </c>
      <c r="G1327" s="1" t="s">
        <v>2038</v>
      </c>
      <c r="H1327" s="1" t="s">
        <v>22</v>
      </c>
      <c r="I1327" s="1">
        <v>19</v>
      </c>
      <c r="J1327" s="1">
        <v>44225</v>
      </c>
      <c r="K1327" s="1" t="s">
        <v>24</v>
      </c>
      <c r="L1327" s="1" t="s">
        <v>34</v>
      </c>
      <c r="M1327" s="1" t="s">
        <v>109</v>
      </c>
      <c r="N1327" s="1">
        <v>11700</v>
      </c>
      <c r="O1327" s="12">
        <v>10600</v>
      </c>
      <c r="P1327" s="3" t="s">
        <v>68</v>
      </c>
      <c r="Q1327" s="1" cm="1">
        <f t="array" ref="Q1327">VALUE(INDEX(_xlfn.TEXTSPLIT(P1327, " "), 4))</f>
        <v>2014</v>
      </c>
      <c r="R1327" s="1" t="str">
        <f t="shared" si="20"/>
        <v>Hyundai Elantra Limited</v>
      </c>
      <c r="S1327" s="1" t="str" cm="1">
        <f t="array" ref="S1327">_xlfn.IFS(I1327 &gt;= 40, "High", I1327&gt;=20, "Medium", I1327&lt;20, "Low")</f>
        <v>Low</v>
      </c>
      <c r="T1327" s="1" t="str" cm="1">
        <f t="array" ref="T1327">_xlfn.IFS(O1327&lt;18200, "Low", O1327&lt;=50000, "Medium", O1327&gt;50000, "High")</f>
        <v>Low</v>
      </c>
    </row>
    <row r="1328" spans="1:20" x14ac:dyDescent="0.25">
      <c r="A1328" s="2">
        <v>2012</v>
      </c>
      <c r="B1328" s="1" t="s">
        <v>98</v>
      </c>
      <c r="C1328" s="1" t="s">
        <v>99</v>
      </c>
      <c r="D1328" s="1" t="s">
        <v>337</v>
      </c>
      <c r="E1328" s="1" t="s">
        <v>32</v>
      </c>
      <c r="F1328" s="1" t="s">
        <v>20</v>
      </c>
      <c r="G1328" s="1" t="s">
        <v>2039</v>
      </c>
      <c r="H1328" s="1" t="s">
        <v>22</v>
      </c>
      <c r="I1328" s="1">
        <v>33</v>
      </c>
      <c r="J1328" s="1">
        <v>44051</v>
      </c>
      <c r="K1328" s="1" t="s">
        <v>23</v>
      </c>
      <c r="L1328" s="1" t="s">
        <v>82</v>
      </c>
      <c r="M1328" s="1" t="s">
        <v>350</v>
      </c>
      <c r="N1328" s="1">
        <v>15050</v>
      </c>
      <c r="O1328" s="12">
        <v>15000</v>
      </c>
      <c r="P1328" s="3" t="s">
        <v>84</v>
      </c>
      <c r="Q1328" s="1" cm="1">
        <f t="array" ref="Q1328">VALUE(INDEX(_xlfn.TEXTSPLIT(P1328, " "), 4))</f>
        <v>2014</v>
      </c>
      <c r="R1328" s="1" t="str">
        <f t="shared" si="20"/>
        <v>Hyundai Sonata Limited</v>
      </c>
      <c r="S1328" s="1" t="str" cm="1">
        <f t="array" ref="S1328">_xlfn.IFS(I1328 &gt;= 40, "High", I1328&gt;=20, "Medium", I1328&lt;20, "Low")</f>
        <v>Medium</v>
      </c>
      <c r="T1328" s="1" t="str" cm="1">
        <f t="array" ref="T1328">_xlfn.IFS(O1328&lt;18200, "Low", O1328&lt;=50000, "Medium", O1328&gt;50000, "High")</f>
        <v>Low</v>
      </c>
    </row>
    <row r="1329" spans="1:20" x14ac:dyDescent="0.25">
      <c r="A1329" s="2">
        <v>2012</v>
      </c>
      <c r="B1329" s="1" t="s">
        <v>318</v>
      </c>
      <c r="C1329" s="1" t="s">
        <v>1972</v>
      </c>
      <c r="D1329" s="1" t="s">
        <v>1965</v>
      </c>
      <c r="E1329" s="1" t="s">
        <v>1972</v>
      </c>
      <c r="F1329" s="1" t="s">
        <v>20</v>
      </c>
      <c r="G1329" s="1" t="s">
        <v>2040</v>
      </c>
      <c r="H1329" s="1" t="s">
        <v>22</v>
      </c>
      <c r="I1329" s="1">
        <v>38</v>
      </c>
      <c r="J1329" s="1">
        <v>25421</v>
      </c>
      <c r="K1329" s="1" t="s">
        <v>24</v>
      </c>
      <c r="L1329" s="1" t="s">
        <v>24</v>
      </c>
      <c r="M1329" s="1" t="s">
        <v>322</v>
      </c>
      <c r="N1329" s="1">
        <v>25500</v>
      </c>
      <c r="O1329" s="12">
        <v>27500</v>
      </c>
      <c r="P1329" s="3" t="s">
        <v>46</v>
      </c>
      <c r="Q1329" s="1" cm="1">
        <f t="array" ref="Q1329">VALUE(INDEX(_xlfn.TEXTSPLIT(P1329, " "), 4))</f>
        <v>2014</v>
      </c>
      <c r="R1329" s="1" t="str">
        <f t="shared" si="20"/>
        <v>Infiniti G Convertible G37</v>
      </c>
      <c r="S1329" s="1" t="str" cm="1">
        <f t="array" ref="S1329">_xlfn.IFS(I1329 &gt;= 40, "High", I1329&gt;=20, "Medium", I1329&lt;20, "Low")</f>
        <v>Medium</v>
      </c>
      <c r="T1329" s="1" t="str" cm="1">
        <f t="array" ref="T1329">_xlfn.IFS(O1329&lt;18200, "Low", O1329&lt;=50000, "Medium", O1329&gt;50000, "High")</f>
        <v>Medium</v>
      </c>
    </row>
    <row r="1330" spans="1:20" x14ac:dyDescent="0.25">
      <c r="A1330" s="2">
        <v>2012</v>
      </c>
      <c r="B1330" s="1" t="s">
        <v>318</v>
      </c>
      <c r="C1330" s="1" t="s">
        <v>323</v>
      </c>
      <c r="D1330" s="1" t="s">
        <v>1817</v>
      </c>
      <c r="E1330" s="1" t="s">
        <v>323</v>
      </c>
      <c r="F1330" s="1" t="s">
        <v>20</v>
      </c>
      <c r="G1330" s="1" t="s">
        <v>2041</v>
      </c>
      <c r="H1330" s="1" t="s">
        <v>22</v>
      </c>
      <c r="I1330" s="1">
        <v>37</v>
      </c>
      <c r="J1330" s="1">
        <v>27599</v>
      </c>
      <c r="K1330" s="1" t="s">
        <v>94</v>
      </c>
      <c r="L1330" s="1" t="s">
        <v>34</v>
      </c>
      <c r="M1330" s="1" t="s">
        <v>322</v>
      </c>
      <c r="N1330" s="1">
        <v>19050</v>
      </c>
      <c r="O1330" s="12">
        <v>19000</v>
      </c>
      <c r="P1330" s="3" t="s">
        <v>46</v>
      </c>
      <c r="Q1330" s="1" cm="1">
        <f t="array" ref="Q1330">VALUE(INDEX(_xlfn.TEXTSPLIT(P1330, " "), 4))</f>
        <v>2014</v>
      </c>
      <c r="R1330" s="1" t="str">
        <f t="shared" si="20"/>
        <v>Infiniti G Sedan G25</v>
      </c>
      <c r="S1330" s="1" t="str" cm="1">
        <f t="array" ref="S1330">_xlfn.IFS(I1330 &gt;= 40, "High", I1330&gt;=20, "Medium", I1330&lt;20, "Low")</f>
        <v>Medium</v>
      </c>
      <c r="T1330" s="1" t="str" cm="1">
        <f t="array" ref="T1330">_xlfn.IFS(O1330&lt;18200, "Low", O1330&lt;=50000, "Medium", O1330&gt;50000, "High")</f>
        <v>Medium</v>
      </c>
    </row>
    <row r="1331" spans="1:20" x14ac:dyDescent="0.25">
      <c r="A1331" s="2">
        <v>2012</v>
      </c>
      <c r="B1331" s="1" t="s">
        <v>318</v>
      </c>
      <c r="C1331" s="1" t="s">
        <v>323</v>
      </c>
      <c r="D1331" s="1" t="s">
        <v>1817</v>
      </c>
      <c r="E1331" s="1" t="s">
        <v>323</v>
      </c>
      <c r="F1331" s="1" t="s">
        <v>20</v>
      </c>
      <c r="G1331" s="1" t="s">
        <v>2042</v>
      </c>
      <c r="H1331" s="1" t="s">
        <v>22</v>
      </c>
      <c r="I1331" s="1">
        <v>43</v>
      </c>
      <c r="J1331" s="1">
        <v>18752</v>
      </c>
      <c r="K1331" s="1" t="s">
        <v>23</v>
      </c>
      <c r="L1331" s="1" t="s">
        <v>24</v>
      </c>
      <c r="M1331" s="1" t="s">
        <v>322</v>
      </c>
      <c r="N1331" s="1">
        <v>19900</v>
      </c>
      <c r="O1331" s="12">
        <v>20000</v>
      </c>
      <c r="P1331" s="3" t="s">
        <v>46</v>
      </c>
      <c r="Q1331" s="1" cm="1">
        <f t="array" ref="Q1331">VALUE(INDEX(_xlfn.TEXTSPLIT(P1331, " "), 4))</f>
        <v>2014</v>
      </c>
      <c r="R1331" s="1" t="str">
        <f t="shared" si="20"/>
        <v>Infiniti G Sedan G25</v>
      </c>
      <c r="S1331" s="1" t="str" cm="1">
        <f t="array" ref="S1331">_xlfn.IFS(I1331 &gt;= 40, "High", I1331&gt;=20, "Medium", I1331&lt;20, "Low")</f>
        <v>High</v>
      </c>
      <c r="T1331" s="1" t="str" cm="1">
        <f t="array" ref="T1331">_xlfn.IFS(O1331&lt;18200, "Low", O1331&lt;=50000, "Medium", O1331&gt;50000, "High")</f>
        <v>Medium</v>
      </c>
    </row>
    <row r="1332" spans="1:20" x14ac:dyDescent="0.25">
      <c r="A1332" s="2">
        <v>2012</v>
      </c>
      <c r="B1332" s="1" t="s">
        <v>1925</v>
      </c>
      <c r="C1332" s="1" t="s">
        <v>2043</v>
      </c>
      <c r="D1332" s="1" t="s">
        <v>2044</v>
      </c>
      <c r="E1332" s="1" t="s">
        <v>19</v>
      </c>
      <c r="F1332" s="1" t="s">
        <v>20</v>
      </c>
      <c r="G1332" s="1" t="s">
        <v>2045</v>
      </c>
      <c r="H1332" s="1" t="s">
        <v>22</v>
      </c>
      <c r="I1332" s="1">
        <v>43</v>
      </c>
      <c r="J1332" s="1">
        <v>64883</v>
      </c>
      <c r="K1332" s="1" t="s">
        <v>91</v>
      </c>
      <c r="L1332" s="1" t="s">
        <v>24</v>
      </c>
      <c r="M1332" s="1" t="s">
        <v>1550</v>
      </c>
      <c r="N1332" s="1">
        <v>30900</v>
      </c>
      <c r="O1332" s="12">
        <v>29000</v>
      </c>
      <c r="P1332" s="3" t="s">
        <v>26</v>
      </c>
      <c r="Q1332" s="1" cm="1">
        <f t="array" ref="Q1332">VALUE(INDEX(_xlfn.TEXTSPLIT(P1332, " "), 4))</f>
        <v>2014</v>
      </c>
      <c r="R1332" s="1" t="str">
        <f t="shared" si="20"/>
        <v>GMC Yukon Denali</v>
      </c>
      <c r="S1332" s="1" t="str" cm="1">
        <f t="array" ref="S1332">_xlfn.IFS(I1332 &gt;= 40, "High", I1332&gt;=20, "Medium", I1332&lt;20, "Low")</f>
        <v>High</v>
      </c>
      <c r="T1332" s="1" t="str" cm="1">
        <f t="array" ref="T1332">_xlfn.IFS(O1332&lt;18200, "Low", O1332&lt;=50000, "Medium", O1332&gt;50000, "High")</f>
        <v>Medium</v>
      </c>
    </row>
    <row r="1333" spans="1:20" x14ac:dyDescent="0.25">
      <c r="A1333" s="2">
        <v>2012</v>
      </c>
      <c r="B1333" s="1" t="s">
        <v>318</v>
      </c>
      <c r="C1333" s="1" t="s">
        <v>319</v>
      </c>
      <c r="D1333" s="1" t="s">
        <v>1965</v>
      </c>
      <c r="E1333" s="1" t="s">
        <v>319</v>
      </c>
      <c r="F1333" s="1" t="s">
        <v>20</v>
      </c>
      <c r="G1333" s="1" t="s">
        <v>2046</v>
      </c>
      <c r="H1333" s="1" t="s">
        <v>22</v>
      </c>
      <c r="I1333" s="1">
        <v>44</v>
      </c>
      <c r="J1333" s="1">
        <v>11090</v>
      </c>
      <c r="K1333" s="1" t="s">
        <v>24</v>
      </c>
      <c r="L1333" s="1" t="s">
        <v>34</v>
      </c>
      <c r="M1333" s="1" t="s">
        <v>322</v>
      </c>
      <c r="N1333" s="1">
        <v>23800</v>
      </c>
      <c r="O1333" s="12">
        <v>24000</v>
      </c>
      <c r="P1333" s="3" t="s">
        <v>46</v>
      </c>
      <c r="Q1333" s="1" cm="1">
        <f t="array" ref="Q1333">VALUE(INDEX(_xlfn.TEXTSPLIT(P1333, " "), 4))</f>
        <v>2014</v>
      </c>
      <c r="R1333" s="1" t="str">
        <f t="shared" si="20"/>
        <v>Infiniti G Coupe G37</v>
      </c>
      <c r="S1333" s="1" t="str" cm="1">
        <f t="array" ref="S1333">_xlfn.IFS(I1333 &gt;= 40, "High", I1333&gt;=20, "Medium", I1333&lt;20, "Low")</f>
        <v>High</v>
      </c>
      <c r="T1333" s="1" t="str" cm="1">
        <f t="array" ref="T1333">_xlfn.IFS(O1333&lt;18200, "Low", O1333&lt;=50000, "Medium", O1333&gt;50000, "High")</f>
        <v>Medium</v>
      </c>
    </row>
    <row r="1334" spans="1:20" x14ac:dyDescent="0.25">
      <c r="A1334" s="2">
        <v>2012</v>
      </c>
      <c r="B1334" s="1" t="s">
        <v>98</v>
      </c>
      <c r="C1334" s="1" t="s">
        <v>340</v>
      </c>
      <c r="D1334" s="1">
        <v>3.8</v>
      </c>
      <c r="E1334" s="1" t="s">
        <v>32</v>
      </c>
      <c r="F1334" s="1" t="s">
        <v>20</v>
      </c>
      <c r="G1334" s="1" t="s">
        <v>2047</v>
      </c>
      <c r="H1334" s="1" t="s">
        <v>22</v>
      </c>
      <c r="I1334" s="1">
        <v>19</v>
      </c>
      <c r="J1334" s="1">
        <v>29454</v>
      </c>
      <c r="K1334" s="1" t="s">
        <v>24</v>
      </c>
      <c r="L1334" s="1" t="s">
        <v>24</v>
      </c>
      <c r="M1334" s="1" t="s">
        <v>56</v>
      </c>
      <c r="N1334" s="1">
        <v>19300</v>
      </c>
      <c r="O1334" s="12">
        <v>14400</v>
      </c>
      <c r="P1334" s="3" t="s">
        <v>2048</v>
      </c>
      <c r="Q1334" s="1" cm="1">
        <f t="array" ref="Q1334">VALUE(INDEX(_xlfn.TEXTSPLIT(P1334, " "), 4))</f>
        <v>2015</v>
      </c>
      <c r="R1334" s="1" t="str">
        <f t="shared" si="20"/>
        <v>Hyundai Genesis 3.8</v>
      </c>
      <c r="S1334" s="1" t="str" cm="1">
        <f t="array" ref="S1334">_xlfn.IFS(I1334 &gt;= 40, "High", I1334&gt;=20, "Medium", I1334&lt;20, "Low")</f>
        <v>Low</v>
      </c>
      <c r="T1334" s="1" t="str" cm="1">
        <f t="array" ref="T1334">_xlfn.IFS(O1334&lt;18200, "Low", O1334&lt;=50000, "Medium", O1334&gt;50000, "High")</f>
        <v>Low</v>
      </c>
    </row>
    <row r="1335" spans="1:20" x14ac:dyDescent="0.25">
      <c r="A1335" s="2">
        <v>2012</v>
      </c>
      <c r="B1335" s="1" t="s">
        <v>98</v>
      </c>
      <c r="C1335" s="1" t="s">
        <v>2049</v>
      </c>
      <c r="D1335" s="1" t="s">
        <v>337</v>
      </c>
      <c r="E1335" s="1" t="s">
        <v>19</v>
      </c>
      <c r="F1335" s="1" t="s">
        <v>20</v>
      </c>
      <c r="G1335" s="1" t="s">
        <v>2050</v>
      </c>
      <c r="H1335" s="1" t="s">
        <v>22</v>
      </c>
      <c r="I1335" s="1">
        <v>45</v>
      </c>
      <c r="J1335" s="1">
        <v>24444</v>
      </c>
      <c r="K1335" s="1" t="s">
        <v>91</v>
      </c>
      <c r="L1335" s="1" t="s">
        <v>538</v>
      </c>
      <c r="M1335" s="1" t="s">
        <v>350</v>
      </c>
      <c r="N1335" s="1">
        <v>18050</v>
      </c>
      <c r="O1335" s="12">
        <v>19600</v>
      </c>
      <c r="P1335" s="3" t="s">
        <v>84</v>
      </c>
      <c r="Q1335" s="1" cm="1">
        <f t="array" ref="Q1335">VALUE(INDEX(_xlfn.TEXTSPLIT(P1335, " "), 4))</f>
        <v>2014</v>
      </c>
      <c r="R1335" s="1" t="str">
        <f t="shared" si="20"/>
        <v>Hyundai Veracruz Limited</v>
      </c>
      <c r="S1335" s="1" t="str" cm="1">
        <f t="array" ref="S1335">_xlfn.IFS(I1335 &gt;= 40, "High", I1335&gt;=20, "Medium", I1335&lt;20, "Low")</f>
        <v>High</v>
      </c>
      <c r="T1335" s="1" t="str" cm="1">
        <f t="array" ref="T1335">_xlfn.IFS(O1335&lt;18200, "Low", O1335&lt;=50000, "Medium", O1335&gt;50000, "High")</f>
        <v>Medium</v>
      </c>
    </row>
    <row r="1336" spans="1:20" x14ac:dyDescent="0.25">
      <c r="A1336" s="2">
        <v>2012</v>
      </c>
      <c r="B1336" s="1" t="s">
        <v>1806</v>
      </c>
      <c r="C1336" s="1" t="s">
        <v>1840</v>
      </c>
      <c r="D1336" s="1" t="s">
        <v>646</v>
      </c>
      <c r="E1336" s="1" t="s">
        <v>738</v>
      </c>
      <c r="F1336" s="1" t="s">
        <v>20</v>
      </c>
      <c r="G1336" s="1" t="s">
        <v>2051</v>
      </c>
      <c r="H1336" s="1" t="s">
        <v>22</v>
      </c>
      <c r="I1336" s="1">
        <v>46</v>
      </c>
      <c r="J1336" s="1">
        <v>37403</v>
      </c>
      <c r="K1336" s="1" t="s">
        <v>91</v>
      </c>
      <c r="L1336" s="1" t="s">
        <v>34</v>
      </c>
      <c r="M1336" s="1" t="s">
        <v>1888</v>
      </c>
      <c r="N1336" s="1">
        <v>26800</v>
      </c>
      <c r="O1336" s="12">
        <v>26500</v>
      </c>
      <c r="P1336" s="3" t="s">
        <v>143</v>
      </c>
      <c r="Q1336" s="1" cm="1">
        <f t="array" ref="Q1336">VALUE(INDEX(_xlfn.TEXTSPLIT(P1336, " "), 4))</f>
        <v>2014</v>
      </c>
      <c r="R1336" s="1" t="str">
        <f t="shared" si="20"/>
        <v>Honda Odyssey Touring</v>
      </c>
      <c r="S1336" s="1" t="str" cm="1">
        <f t="array" ref="S1336">_xlfn.IFS(I1336 &gt;= 40, "High", I1336&gt;=20, "Medium", I1336&lt;20, "Low")</f>
        <v>High</v>
      </c>
      <c r="T1336" s="1" t="str" cm="1">
        <f t="array" ref="T1336">_xlfn.IFS(O1336&lt;18200, "Low", O1336&lt;=50000, "Medium", O1336&gt;50000, "High")</f>
        <v>Medium</v>
      </c>
    </row>
    <row r="1337" spans="1:20" x14ac:dyDescent="0.25">
      <c r="A1337" s="2">
        <v>2012</v>
      </c>
      <c r="B1337" s="1" t="s">
        <v>1806</v>
      </c>
      <c r="C1337" s="1" t="s">
        <v>1829</v>
      </c>
      <c r="D1337" s="1" t="s">
        <v>2052</v>
      </c>
      <c r="E1337" s="1" t="s">
        <v>32</v>
      </c>
      <c r="F1337" s="1" t="s">
        <v>20</v>
      </c>
      <c r="G1337" s="1" t="s">
        <v>2053</v>
      </c>
      <c r="H1337" s="1" t="s">
        <v>22</v>
      </c>
      <c r="I1337" s="1">
        <v>34</v>
      </c>
      <c r="J1337" s="1">
        <v>24651</v>
      </c>
      <c r="K1337" s="1" t="s">
        <v>34</v>
      </c>
      <c r="L1337" s="1" t="s">
        <v>34</v>
      </c>
      <c r="M1337" s="1" t="s">
        <v>1266</v>
      </c>
      <c r="N1337" s="1">
        <v>11700</v>
      </c>
      <c r="O1337" s="12">
        <v>13400</v>
      </c>
      <c r="P1337" s="3" t="s">
        <v>68</v>
      </c>
      <c r="Q1337" s="1" cm="1">
        <f t="array" ref="Q1337">VALUE(INDEX(_xlfn.TEXTSPLIT(P1337, " "), 4))</f>
        <v>2014</v>
      </c>
      <c r="R1337" s="1" t="str">
        <f t="shared" si="20"/>
        <v>Honda Civic HF</v>
      </c>
      <c r="S1337" s="1" t="str" cm="1">
        <f t="array" ref="S1337">_xlfn.IFS(I1337 &gt;= 40, "High", I1337&gt;=20, "Medium", I1337&lt;20, "Low")</f>
        <v>Medium</v>
      </c>
      <c r="T1337" s="1" t="str" cm="1">
        <f t="array" ref="T1337">_xlfn.IFS(O1337&lt;18200, "Low", O1337&lt;=50000, "Medium", O1337&gt;50000, "High")</f>
        <v>Low</v>
      </c>
    </row>
    <row r="1338" spans="1:20" x14ac:dyDescent="0.25">
      <c r="A1338" s="2">
        <v>2012</v>
      </c>
      <c r="B1338" s="1" t="s">
        <v>1806</v>
      </c>
      <c r="C1338" s="1" t="s">
        <v>1829</v>
      </c>
      <c r="D1338" s="1" t="s">
        <v>18</v>
      </c>
      <c r="E1338" s="1" t="s">
        <v>32</v>
      </c>
      <c r="F1338" s="1" t="s">
        <v>20</v>
      </c>
      <c r="G1338" s="1" t="s">
        <v>2054</v>
      </c>
      <c r="H1338" s="1" t="s">
        <v>22</v>
      </c>
      <c r="I1338" s="1">
        <v>21</v>
      </c>
      <c r="J1338" s="1">
        <v>42543</v>
      </c>
      <c r="K1338" s="1" t="s">
        <v>91</v>
      </c>
      <c r="L1338" s="1" t="s">
        <v>28</v>
      </c>
      <c r="M1338" s="1" t="s">
        <v>1266</v>
      </c>
      <c r="N1338" s="1">
        <v>10700</v>
      </c>
      <c r="O1338" s="12">
        <v>11000</v>
      </c>
      <c r="P1338" s="3" t="s">
        <v>915</v>
      </c>
      <c r="Q1338" s="1" cm="1">
        <f t="array" ref="Q1338">VALUE(INDEX(_xlfn.TEXTSPLIT(P1338, " "), 4))</f>
        <v>2015</v>
      </c>
      <c r="R1338" s="1" t="str">
        <f t="shared" si="20"/>
        <v>Honda Civic LX</v>
      </c>
      <c r="S1338" s="1" t="str" cm="1">
        <f t="array" ref="S1338">_xlfn.IFS(I1338 &gt;= 40, "High", I1338&gt;=20, "Medium", I1338&lt;20, "Low")</f>
        <v>Medium</v>
      </c>
      <c r="T1338" s="1" t="str" cm="1">
        <f t="array" ref="T1338">_xlfn.IFS(O1338&lt;18200, "Low", O1338&lt;=50000, "Medium", O1338&gt;50000, "High")</f>
        <v>Low</v>
      </c>
    </row>
    <row r="1339" spans="1:20" x14ac:dyDescent="0.25">
      <c r="A1339" s="2">
        <v>2012</v>
      </c>
      <c r="B1339" s="1" t="s">
        <v>318</v>
      </c>
      <c r="C1339" s="1" t="s">
        <v>323</v>
      </c>
      <c r="D1339" s="1" t="s">
        <v>1817</v>
      </c>
      <c r="E1339" s="1" t="s">
        <v>323</v>
      </c>
      <c r="F1339" s="1" t="s">
        <v>20</v>
      </c>
      <c r="G1339" s="1" t="s">
        <v>2055</v>
      </c>
      <c r="H1339" s="1" t="s">
        <v>22</v>
      </c>
      <c r="I1339" s="1">
        <v>38</v>
      </c>
      <c r="J1339" s="1">
        <v>31239</v>
      </c>
      <c r="K1339" s="1" t="s">
        <v>24</v>
      </c>
      <c r="L1339" s="1" t="s">
        <v>24</v>
      </c>
      <c r="M1339" s="1" t="s">
        <v>322</v>
      </c>
      <c r="N1339" s="1">
        <v>18700</v>
      </c>
      <c r="O1339" s="12">
        <v>19000</v>
      </c>
      <c r="P1339" s="3" t="s">
        <v>46</v>
      </c>
      <c r="Q1339" s="1" cm="1">
        <f t="array" ref="Q1339">VALUE(INDEX(_xlfn.TEXTSPLIT(P1339, " "), 4))</f>
        <v>2014</v>
      </c>
      <c r="R1339" s="1" t="str">
        <f t="shared" si="20"/>
        <v>Infiniti G Sedan G25</v>
      </c>
      <c r="S1339" s="1" t="str" cm="1">
        <f t="array" ref="S1339">_xlfn.IFS(I1339 &gt;= 40, "High", I1339&gt;=20, "Medium", I1339&lt;20, "Low")</f>
        <v>Medium</v>
      </c>
      <c r="T1339" s="1" t="str" cm="1">
        <f t="array" ref="T1339">_xlfn.IFS(O1339&lt;18200, "Low", O1339&lt;=50000, "Medium", O1339&gt;50000, "High")</f>
        <v>Medium</v>
      </c>
    </row>
    <row r="1340" spans="1:20" x14ac:dyDescent="0.25">
      <c r="A1340" s="2">
        <v>2012</v>
      </c>
      <c r="B1340" s="1" t="s">
        <v>1806</v>
      </c>
      <c r="C1340" s="1" t="s">
        <v>1829</v>
      </c>
      <c r="D1340" s="1" t="s">
        <v>18</v>
      </c>
      <c r="E1340" s="1" t="s">
        <v>107</v>
      </c>
      <c r="F1340" s="1" t="s">
        <v>20</v>
      </c>
      <c r="G1340" s="1" t="s">
        <v>2056</v>
      </c>
      <c r="H1340" s="1" t="s">
        <v>22</v>
      </c>
      <c r="I1340" s="1">
        <v>25</v>
      </c>
      <c r="J1340" s="1">
        <v>25315</v>
      </c>
      <c r="K1340" s="1" t="s">
        <v>23</v>
      </c>
      <c r="L1340" s="1" t="s">
        <v>34</v>
      </c>
      <c r="M1340" s="1" t="s">
        <v>1266</v>
      </c>
      <c r="N1340" s="1">
        <v>11250</v>
      </c>
      <c r="O1340" s="12">
        <v>10900</v>
      </c>
      <c r="P1340" s="3" t="s">
        <v>110</v>
      </c>
      <c r="Q1340" s="1" cm="1">
        <f t="array" ref="Q1340">VALUE(INDEX(_xlfn.TEXTSPLIT(P1340, " "), 4))</f>
        <v>2014</v>
      </c>
      <c r="R1340" s="1" t="str">
        <f t="shared" si="20"/>
        <v>Honda Civic LX</v>
      </c>
      <c r="S1340" s="1" t="str" cm="1">
        <f t="array" ref="S1340">_xlfn.IFS(I1340 &gt;= 40, "High", I1340&gt;=20, "Medium", I1340&lt;20, "Low")</f>
        <v>Medium</v>
      </c>
      <c r="T1340" s="1" t="str" cm="1">
        <f t="array" ref="T1340">_xlfn.IFS(O1340&lt;18200, "Low", O1340&lt;=50000, "Medium", O1340&gt;50000, "High")</f>
        <v>Low</v>
      </c>
    </row>
    <row r="1341" spans="1:20" x14ac:dyDescent="0.25">
      <c r="A1341" s="2">
        <v>2012</v>
      </c>
      <c r="B1341" s="1" t="s">
        <v>1806</v>
      </c>
      <c r="C1341" s="1" t="s">
        <v>1807</v>
      </c>
      <c r="D1341" s="1" t="s">
        <v>87</v>
      </c>
      <c r="E1341" s="1" t="s">
        <v>32</v>
      </c>
      <c r="F1341" s="1" t="s">
        <v>20</v>
      </c>
      <c r="G1341" s="1" t="s">
        <v>2057</v>
      </c>
      <c r="H1341" s="1" t="s">
        <v>22</v>
      </c>
      <c r="I1341" s="1">
        <v>43</v>
      </c>
      <c r="J1341" s="1">
        <v>38065</v>
      </c>
      <c r="K1341" s="1" t="s">
        <v>91</v>
      </c>
      <c r="L1341" s="1" t="s">
        <v>24</v>
      </c>
      <c r="M1341" s="1" t="s">
        <v>1266</v>
      </c>
      <c r="N1341" s="1">
        <v>12850</v>
      </c>
      <c r="O1341" s="12">
        <v>14600</v>
      </c>
      <c r="P1341" s="3" t="s">
        <v>68</v>
      </c>
      <c r="Q1341" s="1" cm="1">
        <f t="array" ref="Q1341">VALUE(INDEX(_xlfn.TEXTSPLIT(P1341, " "), 4))</f>
        <v>2014</v>
      </c>
      <c r="R1341" s="1" t="str">
        <f t="shared" si="20"/>
        <v>Honda Accord SE</v>
      </c>
      <c r="S1341" s="1" t="str" cm="1">
        <f t="array" ref="S1341">_xlfn.IFS(I1341 &gt;= 40, "High", I1341&gt;=20, "Medium", I1341&lt;20, "Low")</f>
        <v>High</v>
      </c>
      <c r="T1341" s="1" t="str" cm="1">
        <f t="array" ref="T1341">_xlfn.IFS(O1341&lt;18200, "Low", O1341&lt;=50000, "Medium", O1341&gt;50000, "High")</f>
        <v>Low</v>
      </c>
    </row>
    <row r="1342" spans="1:20" x14ac:dyDescent="0.25">
      <c r="A1342" s="2">
        <v>2012</v>
      </c>
      <c r="B1342" s="1" t="s">
        <v>608</v>
      </c>
      <c r="C1342" s="1" t="s">
        <v>620</v>
      </c>
      <c r="D1342" s="1" t="s">
        <v>640</v>
      </c>
      <c r="E1342" s="1" t="s">
        <v>32</v>
      </c>
      <c r="F1342" s="1" t="s">
        <v>20</v>
      </c>
      <c r="G1342" s="1" t="s">
        <v>2058</v>
      </c>
      <c r="H1342" s="1" t="s">
        <v>22</v>
      </c>
      <c r="I1342" s="1">
        <v>42</v>
      </c>
      <c r="J1342" s="1">
        <v>24090</v>
      </c>
      <c r="K1342" s="1" t="s">
        <v>23</v>
      </c>
      <c r="L1342" s="1" t="s">
        <v>24</v>
      </c>
      <c r="M1342" s="1" t="s">
        <v>612</v>
      </c>
      <c r="N1342" s="1">
        <v>22500</v>
      </c>
      <c r="O1342" s="12">
        <v>23000</v>
      </c>
      <c r="P1342" s="3" t="s">
        <v>46</v>
      </c>
      <c r="Q1342" s="1" cm="1">
        <f t="array" ref="Q1342">VALUE(INDEX(_xlfn.TEXTSPLIT(P1342, " "), 4))</f>
        <v>2014</v>
      </c>
      <c r="R1342" s="1" t="str">
        <f t="shared" si="20"/>
        <v>Mercedes-Benz C-Class C250 Sport</v>
      </c>
      <c r="S1342" s="1" t="str" cm="1">
        <f t="array" ref="S1342">_xlfn.IFS(I1342 &gt;= 40, "High", I1342&gt;=20, "Medium", I1342&lt;20, "Low")</f>
        <v>High</v>
      </c>
      <c r="T1342" s="1" t="str" cm="1">
        <f t="array" ref="T1342">_xlfn.IFS(O1342&lt;18200, "Low", O1342&lt;=50000, "Medium", O1342&gt;50000, "High")</f>
        <v>Medium</v>
      </c>
    </row>
    <row r="1343" spans="1:20" x14ac:dyDescent="0.25">
      <c r="A1343" s="2">
        <v>2012</v>
      </c>
      <c r="B1343" s="1" t="s">
        <v>318</v>
      </c>
      <c r="C1343" s="1" t="s">
        <v>323</v>
      </c>
      <c r="D1343" s="1" t="s">
        <v>324</v>
      </c>
      <c r="E1343" s="1" t="s">
        <v>323</v>
      </c>
      <c r="F1343" s="1" t="s">
        <v>20</v>
      </c>
      <c r="G1343" s="1" t="s">
        <v>2059</v>
      </c>
      <c r="H1343" s="1" t="s">
        <v>22</v>
      </c>
      <c r="I1343" s="1">
        <v>43</v>
      </c>
      <c r="J1343" s="1">
        <v>26216</v>
      </c>
      <c r="K1343" s="1" t="s">
        <v>23</v>
      </c>
      <c r="L1343" s="1" t="s">
        <v>24</v>
      </c>
      <c r="M1343" s="1" t="s">
        <v>322</v>
      </c>
      <c r="N1343" s="1">
        <v>22200</v>
      </c>
      <c r="O1343" s="12">
        <v>22750</v>
      </c>
      <c r="P1343" s="3" t="s">
        <v>46</v>
      </c>
      <c r="Q1343" s="1" cm="1">
        <f t="array" ref="Q1343">VALUE(INDEX(_xlfn.TEXTSPLIT(P1343, " "), 4))</f>
        <v>2014</v>
      </c>
      <c r="R1343" s="1" t="str">
        <f t="shared" si="20"/>
        <v>Infiniti G Sedan G37 Journey</v>
      </c>
      <c r="S1343" s="1" t="str" cm="1">
        <f t="array" ref="S1343">_xlfn.IFS(I1343 &gt;= 40, "High", I1343&gt;=20, "Medium", I1343&lt;20, "Low")</f>
        <v>High</v>
      </c>
      <c r="T1343" s="1" t="str" cm="1">
        <f t="array" ref="T1343">_xlfn.IFS(O1343&lt;18200, "Low", O1343&lt;=50000, "Medium", O1343&gt;50000, "High")</f>
        <v>Medium</v>
      </c>
    </row>
    <row r="1344" spans="1:20" x14ac:dyDescent="0.25">
      <c r="A1344" s="2">
        <v>2012</v>
      </c>
      <c r="B1344" s="1" t="s">
        <v>681</v>
      </c>
      <c r="C1344" s="1" t="s">
        <v>682</v>
      </c>
      <c r="D1344" s="1" t="s">
        <v>54</v>
      </c>
      <c r="E1344" s="1" t="s">
        <v>227</v>
      </c>
      <c r="F1344" s="1"/>
      <c r="G1344" s="1" t="s">
        <v>2060</v>
      </c>
      <c r="H1344" s="1" t="s">
        <v>22</v>
      </c>
      <c r="I1344" s="1">
        <v>38</v>
      </c>
      <c r="J1344" s="1">
        <v>41170</v>
      </c>
      <c r="K1344" s="1" t="s">
        <v>91</v>
      </c>
      <c r="L1344" s="1" t="s">
        <v>101</v>
      </c>
      <c r="M1344" s="1" t="s">
        <v>686</v>
      </c>
      <c r="N1344" s="1">
        <v>12350</v>
      </c>
      <c r="O1344" s="12">
        <v>14250</v>
      </c>
      <c r="P1344" s="3" t="s">
        <v>46</v>
      </c>
      <c r="Q1344" s="1" cm="1">
        <f t="array" ref="Q1344">VALUE(INDEX(_xlfn.TEXTSPLIT(P1344, " "), 4))</f>
        <v>2014</v>
      </c>
      <c r="R1344" s="1" t="str">
        <f t="shared" si="20"/>
        <v>MINI Cooper Clubman Base</v>
      </c>
      <c r="S1344" s="1" t="str" cm="1">
        <f t="array" ref="S1344">_xlfn.IFS(I1344 &gt;= 40, "High", I1344&gt;=20, "Medium", I1344&lt;20, "Low")</f>
        <v>Medium</v>
      </c>
      <c r="T1344" s="1" t="str" cm="1">
        <f t="array" ref="T1344">_xlfn.IFS(O1344&lt;18200, "Low", O1344&lt;=50000, "Medium", O1344&gt;50000, "High")</f>
        <v>Low</v>
      </c>
    </row>
    <row r="1345" spans="1:20" x14ac:dyDescent="0.25">
      <c r="A1345" s="2">
        <v>2012</v>
      </c>
      <c r="B1345" s="1" t="s">
        <v>318</v>
      </c>
      <c r="C1345" s="1" t="s">
        <v>323</v>
      </c>
      <c r="D1345" s="1" t="s">
        <v>324</v>
      </c>
      <c r="E1345" s="1" t="s">
        <v>323</v>
      </c>
      <c r="F1345" s="1" t="s">
        <v>20</v>
      </c>
      <c r="G1345" s="1" t="s">
        <v>2061</v>
      </c>
      <c r="H1345" s="1" t="s">
        <v>22</v>
      </c>
      <c r="I1345" s="1">
        <v>36</v>
      </c>
      <c r="J1345" s="1">
        <v>28549</v>
      </c>
      <c r="K1345" s="1" t="s">
        <v>94</v>
      </c>
      <c r="L1345" s="1" t="s">
        <v>28</v>
      </c>
      <c r="M1345" s="1" t="s">
        <v>322</v>
      </c>
      <c r="N1345" s="1">
        <v>21900</v>
      </c>
      <c r="O1345" s="12">
        <v>21250</v>
      </c>
      <c r="P1345" s="3" t="s">
        <v>46</v>
      </c>
      <c r="Q1345" s="1" cm="1">
        <f t="array" ref="Q1345">VALUE(INDEX(_xlfn.TEXTSPLIT(P1345, " "), 4))</f>
        <v>2014</v>
      </c>
      <c r="R1345" s="1" t="str">
        <f t="shared" si="20"/>
        <v>Infiniti G Sedan G37 Journey</v>
      </c>
      <c r="S1345" s="1" t="str" cm="1">
        <f t="array" ref="S1345">_xlfn.IFS(I1345 &gt;= 40, "High", I1345&gt;=20, "Medium", I1345&lt;20, "Low")</f>
        <v>Medium</v>
      </c>
      <c r="T1345" s="1" t="str" cm="1">
        <f t="array" ref="T1345">_xlfn.IFS(O1345&lt;18200, "Low", O1345&lt;=50000, "Medium", O1345&gt;50000, "High")</f>
        <v>Medium</v>
      </c>
    </row>
    <row r="1346" spans="1:20" x14ac:dyDescent="0.25">
      <c r="A1346" s="2">
        <v>2012</v>
      </c>
      <c r="B1346" s="1" t="s">
        <v>681</v>
      </c>
      <c r="C1346" s="1" t="s">
        <v>682</v>
      </c>
      <c r="D1346" s="1" t="s">
        <v>54</v>
      </c>
      <c r="E1346" s="1" t="s">
        <v>227</v>
      </c>
      <c r="F1346" s="1" t="s">
        <v>20</v>
      </c>
      <c r="G1346" s="1" t="s">
        <v>2062</v>
      </c>
      <c r="H1346" s="1" t="s">
        <v>22</v>
      </c>
      <c r="I1346" s="1">
        <v>36</v>
      </c>
      <c r="J1346" s="1">
        <v>36963</v>
      </c>
      <c r="K1346" s="1" t="s">
        <v>23</v>
      </c>
      <c r="L1346" s="1" t="s">
        <v>24</v>
      </c>
      <c r="M1346" s="1" t="s">
        <v>686</v>
      </c>
      <c r="N1346" s="1">
        <v>12600</v>
      </c>
      <c r="O1346" s="12">
        <v>14500</v>
      </c>
      <c r="P1346" s="3" t="s">
        <v>46</v>
      </c>
      <c r="Q1346" s="1" cm="1">
        <f t="array" ref="Q1346">VALUE(INDEX(_xlfn.TEXTSPLIT(P1346, " "), 4))</f>
        <v>2014</v>
      </c>
      <c r="R1346" s="1" t="str">
        <f t="shared" si="20"/>
        <v>MINI Cooper Clubman Base</v>
      </c>
      <c r="S1346" s="1" t="str" cm="1">
        <f t="array" ref="S1346">_xlfn.IFS(I1346 &gt;= 40, "High", I1346&gt;=20, "Medium", I1346&lt;20, "Low")</f>
        <v>Medium</v>
      </c>
      <c r="T1346" s="1" t="str" cm="1">
        <f t="array" ref="T1346">_xlfn.IFS(O1346&lt;18200, "Low", O1346&lt;=50000, "Medium", O1346&gt;50000, "High")</f>
        <v>Low</v>
      </c>
    </row>
    <row r="1347" spans="1:20" x14ac:dyDescent="0.25">
      <c r="A1347" s="2">
        <v>2012</v>
      </c>
      <c r="B1347" s="1" t="s">
        <v>681</v>
      </c>
      <c r="C1347" s="1" t="s">
        <v>684</v>
      </c>
      <c r="D1347" s="1" t="s">
        <v>54</v>
      </c>
      <c r="E1347" s="1" t="s">
        <v>227</v>
      </c>
      <c r="F1347" s="1" t="s">
        <v>20</v>
      </c>
      <c r="G1347" s="1" t="s">
        <v>2063</v>
      </c>
      <c r="H1347" s="1" t="s">
        <v>22</v>
      </c>
      <c r="I1347" s="1">
        <v>31</v>
      </c>
      <c r="J1347" s="1">
        <v>15090</v>
      </c>
      <c r="K1347" s="1" t="s">
        <v>23</v>
      </c>
      <c r="L1347" s="1" t="s">
        <v>101</v>
      </c>
      <c r="M1347" s="1" t="s">
        <v>686</v>
      </c>
      <c r="N1347" s="1">
        <v>15200</v>
      </c>
      <c r="O1347" s="12">
        <v>14000</v>
      </c>
      <c r="P1347" s="3" t="s">
        <v>46</v>
      </c>
      <c r="Q1347" s="1" cm="1">
        <f t="array" ref="Q1347">VALUE(INDEX(_xlfn.TEXTSPLIT(P1347, " "), 4))</f>
        <v>2014</v>
      </c>
      <c r="R1347" s="1" t="str">
        <f t="shared" ref="R1347:R1410" si="21">_xlfn.TEXTJOIN(" ", TRUE, B1347, C1347, D1347)</f>
        <v>MINI Cooper Base</v>
      </c>
      <c r="S1347" s="1" t="str" cm="1">
        <f t="array" ref="S1347">_xlfn.IFS(I1347 &gt;= 40, "High", I1347&gt;=20, "Medium", I1347&lt;20, "Low")</f>
        <v>Medium</v>
      </c>
      <c r="T1347" s="1" t="str" cm="1">
        <f t="array" ref="T1347">_xlfn.IFS(O1347&lt;18200, "Low", O1347&lt;=50000, "Medium", O1347&gt;50000, "High")</f>
        <v>Low</v>
      </c>
    </row>
    <row r="1348" spans="1:20" x14ac:dyDescent="0.25">
      <c r="A1348" s="2">
        <v>2012</v>
      </c>
      <c r="B1348" s="1" t="s">
        <v>16</v>
      </c>
      <c r="C1348" s="1" t="s">
        <v>694</v>
      </c>
      <c r="D1348" s="1" t="s">
        <v>735</v>
      </c>
      <c r="E1348" s="1" t="s">
        <v>32</v>
      </c>
      <c r="F1348" s="1" t="s">
        <v>20</v>
      </c>
      <c r="G1348" s="1" t="s">
        <v>2064</v>
      </c>
      <c r="H1348" s="1" t="s">
        <v>22</v>
      </c>
      <c r="I1348" s="1">
        <v>39</v>
      </c>
      <c r="J1348" s="1">
        <v>40324</v>
      </c>
      <c r="K1348" s="1" t="s">
        <v>23</v>
      </c>
      <c r="L1348" s="1" t="s">
        <v>34</v>
      </c>
      <c r="M1348" s="1" t="s">
        <v>555</v>
      </c>
      <c r="N1348" s="1">
        <v>9300</v>
      </c>
      <c r="O1348" s="12">
        <v>10000</v>
      </c>
      <c r="P1348" s="3" t="s">
        <v>68</v>
      </c>
      <c r="Q1348" s="1" cm="1">
        <f t="array" ref="Q1348">VALUE(INDEX(_xlfn.TEXTSPLIT(P1348, " "), 4))</f>
        <v>2014</v>
      </c>
      <c r="R1348" s="1" t="str">
        <f t="shared" si="21"/>
        <v>Kia Forte EX</v>
      </c>
      <c r="S1348" s="1" t="str" cm="1">
        <f t="array" ref="S1348">_xlfn.IFS(I1348 &gt;= 40, "High", I1348&gt;=20, "Medium", I1348&lt;20, "Low")</f>
        <v>Medium</v>
      </c>
      <c r="T1348" s="1" t="str" cm="1">
        <f t="array" ref="T1348">_xlfn.IFS(O1348&lt;18200, "Low", O1348&lt;=50000, "Medium", O1348&gt;50000, "High")</f>
        <v>Low</v>
      </c>
    </row>
    <row r="1349" spans="1:20" x14ac:dyDescent="0.25">
      <c r="A1349" s="2">
        <v>2012</v>
      </c>
      <c r="B1349" s="1" t="s">
        <v>817</v>
      </c>
      <c r="C1349" s="1" t="s">
        <v>2065</v>
      </c>
      <c r="D1349" s="1" t="s">
        <v>54</v>
      </c>
      <c r="E1349" s="1" t="s">
        <v>32</v>
      </c>
      <c r="F1349" s="1" t="s">
        <v>20</v>
      </c>
      <c r="G1349" s="1" t="s">
        <v>2066</v>
      </c>
      <c r="H1349" s="1" t="s">
        <v>22</v>
      </c>
      <c r="I1349" s="1">
        <v>45</v>
      </c>
      <c r="J1349" s="1">
        <v>12912</v>
      </c>
      <c r="K1349" s="1" t="s">
        <v>24</v>
      </c>
      <c r="L1349" s="1" t="s">
        <v>28</v>
      </c>
      <c r="M1349" s="1" t="s">
        <v>555</v>
      </c>
      <c r="N1349" s="1">
        <v>47000</v>
      </c>
      <c r="O1349" s="12">
        <v>49000</v>
      </c>
      <c r="P1349" s="3" t="s">
        <v>46</v>
      </c>
      <c r="Q1349" s="1" cm="1">
        <f t="array" ref="Q1349">VALUE(INDEX(_xlfn.TEXTSPLIT(P1349, " "), 4))</f>
        <v>2014</v>
      </c>
      <c r="R1349" s="1" t="str">
        <f t="shared" si="21"/>
        <v>Jaguar XJ Base</v>
      </c>
      <c r="S1349" s="1" t="str" cm="1">
        <f t="array" ref="S1349">_xlfn.IFS(I1349 &gt;= 40, "High", I1349&gt;=20, "Medium", I1349&lt;20, "Low")</f>
        <v>High</v>
      </c>
      <c r="T1349" s="1" t="str" cm="1">
        <f t="array" ref="T1349">_xlfn.IFS(O1349&lt;18200, "Low", O1349&lt;=50000, "Medium", O1349&gt;50000, "High")</f>
        <v>Medium</v>
      </c>
    </row>
    <row r="1350" spans="1:20" x14ac:dyDescent="0.25">
      <c r="A1350" s="2">
        <v>2012</v>
      </c>
      <c r="B1350" s="1" t="s">
        <v>681</v>
      </c>
      <c r="C1350" s="1" t="s">
        <v>684</v>
      </c>
      <c r="D1350" s="1" t="s">
        <v>54</v>
      </c>
      <c r="E1350" s="1" t="s">
        <v>227</v>
      </c>
      <c r="F1350" s="1" t="s">
        <v>20</v>
      </c>
      <c r="G1350" s="1" t="s">
        <v>2067</v>
      </c>
      <c r="H1350" s="1" t="s">
        <v>22</v>
      </c>
      <c r="I1350" s="1">
        <v>37</v>
      </c>
      <c r="J1350" s="1">
        <v>23278</v>
      </c>
      <c r="K1350" s="1" t="s">
        <v>73</v>
      </c>
      <c r="L1350" s="1" t="s">
        <v>101</v>
      </c>
      <c r="M1350" s="1" t="s">
        <v>686</v>
      </c>
      <c r="N1350" s="1">
        <v>14550</v>
      </c>
      <c r="O1350" s="12">
        <v>13000</v>
      </c>
      <c r="P1350" s="3" t="s">
        <v>46</v>
      </c>
      <c r="Q1350" s="1" cm="1">
        <f t="array" ref="Q1350">VALUE(INDEX(_xlfn.TEXTSPLIT(P1350, " "), 4))</f>
        <v>2014</v>
      </c>
      <c r="R1350" s="1" t="str">
        <f t="shared" si="21"/>
        <v>MINI Cooper Base</v>
      </c>
      <c r="S1350" s="1" t="str" cm="1">
        <f t="array" ref="S1350">_xlfn.IFS(I1350 &gt;= 40, "High", I1350&gt;=20, "Medium", I1350&lt;20, "Low")</f>
        <v>Medium</v>
      </c>
      <c r="T1350" s="1" t="str" cm="1">
        <f t="array" ref="T1350">_xlfn.IFS(O1350&lt;18200, "Low", O1350&lt;=50000, "Medium", O1350&gt;50000, "High")</f>
        <v>Low</v>
      </c>
    </row>
    <row r="1351" spans="1:20" x14ac:dyDescent="0.25">
      <c r="A1351" s="2">
        <v>2012</v>
      </c>
      <c r="B1351" s="1" t="s">
        <v>318</v>
      </c>
      <c r="C1351" s="1" t="s">
        <v>323</v>
      </c>
      <c r="D1351" s="1" t="s">
        <v>324</v>
      </c>
      <c r="E1351" s="1" t="s">
        <v>323</v>
      </c>
      <c r="F1351" s="1" t="s">
        <v>20</v>
      </c>
      <c r="G1351" s="1" t="s">
        <v>2068</v>
      </c>
      <c r="H1351" s="1" t="s">
        <v>22</v>
      </c>
      <c r="I1351" s="1">
        <v>44</v>
      </c>
      <c r="J1351" s="1">
        <v>31557</v>
      </c>
      <c r="K1351" s="1" t="s">
        <v>34</v>
      </c>
      <c r="L1351" s="1" t="s">
        <v>28</v>
      </c>
      <c r="M1351" s="1" t="s">
        <v>322</v>
      </c>
      <c r="N1351" s="1">
        <v>21700</v>
      </c>
      <c r="O1351" s="12">
        <v>23000</v>
      </c>
      <c r="P1351" s="3" t="s">
        <v>57</v>
      </c>
      <c r="Q1351" s="1" cm="1">
        <f t="array" ref="Q1351">VALUE(INDEX(_xlfn.TEXTSPLIT(P1351, " "), 4))</f>
        <v>2014</v>
      </c>
      <c r="R1351" s="1" t="str">
        <f t="shared" si="21"/>
        <v>Infiniti G Sedan G37 Journey</v>
      </c>
      <c r="S1351" s="1" t="str" cm="1">
        <f t="array" ref="S1351">_xlfn.IFS(I1351 &gt;= 40, "High", I1351&gt;=20, "Medium", I1351&lt;20, "Low")</f>
        <v>High</v>
      </c>
      <c r="T1351" s="1" t="str" cm="1">
        <f t="array" ref="T1351">_xlfn.IFS(O1351&lt;18200, "Low", O1351&lt;=50000, "Medium", O1351&gt;50000, "High")</f>
        <v>Medium</v>
      </c>
    </row>
    <row r="1352" spans="1:20" x14ac:dyDescent="0.25">
      <c r="A1352" s="2">
        <v>2012</v>
      </c>
      <c r="B1352" s="1" t="s">
        <v>608</v>
      </c>
      <c r="C1352" s="1" t="s">
        <v>673</v>
      </c>
      <c r="D1352" s="1" t="s">
        <v>2069</v>
      </c>
      <c r="E1352" s="1" t="s">
        <v>32</v>
      </c>
      <c r="F1352" s="1" t="s">
        <v>20</v>
      </c>
      <c r="G1352" s="1" t="s">
        <v>2070</v>
      </c>
      <c r="H1352" s="1" t="s">
        <v>22</v>
      </c>
      <c r="I1352" s="1">
        <v>4</v>
      </c>
      <c r="J1352" s="1">
        <v>34837</v>
      </c>
      <c r="K1352" s="1" t="s">
        <v>24</v>
      </c>
      <c r="L1352" s="1" t="s">
        <v>24</v>
      </c>
      <c r="M1352" s="1" t="s">
        <v>612</v>
      </c>
      <c r="N1352" s="1">
        <v>28000</v>
      </c>
      <c r="O1352" s="12">
        <v>27500</v>
      </c>
      <c r="P1352" s="3" t="s">
        <v>46</v>
      </c>
      <c r="Q1352" s="1" cm="1">
        <f t="array" ref="Q1352">VALUE(INDEX(_xlfn.TEXTSPLIT(P1352, " "), 4))</f>
        <v>2014</v>
      </c>
      <c r="R1352" s="1" t="str">
        <f t="shared" si="21"/>
        <v>Mercedes-Benz E-Class E350 Luxury</v>
      </c>
      <c r="S1352" s="1" t="str" cm="1">
        <f t="array" ref="S1352">_xlfn.IFS(I1352 &gt;= 40, "High", I1352&gt;=20, "Medium", I1352&lt;20, "Low")</f>
        <v>Low</v>
      </c>
      <c r="T1352" s="1" t="str" cm="1">
        <f t="array" ref="T1352">_xlfn.IFS(O1352&lt;18200, "Low", O1352&lt;=50000, "Medium", O1352&gt;50000, "High")</f>
        <v>Medium</v>
      </c>
    </row>
    <row r="1353" spans="1:20" x14ac:dyDescent="0.25">
      <c r="A1353" s="2">
        <v>2012</v>
      </c>
      <c r="B1353" s="1" t="s">
        <v>600</v>
      </c>
      <c r="C1353" s="1" t="s">
        <v>2071</v>
      </c>
      <c r="D1353" s="1" t="s">
        <v>368</v>
      </c>
      <c r="E1353" s="1" t="s">
        <v>19</v>
      </c>
      <c r="F1353" s="1" t="s">
        <v>20</v>
      </c>
      <c r="G1353" s="1" t="s">
        <v>2072</v>
      </c>
      <c r="H1353" s="1" t="s">
        <v>22</v>
      </c>
      <c r="I1353" s="1">
        <v>29</v>
      </c>
      <c r="J1353" s="1">
        <v>33667</v>
      </c>
      <c r="K1353" s="1" t="s">
        <v>34</v>
      </c>
      <c r="L1353" s="1" t="s">
        <v>34</v>
      </c>
      <c r="M1353" s="1" t="s">
        <v>2073</v>
      </c>
      <c r="N1353" s="1">
        <v>12550</v>
      </c>
      <c r="O1353" s="12">
        <v>12750</v>
      </c>
      <c r="P1353" s="3" t="s">
        <v>57</v>
      </c>
      <c r="Q1353" s="1" cm="1">
        <f t="array" ref="Q1353">VALUE(INDEX(_xlfn.TEXTSPLIT(P1353, " "), 4))</f>
        <v>2014</v>
      </c>
      <c r="R1353" s="1" t="str">
        <f t="shared" si="21"/>
        <v>Jeep Liberty Sport</v>
      </c>
      <c r="S1353" s="1" t="str" cm="1">
        <f t="array" ref="S1353">_xlfn.IFS(I1353 &gt;= 40, "High", I1353&gt;=20, "Medium", I1353&lt;20, "Low")</f>
        <v>Medium</v>
      </c>
      <c r="T1353" s="1" t="str" cm="1">
        <f t="array" ref="T1353">_xlfn.IFS(O1353&lt;18200, "Low", O1353&lt;=50000, "Medium", O1353&gt;50000, "High")</f>
        <v>Low</v>
      </c>
    </row>
    <row r="1354" spans="1:20" x14ac:dyDescent="0.25">
      <c r="A1354" s="2">
        <v>2012</v>
      </c>
      <c r="B1354" s="1" t="s">
        <v>202</v>
      </c>
      <c r="C1354" s="1" t="s">
        <v>2074</v>
      </c>
      <c r="D1354" s="1" t="s">
        <v>54</v>
      </c>
      <c r="E1354" s="1" t="s">
        <v>32</v>
      </c>
      <c r="F1354" s="1" t="s">
        <v>20</v>
      </c>
      <c r="G1354" s="1" t="s">
        <v>2075</v>
      </c>
      <c r="H1354" s="1" t="s">
        <v>22</v>
      </c>
      <c r="I1354" s="1">
        <v>27</v>
      </c>
      <c r="J1354" s="1">
        <v>45140</v>
      </c>
      <c r="K1354" s="1" t="s">
        <v>91</v>
      </c>
      <c r="L1354" s="1" t="s">
        <v>24</v>
      </c>
      <c r="M1354" s="1" t="s">
        <v>205</v>
      </c>
      <c r="N1354" s="1">
        <v>21300</v>
      </c>
      <c r="O1354" s="12">
        <v>18500</v>
      </c>
      <c r="P1354" s="3" t="s">
        <v>2076</v>
      </c>
      <c r="Q1354" s="1" cm="1">
        <f t="array" ref="Q1354">VALUE(INDEX(_xlfn.TEXTSPLIT(P1354, " "), 4))</f>
        <v>2015</v>
      </c>
      <c r="R1354" s="1" t="str">
        <f t="shared" si="21"/>
        <v>Lexus IS 250 Base</v>
      </c>
      <c r="S1354" s="1" t="str" cm="1">
        <f t="array" ref="S1354">_xlfn.IFS(I1354 &gt;= 40, "High", I1354&gt;=20, "Medium", I1354&lt;20, "Low")</f>
        <v>Medium</v>
      </c>
      <c r="T1354" s="1" t="str" cm="1">
        <f t="array" ref="T1354">_xlfn.IFS(O1354&lt;18200, "Low", O1354&lt;=50000, "Medium", O1354&gt;50000, "High")</f>
        <v>Medium</v>
      </c>
    </row>
    <row r="1355" spans="1:20" x14ac:dyDescent="0.25">
      <c r="A1355" s="2">
        <v>2012</v>
      </c>
      <c r="B1355" s="1" t="s">
        <v>681</v>
      </c>
      <c r="C1355" s="1" t="s">
        <v>684</v>
      </c>
      <c r="D1355" s="1" t="s">
        <v>54</v>
      </c>
      <c r="E1355" s="1" t="s">
        <v>227</v>
      </c>
      <c r="F1355" s="1" t="s">
        <v>20</v>
      </c>
      <c r="G1355" s="1" t="s">
        <v>2077</v>
      </c>
      <c r="H1355" s="1" t="s">
        <v>22</v>
      </c>
      <c r="I1355" s="1">
        <v>42</v>
      </c>
      <c r="J1355" s="1">
        <v>54588</v>
      </c>
      <c r="K1355" s="1" t="s">
        <v>23</v>
      </c>
      <c r="L1355" s="1" t="s">
        <v>24</v>
      </c>
      <c r="M1355" s="1" t="s">
        <v>686</v>
      </c>
      <c r="N1355" s="1">
        <v>12050</v>
      </c>
      <c r="O1355" s="12">
        <v>13000</v>
      </c>
      <c r="P1355" s="3" t="s">
        <v>46</v>
      </c>
      <c r="Q1355" s="1" cm="1">
        <f t="array" ref="Q1355">VALUE(INDEX(_xlfn.TEXTSPLIT(P1355, " "), 4))</f>
        <v>2014</v>
      </c>
      <c r="R1355" s="1" t="str">
        <f t="shared" si="21"/>
        <v>MINI Cooper Base</v>
      </c>
      <c r="S1355" s="1" t="str" cm="1">
        <f t="array" ref="S1355">_xlfn.IFS(I1355 &gt;= 40, "High", I1355&gt;=20, "Medium", I1355&lt;20, "Low")</f>
        <v>High</v>
      </c>
      <c r="T1355" s="1" t="str" cm="1">
        <f t="array" ref="T1355">_xlfn.IFS(O1355&lt;18200, "Low", O1355&lt;=50000, "Medium", O1355&gt;50000, "High")</f>
        <v>Low</v>
      </c>
    </row>
    <row r="1356" spans="1:20" x14ac:dyDescent="0.25">
      <c r="A1356" s="2">
        <v>2012</v>
      </c>
      <c r="B1356" s="1" t="s">
        <v>318</v>
      </c>
      <c r="C1356" s="1" t="s">
        <v>323</v>
      </c>
      <c r="D1356" s="1" t="s">
        <v>324</v>
      </c>
      <c r="E1356" s="1" t="s">
        <v>323</v>
      </c>
      <c r="F1356" s="1" t="s">
        <v>20</v>
      </c>
      <c r="G1356" s="1" t="s">
        <v>2078</v>
      </c>
      <c r="H1356" s="1" t="s">
        <v>22</v>
      </c>
      <c r="I1356" s="1">
        <v>43</v>
      </c>
      <c r="J1356" s="1">
        <v>27289</v>
      </c>
      <c r="K1356" s="1" t="s">
        <v>94</v>
      </c>
      <c r="L1356" s="1" t="s">
        <v>24</v>
      </c>
      <c r="M1356" s="1" t="s">
        <v>322</v>
      </c>
      <c r="N1356" s="1">
        <v>22100</v>
      </c>
      <c r="O1356" s="12">
        <v>22500</v>
      </c>
      <c r="P1356" s="3" t="s">
        <v>46</v>
      </c>
      <c r="Q1356" s="1" cm="1">
        <f t="array" ref="Q1356">VALUE(INDEX(_xlfn.TEXTSPLIT(P1356, " "), 4))</f>
        <v>2014</v>
      </c>
      <c r="R1356" s="1" t="str">
        <f t="shared" si="21"/>
        <v>Infiniti G Sedan G37 Journey</v>
      </c>
      <c r="S1356" s="1" t="str" cm="1">
        <f t="array" ref="S1356">_xlfn.IFS(I1356 &gt;= 40, "High", I1356&gt;=20, "Medium", I1356&lt;20, "Low")</f>
        <v>High</v>
      </c>
      <c r="T1356" s="1" t="str" cm="1">
        <f t="array" ref="T1356">_xlfn.IFS(O1356&lt;18200, "Low", O1356&lt;=50000, "Medium", O1356&gt;50000, "High")</f>
        <v>Medium</v>
      </c>
    </row>
    <row r="1357" spans="1:20" x14ac:dyDescent="0.25">
      <c r="A1357" s="2">
        <v>2012</v>
      </c>
      <c r="B1357" s="1" t="s">
        <v>730</v>
      </c>
      <c r="C1357" s="1" t="s">
        <v>731</v>
      </c>
      <c r="D1357" s="1" t="s">
        <v>54</v>
      </c>
      <c r="E1357" s="1" t="s">
        <v>19</v>
      </c>
      <c r="F1357" s="1" t="s">
        <v>20</v>
      </c>
      <c r="G1357" s="1" t="s">
        <v>2079</v>
      </c>
      <c r="H1357" s="1" t="s">
        <v>22</v>
      </c>
      <c r="I1357" s="1"/>
      <c r="J1357" s="1">
        <v>28289</v>
      </c>
      <c r="K1357" s="1" t="s">
        <v>94</v>
      </c>
      <c r="L1357" s="1" t="s">
        <v>101</v>
      </c>
      <c r="M1357" s="1" t="s">
        <v>2080</v>
      </c>
      <c r="N1357" s="1">
        <v>42200</v>
      </c>
      <c r="O1357" s="12">
        <v>43500</v>
      </c>
      <c r="P1357" s="3" t="s">
        <v>57</v>
      </c>
      <c r="Q1357" s="1" cm="1">
        <f t="array" ref="Q1357">VALUE(INDEX(_xlfn.TEXTSPLIT(P1357, " "), 4))</f>
        <v>2014</v>
      </c>
      <c r="R1357" s="1" t="str">
        <f t="shared" si="21"/>
        <v>Land Rover LR4 Base</v>
      </c>
      <c r="S1357" s="1" t="str" cm="1">
        <f t="array" ref="S1357">_xlfn.IFS(I1357 &gt;= 40, "High", I1357&gt;=20, "Medium", I1357&lt;20, "Low")</f>
        <v>Low</v>
      </c>
      <c r="T1357" s="1" t="str" cm="1">
        <f t="array" ref="T1357">_xlfn.IFS(O1357&lt;18200, "Low", O1357&lt;=50000, "Medium", O1357&gt;50000, "High")</f>
        <v>Medium</v>
      </c>
    </row>
    <row r="1358" spans="1:20" x14ac:dyDescent="0.25">
      <c r="A1358" s="2">
        <v>2012</v>
      </c>
      <c r="B1358" s="1" t="s">
        <v>681</v>
      </c>
      <c r="C1358" s="1" t="s">
        <v>843</v>
      </c>
      <c r="D1358" s="1" t="s">
        <v>54</v>
      </c>
      <c r="E1358" s="1" t="s">
        <v>130</v>
      </c>
      <c r="F1358" s="1" t="s">
        <v>20</v>
      </c>
      <c r="G1358" s="1" t="s">
        <v>2081</v>
      </c>
      <c r="H1358" s="1" t="s">
        <v>22</v>
      </c>
      <c r="I1358" s="1">
        <v>37</v>
      </c>
      <c r="J1358" s="1">
        <v>37322</v>
      </c>
      <c r="K1358" s="1" t="s">
        <v>549</v>
      </c>
      <c r="L1358" s="1" t="s">
        <v>24</v>
      </c>
      <c r="M1358" s="1" t="s">
        <v>182</v>
      </c>
      <c r="N1358" s="1">
        <v>16100</v>
      </c>
      <c r="O1358" s="12">
        <v>16200</v>
      </c>
      <c r="P1358" s="3" t="s">
        <v>26</v>
      </c>
      <c r="Q1358" s="1" cm="1">
        <f t="array" ref="Q1358">VALUE(INDEX(_xlfn.TEXTSPLIT(P1358, " "), 4))</f>
        <v>2014</v>
      </c>
      <c r="R1358" s="1" t="str">
        <f t="shared" si="21"/>
        <v>MINI Cooper Countryman Base</v>
      </c>
      <c r="S1358" s="1" t="str" cm="1">
        <f t="array" ref="S1358">_xlfn.IFS(I1358 &gt;= 40, "High", I1358&gt;=20, "Medium", I1358&lt;20, "Low")</f>
        <v>Medium</v>
      </c>
      <c r="T1358" s="1" t="str" cm="1">
        <f t="array" ref="T1358">_xlfn.IFS(O1358&lt;18200, "Low", O1358&lt;=50000, "Medium", O1358&gt;50000, "High")</f>
        <v>Low</v>
      </c>
    </row>
    <row r="1359" spans="1:20" x14ac:dyDescent="0.25">
      <c r="A1359" s="2">
        <v>2012</v>
      </c>
      <c r="B1359" s="1" t="s">
        <v>817</v>
      </c>
      <c r="C1359" s="1" t="s">
        <v>2082</v>
      </c>
      <c r="D1359" s="1" t="s">
        <v>2083</v>
      </c>
      <c r="E1359" s="1" t="s">
        <v>71</v>
      </c>
      <c r="F1359" s="1" t="s">
        <v>20</v>
      </c>
      <c r="G1359" s="1" t="s">
        <v>2084</v>
      </c>
      <c r="H1359" s="1" t="s">
        <v>22</v>
      </c>
      <c r="I1359" s="1">
        <v>42</v>
      </c>
      <c r="J1359" s="1">
        <v>16234</v>
      </c>
      <c r="K1359" s="1" t="s">
        <v>91</v>
      </c>
      <c r="L1359" s="1" t="s">
        <v>24</v>
      </c>
      <c r="M1359" s="1" t="s">
        <v>555</v>
      </c>
      <c r="N1359" s="1">
        <v>53500</v>
      </c>
      <c r="O1359" s="12">
        <v>53000</v>
      </c>
      <c r="P1359" s="3" t="s">
        <v>46</v>
      </c>
      <c r="Q1359" s="1" cm="1">
        <f t="array" ref="Q1359">VALUE(INDEX(_xlfn.TEXTSPLIT(P1359, " "), 4))</f>
        <v>2014</v>
      </c>
      <c r="R1359" s="1" t="str">
        <f t="shared" si="21"/>
        <v>Jaguar XK XKR</v>
      </c>
      <c r="S1359" s="1" t="str" cm="1">
        <f t="array" ref="S1359">_xlfn.IFS(I1359 &gt;= 40, "High", I1359&gt;=20, "Medium", I1359&lt;20, "Low")</f>
        <v>High</v>
      </c>
      <c r="T1359" s="1" t="str" cm="1">
        <f t="array" ref="T1359">_xlfn.IFS(O1359&lt;18200, "Low", O1359&lt;=50000, "Medium", O1359&gt;50000, "High")</f>
        <v>High</v>
      </c>
    </row>
    <row r="1360" spans="1:20" x14ac:dyDescent="0.25">
      <c r="A1360" s="2">
        <v>2012</v>
      </c>
      <c r="B1360" s="1" t="s">
        <v>202</v>
      </c>
      <c r="C1360" s="1" t="s">
        <v>2074</v>
      </c>
      <c r="D1360" s="1" t="s">
        <v>54</v>
      </c>
      <c r="E1360" s="1" t="s">
        <v>32</v>
      </c>
      <c r="F1360" s="1" t="s">
        <v>20</v>
      </c>
      <c r="G1360" s="1" t="s">
        <v>2085</v>
      </c>
      <c r="H1360" s="1" t="s">
        <v>22</v>
      </c>
      <c r="I1360" s="1">
        <v>19</v>
      </c>
      <c r="J1360" s="1">
        <v>97900</v>
      </c>
      <c r="K1360" s="1" t="s">
        <v>23</v>
      </c>
      <c r="L1360" s="1" t="s">
        <v>24</v>
      </c>
      <c r="M1360" s="1" t="s">
        <v>205</v>
      </c>
      <c r="N1360" s="1">
        <v>19750</v>
      </c>
      <c r="O1360" s="12">
        <v>11400</v>
      </c>
      <c r="P1360" s="3" t="s">
        <v>251</v>
      </c>
      <c r="Q1360" s="1" cm="1">
        <f t="array" ref="Q1360">VALUE(INDEX(_xlfn.TEXTSPLIT(P1360, " "), 4))</f>
        <v>2014</v>
      </c>
      <c r="R1360" s="1" t="str">
        <f t="shared" si="21"/>
        <v>Lexus IS 250 Base</v>
      </c>
      <c r="S1360" s="1" t="str" cm="1">
        <f t="array" ref="S1360">_xlfn.IFS(I1360 &gt;= 40, "High", I1360&gt;=20, "Medium", I1360&lt;20, "Low")</f>
        <v>Low</v>
      </c>
      <c r="T1360" s="1" t="str" cm="1">
        <f t="array" ref="T1360">_xlfn.IFS(O1360&lt;18200, "Low", O1360&lt;=50000, "Medium", O1360&gt;50000, "High")</f>
        <v>Low</v>
      </c>
    </row>
    <row r="1361" spans="1:20" x14ac:dyDescent="0.25">
      <c r="A1361" s="2">
        <v>2012</v>
      </c>
      <c r="B1361" s="1" t="s">
        <v>318</v>
      </c>
      <c r="C1361" s="1" t="s">
        <v>2086</v>
      </c>
      <c r="D1361" s="1" t="s">
        <v>2087</v>
      </c>
      <c r="E1361" s="1" t="s">
        <v>19</v>
      </c>
      <c r="F1361" s="1" t="s">
        <v>20</v>
      </c>
      <c r="G1361" s="1" t="s">
        <v>2088</v>
      </c>
      <c r="H1361" s="1" t="s">
        <v>22</v>
      </c>
      <c r="I1361" s="1">
        <v>42</v>
      </c>
      <c r="J1361" s="1">
        <v>74806</v>
      </c>
      <c r="K1361" s="1" t="s">
        <v>34</v>
      </c>
      <c r="L1361" s="1" t="s">
        <v>24</v>
      </c>
      <c r="M1361" s="1" t="s">
        <v>2089</v>
      </c>
      <c r="N1361" s="1">
        <v>36500</v>
      </c>
      <c r="O1361" s="12">
        <v>34250</v>
      </c>
      <c r="P1361" s="3" t="s">
        <v>143</v>
      </c>
      <c r="Q1361" s="1" cm="1">
        <f t="array" ref="Q1361">VALUE(INDEX(_xlfn.TEXTSPLIT(P1361, " "), 4))</f>
        <v>2014</v>
      </c>
      <c r="R1361" s="1" t="str">
        <f t="shared" si="21"/>
        <v>Infiniti QX QX56</v>
      </c>
      <c r="S1361" s="1" t="str" cm="1">
        <f t="array" ref="S1361">_xlfn.IFS(I1361 &gt;= 40, "High", I1361&gt;=20, "Medium", I1361&lt;20, "Low")</f>
        <v>High</v>
      </c>
      <c r="T1361" s="1" t="str" cm="1">
        <f t="array" ref="T1361">_xlfn.IFS(O1361&lt;18200, "Low", O1361&lt;=50000, "Medium", O1361&gt;50000, "High")</f>
        <v>Medium</v>
      </c>
    </row>
    <row r="1362" spans="1:20" x14ac:dyDescent="0.25">
      <c r="A1362" s="2">
        <v>2012</v>
      </c>
      <c r="B1362" s="1" t="s">
        <v>202</v>
      </c>
      <c r="C1362" s="1" t="s">
        <v>203</v>
      </c>
      <c r="D1362" s="1" t="s">
        <v>54</v>
      </c>
      <c r="E1362" s="1" t="s">
        <v>19</v>
      </c>
      <c r="F1362" s="1" t="s">
        <v>20</v>
      </c>
      <c r="G1362" s="1" t="s">
        <v>2090</v>
      </c>
      <c r="H1362" s="1" t="s">
        <v>22</v>
      </c>
      <c r="I1362" s="1">
        <v>36</v>
      </c>
      <c r="J1362" s="1">
        <v>47516</v>
      </c>
      <c r="K1362" s="1" t="s">
        <v>34</v>
      </c>
      <c r="L1362" s="1" t="s">
        <v>34</v>
      </c>
      <c r="M1362" s="1" t="s">
        <v>2091</v>
      </c>
      <c r="N1362" s="1">
        <v>25900</v>
      </c>
      <c r="O1362" s="12">
        <v>22500</v>
      </c>
      <c r="P1362" s="3" t="s">
        <v>210</v>
      </c>
      <c r="Q1362" s="1" cm="1">
        <f t="array" ref="Q1362">VALUE(INDEX(_xlfn.TEXTSPLIT(P1362, " "), 4))</f>
        <v>2015</v>
      </c>
      <c r="R1362" s="1" t="str">
        <f t="shared" si="21"/>
        <v>Lexus RX 350 Base</v>
      </c>
      <c r="S1362" s="1" t="str" cm="1">
        <f t="array" ref="S1362">_xlfn.IFS(I1362 &gt;= 40, "High", I1362&gt;=20, "Medium", I1362&lt;20, "Low")</f>
        <v>Medium</v>
      </c>
      <c r="T1362" s="1" t="str" cm="1">
        <f t="array" ref="T1362">_xlfn.IFS(O1362&lt;18200, "Low", O1362&lt;=50000, "Medium", O1362&gt;50000, "High")</f>
        <v>Medium</v>
      </c>
    </row>
    <row r="1363" spans="1:20" x14ac:dyDescent="0.25">
      <c r="A1363" s="2">
        <v>2012</v>
      </c>
      <c r="B1363" s="1" t="s">
        <v>318</v>
      </c>
      <c r="C1363" s="1" t="s">
        <v>323</v>
      </c>
      <c r="D1363" s="1" t="s">
        <v>324</v>
      </c>
      <c r="E1363" s="1" t="s">
        <v>323</v>
      </c>
      <c r="F1363" s="1" t="s">
        <v>20</v>
      </c>
      <c r="G1363" s="1" t="s">
        <v>2092</v>
      </c>
      <c r="H1363" s="1" t="s">
        <v>22</v>
      </c>
      <c r="I1363" s="1">
        <v>35</v>
      </c>
      <c r="J1363" s="1">
        <v>21927</v>
      </c>
      <c r="K1363" s="1" t="s">
        <v>34</v>
      </c>
      <c r="L1363" s="1" t="s">
        <v>34</v>
      </c>
      <c r="M1363" s="1" t="s">
        <v>322</v>
      </c>
      <c r="N1363" s="1">
        <v>22600</v>
      </c>
      <c r="O1363" s="12">
        <v>21000</v>
      </c>
      <c r="P1363" s="3" t="s">
        <v>46</v>
      </c>
      <c r="Q1363" s="1" cm="1">
        <f t="array" ref="Q1363">VALUE(INDEX(_xlfn.TEXTSPLIT(P1363, " "), 4))</f>
        <v>2014</v>
      </c>
      <c r="R1363" s="1" t="str">
        <f t="shared" si="21"/>
        <v>Infiniti G Sedan G37 Journey</v>
      </c>
      <c r="S1363" s="1" t="str" cm="1">
        <f t="array" ref="S1363">_xlfn.IFS(I1363 &gt;= 40, "High", I1363&gt;=20, "Medium", I1363&lt;20, "Low")</f>
        <v>Medium</v>
      </c>
      <c r="T1363" s="1" t="str" cm="1">
        <f t="array" ref="T1363">_xlfn.IFS(O1363&lt;18200, "Low", O1363&lt;=50000, "Medium", O1363&gt;50000, "High")</f>
        <v>Medium</v>
      </c>
    </row>
    <row r="1364" spans="1:20" x14ac:dyDescent="0.25">
      <c r="A1364" s="2">
        <v>2012</v>
      </c>
      <c r="B1364" s="1" t="s">
        <v>318</v>
      </c>
      <c r="C1364" s="1" t="s">
        <v>319</v>
      </c>
      <c r="D1364" s="1" t="s">
        <v>1965</v>
      </c>
      <c r="E1364" s="1" t="s">
        <v>319</v>
      </c>
      <c r="F1364" s="1" t="s">
        <v>20</v>
      </c>
      <c r="G1364" s="1" t="s">
        <v>2093</v>
      </c>
      <c r="H1364" s="1" t="s">
        <v>22</v>
      </c>
      <c r="I1364" s="1">
        <v>41</v>
      </c>
      <c r="J1364" s="1">
        <v>31584</v>
      </c>
      <c r="K1364" s="1" t="s">
        <v>24</v>
      </c>
      <c r="L1364" s="1" t="s">
        <v>24</v>
      </c>
      <c r="M1364" s="1" t="s">
        <v>322</v>
      </c>
      <c r="N1364" s="1">
        <v>21600</v>
      </c>
      <c r="O1364" s="12">
        <v>22250</v>
      </c>
      <c r="P1364" s="3" t="s">
        <v>46</v>
      </c>
      <c r="Q1364" s="1" cm="1">
        <f t="array" ref="Q1364">VALUE(INDEX(_xlfn.TEXTSPLIT(P1364, " "), 4))</f>
        <v>2014</v>
      </c>
      <c r="R1364" s="1" t="str">
        <f t="shared" si="21"/>
        <v>Infiniti G Coupe G37</v>
      </c>
      <c r="S1364" s="1" t="str" cm="1">
        <f t="array" ref="S1364">_xlfn.IFS(I1364 &gt;= 40, "High", I1364&gt;=20, "Medium", I1364&lt;20, "Low")</f>
        <v>High</v>
      </c>
      <c r="T1364" s="1" t="str" cm="1">
        <f t="array" ref="T1364">_xlfn.IFS(O1364&lt;18200, "Low", O1364&lt;=50000, "Medium", O1364&gt;50000, "High")</f>
        <v>Medium</v>
      </c>
    </row>
    <row r="1365" spans="1:20" x14ac:dyDescent="0.25">
      <c r="A1365" s="2">
        <v>2012</v>
      </c>
      <c r="B1365" s="1" t="s">
        <v>681</v>
      </c>
      <c r="C1365" s="1" t="s">
        <v>684</v>
      </c>
      <c r="D1365" s="1" t="s">
        <v>54</v>
      </c>
      <c r="E1365" s="1" t="s">
        <v>227</v>
      </c>
      <c r="F1365" s="1" t="s">
        <v>20</v>
      </c>
      <c r="G1365" s="1" t="s">
        <v>2094</v>
      </c>
      <c r="H1365" s="1" t="s">
        <v>22</v>
      </c>
      <c r="I1365" s="1">
        <v>38</v>
      </c>
      <c r="J1365" s="1">
        <v>32031</v>
      </c>
      <c r="K1365" s="1" t="s">
        <v>73</v>
      </c>
      <c r="L1365" s="1" t="s">
        <v>24</v>
      </c>
      <c r="M1365" s="1" t="s">
        <v>686</v>
      </c>
      <c r="N1365" s="1">
        <v>13850</v>
      </c>
      <c r="O1365" s="12">
        <v>14000</v>
      </c>
      <c r="P1365" s="3" t="s">
        <v>46</v>
      </c>
      <c r="Q1365" s="1" cm="1">
        <f t="array" ref="Q1365">VALUE(INDEX(_xlfn.TEXTSPLIT(P1365, " "), 4))</f>
        <v>2014</v>
      </c>
      <c r="R1365" s="1" t="str">
        <f t="shared" si="21"/>
        <v>MINI Cooper Base</v>
      </c>
      <c r="S1365" s="1" t="str" cm="1">
        <f t="array" ref="S1365">_xlfn.IFS(I1365 &gt;= 40, "High", I1365&gt;=20, "Medium", I1365&lt;20, "Low")</f>
        <v>Medium</v>
      </c>
      <c r="T1365" s="1" t="str" cm="1">
        <f t="array" ref="T1365">_xlfn.IFS(O1365&lt;18200, "Low", O1365&lt;=50000, "Medium", O1365&gt;50000, "High")</f>
        <v>Low</v>
      </c>
    </row>
    <row r="1366" spans="1:20" x14ac:dyDescent="0.25">
      <c r="A1366" s="2">
        <v>2012</v>
      </c>
      <c r="B1366" s="1" t="s">
        <v>202</v>
      </c>
      <c r="C1366" s="1" t="s">
        <v>2095</v>
      </c>
      <c r="D1366" s="1" t="s">
        <v>1645</v>
      </c>
      <c r="E1366" s="1" t="s">
        <v>227</v>
      </c>
      <c r="F1366" s="1" t="s">
        <v>20</v>
      </c>
      <c r="G1366" s="1" t="s">
        <v>2096</v>
      </c>
      <c r="H1366" s="1" t="s">
        <v>22</v>
      </c>
      <c r="I1366" s="1">
        <v>45</v>
      </c>
      <c r="J1366" s="1">
        <v>31349</v>
      </c>
      <c r="K1366" s="1" t="s">
        <v>23</v>
      </c>
      <c r="L1366" s="1" t="s">
        <v>132</v>
      </c>
      <c r="M1366" s="1" t="s">
        <v>79</v>
      </c>
      <c r="N1366" s="1">
        <v>20600</v>
      </c>
      <c r="O1366" s="12">
        <v>24250</v>
      </c>
      <c r="P1366" s="3" t="s">
        <v>26</v>
      </c>
      <c r="Q1366" s="1" cm="1">
        <f t="array" ref="Q1366">VALUE(INDEX(_xlfn.TEXTSPLIT(P1366, " "), 4))</f>
        <v>2014</v>
      </c>
      <c r="R1366" s="1" t="str">
        <f t="shared" si="21"/>
        <v>Lexus CT 200h Premium</v>
      </c>
      <c r="S1366" s="1" t="str" cm="1">
        <f t="array" ref="S1366">_xlfn.IFS(I1366 &gt;= 40, "High", I1366&gt;=20, "Medium", I1366&lt;20, "Low")</f>
        <v>High</v>
      </c>
      <c r="T1366" s="1" t="str" cm="1">
        <f t="array" ref="T1366">_xlfn.IFS(O1366&lt;18200, "Low", O1366&lt;=50000, "Medium", O1366&gt;50000, "High")</f>
        <v>Medium</v>
      </c>
    </row>
    <row r="1367" spans="1:20" x14ac:dyDescent="0.25">
      <c r="A1367" s="2">
        <v>2012</v>
      </c>
      <c r="B1367" s="1" t="s">
        <v>600</v>
      </c>
      <c r="C1367" s="1" t="s">
        <v>601</v>
      </c>
      <c r="D1367" s="1" t="s">
        <v>784</v>
      </c>
      <c r="E1367" s="1" t="s">
        <v>19</v>
      </c>
      <c r="F1367" s="1" t="s">
        <v>20</v>
      </c>
      <c r="G1367" s="1" t="s">
        <v>2097</v>
      </c>
      <c r="H1367" s="1" t="s">
        <v>22</v>
      </c>
      <c r="I1367" s="1">
        <v>38</v>
      </c>
      <c r="J1367" s="1">
        <v>39702</v>
      </c>
      <c r="K1367" s="1" t="s">
        <v>73</v>
      </c>
      <c r="L1367" s="1" t="s">
        <v>24</v>
      </c>
      <c r="M1367" s="1" t="s">
        <v>182</v>
      </c>
      <c r="N1367" s="1">
        <v>24900</v>
      </c>
      <c r="O1367" s="12">
        <v>25000</v>
      </c>
      <c r="P1367" s="3" t="s">
        <v>26</v>
      </c>
      <c r="Q1367" s="1" cm="1">
        <f t="array" ref="Q1367">VALUE(INDEX(_xlfn.TEXTSPLIT(P1367, " "), 4))</f>
        <v>2014</v>
      </c>
      <c r="R1367" s="1" t="str">
        <f t="shared" si="21"/>
        <v>Jeep Wrangler Unlimited Sport</v>
      </c>
      <c r="S1367" s="1" t="str" cm="1">
        <f t="array" ref="S1367">_xlfn.IFS(I1367 &gt;= 40, "High", I1367&gt;=20, "Medium", I1367&lt;20, "Low")</f>
        <v>Medium</v>
      </c>
      <c r="T1367" s="1" t="str" cm="1">
        <f t="array" ref="T1367">_xlfn.IFS(O1367&lt;18200, "Low", O1367&lt;=50000, "Medium", O1367&gt;50000, "High")</f>
        <v>Medium</v>
      </c>
    </row>
    <row r="1368" spans="1:20" x14ac:dyDescent="0.25">
      <c r="A1368" s="2">
        <v>2012</v>
      </c>
      <c r="B1368" s="1" t="s">
        <v>681</v>
      </c>
      <c r="C1368" s="1" t="s">
        <v>684</v>
      </c>
      <c r="D1368" s="1" t="s">
        <v>54</v>
      </c>
      <c r="E1368" s="1" t="s">
        <v>227</v>
      </c>
      <c r="F1368" s="1" t="s">
        <v>20</v>
      </c>
      <c r="G1368" s="1" t="s">
        <v>2098</v>
      </c>
      <c r="H1368" s="1" t="s">
        <v>22</v>
      </c>
      <c r="I1368" s="1">
        <v>3</v>
      </c>
      <c r="J1368" s="1">
        <v>45476</v>
      </c>
      <c r="K1368" s="1" t="s">
        <v>73</v>
      </c>
      <c r="L1368" s="1" t="s">
        <v>101</v>
      </c>
      <c r="M1368" s="1" t="s">
        <v>686</v>
      </c>
      <c r="N1368" s="1">
        <v>12500</v>
      </c>
      <c r="O1368" s="12">
        <v>12000</v>
      </c>
      <c r="P1368" s="3" t="s">
        <v>36</v>
      </c>
      <c r="Q1368" s="1" cm="1">
        <f t="array" ref="Q1368">VALUE(INDEX(_xlfn.TEXTSPLIT(P1368, " "), 4))</f>
        <v>2015</v>
      </c>
      <c r="R1368" s="1" t="str">
        <f t="shared" si="21"/>
        <v>MINI Cooper Base</v>
      </c>
      <c r="S1368" s="1" t="str" cm="1">
        <f t="array" ref="S1368">_xlfn.IFS(I1368 &gt;= 40, "High", I1368&gt;=20, "Medium", I1368&lt;20, "Low")</f>
        <v>Low</v>
      </c>
      <c r="T1368" s="1" t="str" cm="1">
        <f t="array" ref="T1368">_xlfn.IFS(O1368&lt;18200, "Low", O1368&lt;=50000, "Medium", O1368&gt;50000, "High")</f>
        <v>Low</v>
      </c>
    </row>
    <row r="1369" spans="1:20" x14ac:dyDescent="0.25">
      <c r="A1369" s="2">
        <v>2012</v>
      </c>
      <c r="B1369" s="1" t="s">
        <v>632</v>
      </c>
      <c r="C1369" s="1" t="s">
        <v>2099</v>
      </c>
      <c r="D1369" s="1" t="s">
        <v>709</v>
      </c>
      <c r="E1369" s="1" t="s">
        <v>32</v>
      </c>
      <c r="F1369" s="1" t="s">
        <v>20</v>
      </c>
      <c r="G1369" s="1" t="s">
        <v>2100</v>
      </c>
      <c r="H1369" s="1" t="s">
        <v>22</v>
      </c>
      <c r="I1369" s="1">
        <v>36</v>
      </c>
      <c r="J1369" s="1">
        <v>47221</v>
      </c>
      <c r="K1369" s="1" t="s">
        <v>34</v>
      </c>
      <c r="L1369" s="1" t="s">
        <v>28</v>
      </c>
      <c r="M1369" s="1" t="s">
        <v>635</v>
      </c>
      <c r="N1369" s="1">
        <v>10550</v>
      </c>
      <c r="O1369" s="12">
        <v>9500</v>
      </c>
      <c r="P1369" s="3" t="s">
        <v>68</v>
      </c>
      <c r="Q1369" s="1" cm="1">
        <f t="array" ref="Q1369">VALUE(INDEX(_xlfn.TEXTSPLIT(P1369, " "), 4))</f>
        <v>2014</v>
      </c>
      <c r="R1369" s="1" t="str">
        <f t="shared" si="21"/>
        <v>Mazda Mazda6 i Touring</v>
      </c>
      <c r="S1369" s="1" t="str" cm="1">
        <f t="array" ref="S1369">_xlfn.IFS(I1369 &gt;= 40, "High", I1369&gt;=20, "Medium", I1369&lt;20, "Low")</f>
        <v>Medium</v>
      </c>
      <c r="T1369" s="1" t="str" cm="1">
        <f t="array" ref="T1369">_xlfn.IFS(O1369&lt;18200, "Low", O1369&lt;=50000, "Medium", O1369&gt;50000, "High")</f>
        <v>Low</v>
      </c>
    </row>
    <row r="1370" spans="1:20" x14ac:dyDescent="0.25">
      <c r="A1370" s="2">
        <v>2012</v>
      </c>
      <c r="B1370" s="1" t="s">
        <v>803</v>
      </c>
      <c r="C1370" s="1" t="s">
        <v>2101</v>
      </c>
      <c r="D1370" s="1" t="s">
        <v>54</v>
      </c>
      <c r="E1370" s="1" t="s">
        <v>32</v>
      </c>
      <c r="F1370" s="1" t="s">
        <v>20</v>
      </c>
      <c r="G1370" s="1" t="s">
        <v>2102</v>
      </c>
      <c r="H1370" s="1" t="s">
        <v>22</v>
      </c>
      <c r="I1370" s="1">
        <v>4</v>
      </c>
      <c r="J1370" s="1">
        <v>34103</v>
      </c>
      <c r="K1370" s="1" t="s">
        <v>34</v>
      </c>
      <c r="L1370" s="1" t="s">
        <v>24</v>
      </c>
      <c r="M1370" s="1" t="s">
        <v>1606</v>
      </c>
      <c r="N1370" s="1">
        <v>14650</v>
      </c>
      <c r="O1370" s="12">
        <v>13750</v>
      </c>
      <c r="P1370" s="3" t="s">
        <v>26</v>
      </c>
      <c r="Q1370" s="1" cm="1">
        <f t="array" ref="Q1370">VALUE(INDEX(_xlfn.TEXTSPLIT(P1370, " "), 4))</f>
        <v>2014</v>
      </c>
      <c r="R1370" s="1" t="str">
        <f t="shared" si="21"/>
        <v>Lincoln MKZ Base</v>
      </c>
      <c r="S1370" s="1" t="str" cm="1">
        <f t="array" ref="S1370">_xlfn.IFS(I1370 &gt;= 40, "High", I1370&gt;=20, "Medium", I1370&lt;20, "Low")</f>
        <v>Low</v>
      </c>
      <c r="T1370" s="1" t="str" cm="1">
        <f t="array" ref="T1370">_xlfn.IFS(O1370&lt;18200, "Low", O1370&lt;=50000, "Medium", O1370&gt;50000, "High")</f>
        <v>Low</v>
      </c>
    </row>
    <row r="1371" spans="1:20" x14ac:dyDescent="0.25">
      <c r="A1371" s="2">
        <v>2012</v>
      </c>
      <c r="B1371" s="1" t="s">
        <v>202</v>
      </c>
      <c r="C1371" s="1" t="s">
        <v>203</v>
      </c>
      <c r="D1371" s="1" t="s">
        <v>54</v>
      </c>
      <c r="E1371" s="1" t="s">
        <v>19</v>
      </c>
      <c r="F1371" s="1" t="s">
        <v>20</v>
      </c>
      <c r="G1371" s="1" t="s">
        <v>2103</v>
      </c>
      <c r="H1371" s="1" t="s">
        <v>22</v>
      </c>
      <c r="I1371" s="1">
        <v>43</v>
      </c>
      <c r="J1371" s="1">
        <v>83857</v>
      </c>
      <c r="K1371" s="1" t="s">
        <v>23</v>
      </c>
      <c r="L1371" s="1" t="s">
        <v>28</v>
      </c>
      <c r="M1371" s="1" t="s">
        <v>625</v>
      </c>
      <c r="N1371" s="1">
        <v>24300</v>
      </c>
      <c r="O1371" s="12">
        <v>22000</v>
      </c>
      <c r="P1371" s="3" t="s">
        <v>362</v>
      </c>
      <c r="Q1371" s="1" cm="1">
        <f t="array" ref="Q1371">VALUE(INDEX(_xlfn.TEXTSPLIT(P1371, " "), 4))</f>
        <v>2014</v>
      </c>
      <c r="R1371" s="1" t="str">
        <f t="shared" si="21"/>
        <v>Lexus RX 350 Base</v>
      </c>
      <c r="S1371" s="1" t="str" cm="1">
        <f t="array" ref="S1371">_xlfn.IFS(I1371 &gt;= 40, "High", I1371&gt;=20, "Medium", I1371&lt;20, "Low")</f>
        <v>High</v>
      </c>
      <c r="T1371" s="1" t="str" cm="1">
        <f t="array" ref="T1371">_xlfn.IFS(O1371&lt;18200, "Low", O1371&lt;=50000, "Medium", O1371&gt;50000, "High")</f>
        <v>Medium</v>
      </c>
    </row>
    <row r="1372" spans="1:20" x14ac:dyDescent="0.25">
      <c r="A1372" s="2">
        <v>2012</v>
      </c>
      <c r="B1372" s="1" t="s">
        <v>16</v>
      </c>
      <c r="C1372" s="1" t="s">
        <v>17</v>
      </c>
      <c r="D1372" s="1" t="s">
        <v>18</v>
      </c>
      <c r="E1372" s="1" t="s">
        <v>19</v>
      </c>
      <c r="F1372" s="1" t="s">
        <v>20</v>
      </c>
      <c r="G1372" s="1" t="s">
        <v>2104</v>
      </c>
      <c r="H1372" s="1" t="s">
        <v>22</v>
      </c>
      <c r="I1372" s="1">
        <v>48</v>
      </c>
      <c r="J1372" s="1">
        <v>81598</v>
      </c>
      <c r="K1372" s="1" t="s">
        <v>91</v>
      </c>
      <c r="L1372" s="1" t="s">
        <v>24</v>
      </c>
      <c r="M1372" s="1" t="s">
        <v>83</v>
      </c>
      <c r="N1372" s="1">
        <v>11150</v>
      </c>
      <c r="O1372" s="12">
        <v>11900</v>
      </c>
      <c r="P1372" s="3" t="s">
        <v>593</v>
      </c>
      <c r="Q1372" s="1" cm="1">
        <f t="array" ref="Q1372">VALUE(INDEX(_xlfn.TEXTSPLIT(P1372, " "), 4))</f>
        <v>2015</v>
      </c>
      <c r="R1372" s="1" t="str">
        <f t="shared" si="21"/>
        <v>Kia Sorento LX</v>
      </c>
      <c r="S1372" s="1" t="str" cm="1">
        <f t="array" ref="S1372">_xlfn.IFS(I1372 &gt;= 40, "High", I1372&gt;=20, "Medium", I1372&lt;20, "Low")</f>
        <v>High</v>
      </c>
      <c r="T1372" s="1" t="str" cm="1">
        <f t="array" ref="T1372">_xlfn.IFS(O1372&lt;18200, "Low", O1372&lt;=50000, "Medium", O1372&gt;50000, "High")</f>
        <v>Low</v>
      </c>
    </row>
    <row r="1373" spans="1:20" x14ac:dyDescent="0.25">
      <c r="A1373" s="2">
        <v>2012</v>
      </c>
      <c r="B1373" s="1" t="s">
        <v>681</v>
      </c>
      <c r="C1373" s="1" t="s">
        <v>682</v>
      </c>
      <c r="D1373" s="1" t="s">
        <v>936</v>
      </c>
      <c r="E1373" s="1" t="s">
        <v>227</v>
      </c>
      <c r="F1373" s="1" t="s">
        <v>214</v>
      </c>
      <c r="G1373" s="1" t="s">
        <v>2105</v>
      </c>
      <c r="H1373" s="1" t="s">
        <v>22</v>
      </c>
      <c r="I1373" s="1">
        <v>4</v>
      </c>
      <c r="J1373" s="1">
        <v>17524</v>
      </c>
      <c r="K1373" s="1" t="s">
        <v>34</v>
      </c>
      <c r="L1373" s="1" t="s">
        <v>132</v>
      </c>
      <c r="M1373" s="1" t="s">
        <v>686</v>
      </c>
      <c r="N1373" s="1">
        <v>18150</v>
      </c>
      <c r="O1373" s="12">
        <v>19000</v>
      </c>
      <c r="P1373" s="3" t="s">
        <v>46</v>
      </c>
      <c r="Q1373" s="1" cm="1">
        <f t="array" ref="Q1373">VALUE(INDEX(_xlfn.TEXTSPLIT(P1373, " "), 4))</f>
        <v>2014</v>
      </c>
      <c r="R1373" s="1" t="str">
        <f t="shared" si="21"/>
        <v>MINI Cooper Clubman S</v>
      </c>
      <c r="S1373" s="1" t="str" cm="1">
        <f t="array" ref="S1373">_xlfn.IFS(I1373 &gt;= 40, "High", I1373&gt;=20, "Medium", I1373&lt;20, "Low")</f>
        <v>Low</v>
      </c>
      <c r="T1373" s="1" t="str" cm="1">
        <f t="array" ref="T1373">_xlfn.IFS(O1373&lt;18200, "Low", O1373&lt;=50000, "Medium", O1373&gt;50000, "High")</f>
        <v>Medium</v>
      </c>
    </row>
    <row r="1374" spans="1:20" x14ac:dyDescent="0.25">
      <c r="A1374" s="2">
        <v>2012</v>
      </c>
      <c r="B1374" s="1" t="s">
        <v>803</v>
      </c>
      <c r="C1374" s="1" t="s">
        <v>2106</v>
      </c>
      <c r="D1374" s="1" t="s">
        <v>54</v>
      </c>
      <c r="E1374" s="1" t="s">
        <v>19</v>
      </c>
      <c r="F1374" s="1" t="s">
        <v>20</v>
      </c>
      <c r="G1374" s="1" t="s">
        <v>2107</v>
      </c>
      <c r="H1374" s="1" t="s">
        <v>22</v>
      </c>
      <c r="I1374" s="1">
        <v>41</v>
      </c>
      <c r="J1374" s="1">
        <v>33220</v>
      </c>
      <c r="K1374" s="1" t="s">
        <v>24</v>
      </c>
      <c r="L1374" s="1" t="s">
        <v>24</v>
      </c>
      <c r="M1374" s="1" t="s">
        <v>1515</v>
      </c>
      <c r="N1374" s="1">
        <v>32200</v>
      </c>
      <c r="O1374" s="12">
        <v>32000</v>
      </c>
      <c r="P1374" s="3" t="s">
        <v>68</v>
      </c>
      <c r="Q1374" s="1" cm="1">
        <f t="array" ref="Q1374">VALUE(INDEX(_xlfn.TEXTSPLIT(P1374, " "), 4))</f>
        <v>2014</v>
      </c>
      <c r="R1374" s="1" t="str">
        <f t="shared" si="21"/>
        <v>Lincoln Navigator Base</v>
      </c>
      <c r="S1374" s="1" t="str" cm="1">
        <f t="array" ref="S1374">_xlfn.IFS(I1374 &gt;= 40, "High", I1374&gt;=20, "Medium", I1374&lt;20, "Low")</f>
        <v>High</v>
      </c>
      <c r="T1374" s="1" t="str" cm="1">
        <f t="array" ref="T1374">_xlfn.IFS(O1374&lt;18200, "Low", O1374&lt;=50000, "Medium", O1374&gt;50000, "High")</f>
        <v>Medium</v>
      </c>
    </row>
    <row r="1375" spans="1:20" x14ac:dyDescent="0.25">
      <c r="A1375" s="2">
        <v>2012</v>
      </c>
      <c r="B1375" s="1" t="s">
        <v>681</v>
      </c>
      <c r="C1375" s="1" t="s">
        <v>684</v>
      </c>
      <c r="D1375" s="1" t="s">
        <v>54</v>
      </c>
      <c r="E1375" s="1" t="s">
        <v>227</v>
      </c>
      <c r="F1375" s="1" t="s">
        <v>20</v>
      </c>
      <c r="G1375" s="1" t="s">
        <v>2108</v>
      </c>
      <c r="H1375" s="1" t="s">
        <v>22</v>
      </c>
      <c r="I1375" s="1">
        <v>4</v>
      </c>
      <c r="J1375" s="1">
        <v>39841</v>
      </c>
      <c r="K1375" s="1" t="s">
        <v>34</v>
      </c>
      <c r="L1375" s="1" t="s">
        <v>101</v>
      </c>
      <c r="M1375" s="1" t="s">
        <v>686</v>
      </c>
      <c r="N1375" s="1">
        <v>13200</v>
      </c>
      <c r="O1375" s="12">
        <v>13500</v>
      </c>
      <c r="P1375" s="3" t="s">
        <v>46</v>
      </c>
      <c r="Q1375" s="1" cm="1">
        <f t="array" ref="Q1375">VALUE(INDEX(_xlfn.TEXTSPLIT(P1375, " "), 4))</f>
        <v>2014</v>
      </c>
      <c r="R1375" s="1" t="str">
        <f t="shared" si="21"/>
        <v>MINI Cooper Base</v>
      </c>
      <c r="S1375" s="1" t="str" cm="1">
        <f t="array" ref="S1375">_xlfn.IFS(I1375 &gt;= 40, "High", I1375&gt;=20, "Medium", I1375&lt;20, "Low")</f>
        <v>Low</v>
      </c>
      <c r="T1375" s="1" t="str" cm="1">
        <f t="array" ref="T1375">_xlfn.IFS(O1375&lt;18200, "Low", O1375&lt;=50000, "Medium", O1375&gt;50000, "High")</f>
        <v>Low</v>
      </c>
    </row>
    <row r="1376" spans="1:20" x14ac:dyDescent="0.25">
      <c r="A1376" s="2">
        <v>2012</v>
      </c>
      <c r="B1376" s="1" t="s">
        <v>817</v>
      </c>
      <c r="C1376" s="1" t="s">
        <v>2065</v>
      </c>
      <c r="D1376" s="1" t="s">
        <v>2109</v>
      </c>
      <c r="E1376" s="1" t="s">
        <v>32</v>
      </c>
      <c r="F1376" s="1" t="s">
        <v>20</v>
      </c>
      <c r="G1376" s="1" t="s">
        <v>2110</v>
      </c>
      <c r="H1376" s="1" t="s">
        <v>22</v>
      </c>
      <c r="I1376" s="1">
        <v>33</v>
      </c>
      <c r="J1376" s="1">
        <v>20861</v>
      </c>
      <c r="K1376" s="1" t="s">
        <v>24</v>
      </c>
      <c r="L1376" s="1" t="s">
        <v>24</v>
      </c>
      <c r="M1376" s="1" t="s">
        <v>555</v>
      </c>
      <c r="N1376" s="1">
        <v>50600</v>
      </c>
      <c r="O1376" s="12">
        <v>50000</v>
      </c>
      <c r="P1376" s="3" t="s">
        <v>46</v>
      </c>
      <c r="Q1376" s="1" cm="1">
        <f t="array" ref="Q1376">VALUE(INDEX(_xlfn.TEXTSPLIT(P1376, " "), 4))</f>
        <v>2014</v>
      </c>
      <c r="R1376" s="1" t="str">
        <f t="shared" si="21"/>
        <v>Jaguar XJ XJL Supercharged</v>
      </c>
      <c r="S1376" s="1" t="str" cm="1">
        <f t="array" ref="S1376">_xlfn.IFS(I1376 &gt;= 40, "High", I1376&gt;=20, "Medium", I1376&lt;20, "Low")</f>
        <v>Medium</v>
      </c>
      <c r="T1376" s="1" t="str" cm="1">
        <f t="array" ref="T1376">_xlfn.IFS(O1376&lt;18200, "Low", O1376&lt;=50000, "Medium", O1376&gt;50000, "High")</f>
        <v>Medium</v>
      </c>
    </row>
    <row r="1377" spans="1:20" x14ac:dyDescent="0.25">
      <c r="A1377" s="2">
        <v>2012</v>
      </c>
      <c r="B1377" s="1" t="s">
        <v>202</v>
      </c>
      <c r="C1377" s="1" t="s">
        <v>203</v>
      </c>
      <c r="D1377" s="1" t="s">
        <v>54</v>
      </c>
      <c r="E1377" s="1" t="s">
        <v>19</v>
      </c>
      <c r="F1377" s="1" t="s">
        <v>20</v>
      </c>
      <c r="G1377" s="1" t="s">
        <v>2111</v>
      </c>
      <c r="H1377" s="1" t="s">
        <v>22</v>
      </c>
      <c r="I1377" s="1">
        <v>43</v>
      </c>
      <c r="J1377" s="1">
        <v>33323</v>
      </c>
      <c r="K1377" s="1" t="s">
        <v>1341</v>
      </c>
      <c r="L1377" s="1" t="s">
        <v>28</v>
      </c>
      <c r="M1377" s="1" t="s">
        <v>2112</v>
      </c>
      <c r="N1377" s="1">
        <v>30000</v>
      </c>
      <c r="O1377" s="12">
        <v>31500</v>
      </c>
      <c r="P1377" s="3" t="s">
        <v>362</v>
      </c>
      <c r="Q1377" s="1" cm="1">
        <f t="array" ref="Q1377">VALUE(INDEX(_xlfn.TEXTSPLIT(P1377, " "), 4))</f>
        <v>2014</v>
      </c>
      <c r="R1377" s="1" t="str">
        <f t="shared" si="21"/>
        <v>Lexus RX 350 Base</v>
      </c>
      <c r="S1377" s="1" t="str" cm="1">
        <f t="array" ref="S1377">_xlfn.IFS(I1377 &gt;= 40, "High", I1377&gt;=20, "Medium", I1377&lt;20, "Low")</f>
        <v>High</v>
      </c>
      <c r="T1377" s="1" t="str" cm="1">
        <f t="array" ref="T1377">_xlfn.IFS(O1377&lt;18200, "Low", O1377&lt;=50000, "Medium", O1377&gt;50000, "High")</f>
        <v>Medium</v>
      </c>
    </row>
    <row r="1378" spans="1:20" x14ac:dyDescent="0.25">
      <c r="A1378" s="2">
        <v>2012</v>
      </c>
      <c r="B1378" s="1" t="s">
        <v>318</v>
      </c>
      <c r="C1378" s="1" t="s">
        <v>323</v>
      </c>
      <c r="D1378" s="1" t="s">
        <v>324</v>
      </c>
      <c r="E1378" s="1" t="s">
        <v>323</v>
      </c>
      <c r="F1378" s="1" t="s">
        <v>20</v>
      </c>
      <c r="G1378" s="1" t="s">
        <v>2113</v>
      </c>
      <c r="H1378" s="1" t="s">
        <v>22</v>
      </c>
      <c r="I1378" s="1">
        <v>42</v>
      </c>
      <c r="J1378" s="1">
        <v>33382</v>
      </c>
      <c r="K1378" s="1" t="s">
        <v>94</v>
      </c>
      <c r="L1378" s="1" t="s">
        <v>24</v>
      </c>
      <c r="M1378" s="1" t="s">
        <v>322</v>
      </c>
      <c r="N1378" s="1">
        <v>21400</v>
      </c>
      <c r="O1378" s="12">
        <v>22500</v>
      </c>
      <c r="P1378" s="3" t="s">
        <v>46</v>
      </c>
      <c r="Q1378" s="1" cm="1">
        <f t="array" ref="Q1378">VALUE(INDEX(_xlfn.TEXTSPLIT(P1378, " "), 4))</f>
        <v>2014</v>
      </c>
      <c r="R1378" s="1" t="str">
        <f t="shared" si="21"/>
        <v>Infiniti G Sedan G37 Journey</v>
      </c>
      <c r="S1378" s="1" t="str" cm="1">
        <f t="array" ref="S1378">_xlfn.IFS(I1378 &gt;= 40, "High", I1378&gt;=20, "Medium", I1378&lt;20, "Low")</f>
        <v>High</v>
      </c>
      <c r="T1378" s="1" t="str" cm="1">
        <f t="array" ref="T1378">_xlfn.IFS(O1378&lt;18200, "Low", O1378&lt;=50000, "Medium", O1378&gt;50000, "High")</f>
        <v>Medium</v>
      </c>
    </row>
    <row r="1379" spans="1:20" x14ac:dyDescent="0.25">
      <c r="A1379" s="2">
        <v>2012</v>
      </c>
      <c r="B1379" s="1" t="s">
        <v>16</v>
      </c>
      <c r="C1379" s="1" t="s">
        <v>694</v>
      </c>
      <c r="D1379" s="1" t="s">
        <v>623</v>
      </c>
      <c r="E1379" s="1" t="s">
        <v>227</v>
      </c>
      <c r="F1379" s="1" t="s">
        <v>20</v>
      </c>
      <c r="G1379" s="1" t="s">
        <v>2114</v>
      </c>
      <c r="H1379" s="1" t="s">
        <v>22</v>
      </c>
      <c r="I1379" s="1">
        <v>24</v>
      </c>
      <c r="J1379" s="1">
        <v>87145</v>
      </c>
      <c r="K1379" s="1" t="s">
        <v>24</v>
      </c>
      <c r="L1379" s="1" t="s">
        <v>24</v>
      </c>
      <c r="M1379" s="1" t="s">
        <v>83</v>
      </c>
      <c r="N1379" s="1">
        <v>8500</v>
      </c>
      <c r="O1379" s="12">
        <v>7000</v>
      </c>
      <c r="P1379" s="3" t="s">
        <v>593</v>
      </c>
      <c r="Q1379" s="1" cm="1">
        <f t="array" ref="Q1379">VALUE(INDEX(_xlfn.TEXTSPLIT(P1379, " "), 4))</f>
        <v>2015</v>
      </c>
      <c r="R1379" s="1" t="str">
        <f t="shared" si="21"/>
        <v>Kia Forte SX</v>
      </c>
      <c r="S1379" s="1" t="str" cm="1">
        <f t="array" ref="S1379">_xlfn.IFS(I1379 &gt;= 40, "High", I1379&gt;=20, "Medium", I1379&lt;20, "Low")</f>
        <v>Medium</v>
      </c>
      <c r="T1379" s="1" t="str" cm="1">
        <f t="array" ref="T1379">_xlfn.IFS(O1379&lt;18200, "Low", O1379&lt;=50000, "Medium", O1379&gt;50000, "High")</f>
        <v>Low</v>
      </c>
    </row>
    <row r="1380" spans="1:20" x14ac:dyDescent="0.25">
      <c r="A1380" s="2">
        <v>2012</v>
      </c>
      <c r="B1380" s="1" t="s">
        <v>16</v>
      </c>
      <c r="C1380" s="1" t="s">
        <v>786</v>
      </c>
      <c r="D1380" s="1" t="s">
        <v>735</v>
      </c>
      <c r="E1380" s="1" t="s">
        <v>19</v>
      </c>
      <c r="F1380" s="1" t="s">
        <v>20</v>
      </c>
      <c r="G1380" s="1" t="s">
        <v>2115</v>
      </c>
      <c r="H1380" s="1" t="s">
        <v>22</v>
      </c>
      <c r="I1380" s="1">
        <v>38</v>
      </c>
      <c r="J1380" s="1">
        <v>41879</v>
      </c>
      <c r="K1380" s="1" t="s">
        <v>94</v>
      </c>
      <c r="L1380" s="1" t="s">
        <v>34</v>
      </c>
      <c r="M1380" s="1" t="s">
        <v>1176</v>
      </c>
      <c r="N1380" s="1">
        <v>16000</v>
      </c>
      <c r="O1380" s="12">
        <v>16500</v>
      </c>
      <c r="P1380" s="3" t="s">
        <v>68</v>
      </c>
      <c r="Q1380" s="1" cm="1">
        <f t="array" ref="Q1380">VALUE(INDEX(_xlfn.TEXTSPLIT(P1380, " "), 4))</f>
        <v>2014</v>
      </c>
      <c r="R1380" s="1" t="str">
        <f t="shared" si="21"/>
        <v>Kia Sportage EX</v>
      </c>
      <c r="S1380" s="1" t="str" cm="1">
        <f t="array" ref="S1380">_xlfn.IFS(I1380 &gt;= 40, "High", I1380&gt;=20, "Medium", I1380&lt;20, "Low")</f>
        <v>Medium</v>
      </c>
      <c r="T1380" s="1" t="str" cm="1">
        <f t="array" ref="T1380">_xlfn.IFS(O1380&lt;18200, "Low", O1380&lt;=50000, "Medium", O1380&gt;50000, "High")</f>
        <v>Low</v>
      </c>
    </row>
    <row r="1381" spans="1:20" x14ac:dyDescent="0.25">
      <c r="A1381" s="2">
        <v>2012</v>
      </c>
      <c r="B1381" s="1" t="s">
        <v>632</v>
      </c>
      <c r="C1381" s="1" t="s">
        <v>2099</v>
      </c>
      <c r="D1381" s="1" t="s">
        <v>2116</v>
      </c>
      <c r="E1381" s="1" t="s">
        <v>32</v>
      </c>
      <c r="F1381" s="1" t="s">
        <v>20</v>
      </c>
      <c r="G1381" s="1" t="s">
        <v>2117</v>
      </c>
      <c r="H1381" s="1" t="s">
        <v>22</v>
      </c>
      <c r="I1381" s="1">
        <v>41</v>
      </c>
      <c r="J1381" s="1">
        <v>33290</v>
      </c>
      <c r="K1381" s="1" t="s">
        <v>23</v>
      </c>
      <c r="L1381" s="1" t="s">
        <v>28</v>
      </c>
      <c r="M1381" s="1" t="s">
        <v>555</v>
      </c>
      <c r="N1381" s="1">
        <v>14800</v>
      </c>
      <c r="O1381" s="12">
        <v>15500</v>
      </c>
      <c r="P1381" s="3" t="s">
        <v>26</v>
      </c>
      <c r="Q1381" s="1" cm="1">
        <f t="array" ref="Q1381">VALUE(INDEX(_xlfn.TEXTSPLIT(P1381, " "), 4))</f>
        <v>2014</v>
      </c>
      <c r="R1381" s="1" t="str">
        <f t="shared" si="21"/>
        <v>Mazda Mazda6 i Grand Touring</v>
      </c>
      <c r="S1381" s="1" t="str" cm="1">
        <f t="array" ref="S1381">_xlfn.IFS(I1381 &gt;= 40, "High", I1381&gt;=20, "Medium", I1381&lt;20, "Low")</f>
        <v>High</v>
      </c>
      <c r="T1381" s="1" t="str" cm="1">
        <f t="array" ref="T1381">_xlfn.IFS(O1381&lt;18200, "Low", O1381&lt;=50000, "Medium", O1381&gt;50000, "High")</f>
        <v>Low</v>
      </c>
    </row>
    <row r="1382" spans="1:20" x14ac:dyDescent="0.25">
      <c r="A1382" s="2">
        <v>2012</v>
      </c>
      <c r="B1382" s="1" t="s">
        <v>681</v>
      </c>
      <c r="C1382" s="1" t="s">
        <v>684</v>
      </c>
      <c r="D1382" s="1" t="s">
        <v>54</v>
      </c>
      <c r="E1382" s="1" t="s">
        <v>227</v>
      </c>
      <c r="F1382" s="1" t="s">
        <v>20</v>
      </c>
      <c r="G1382" s="1" t="s">
        <v>2118</v>
      </c>
      <c r="H1382" s="1" t="s">
        <v>22</v>
      </c>
      <c r="I1382" s="1">
        <v>42</v>
      </c>
      <c r="J1382" s="1">
        <v>16106</v>
      </c>
      <c r="K1382" s="1" t="s">
        <v>132</v>
      </c>
      <c r="L1382" s="1" t="s">
        <v>101</v>
      </c>
      <c r="M1382" s="1" t="s">
        <v>686</v>
      </c>
      <c r="N1382" s="1">
        <v>15100</v>
      </c>
      <c r="O1382" s="12">
        <v>15750</v>
      </c>
      <c r="P1382" s="3" t="s">
        <v>46</v>
      </c>
      <c r="Q1382" s="1" cm="1">
        <f t="array" ref="Q1382">VALUE(INDEX(_xlfn.TEXTSPLIT(P1382, " "), 4))</f>
        <v>2014</v>
      </c>
      <c r="R1382" s="1" t="str">
        <f t="shared" si="21"/>
        <v>MINI Cooper Base</v>
      </c>
      <c r="S1382" s="1" t="str" cm="1">
        <f t="array" ref="S1382">_xlfn.IFS(I1382 &gt;= 40, "High", I1382&gt;=20, "Medium", I1382&lt;20, "Low")</f>
        <v>High</v>
      </c>
      <c r="T1382" s="1" t="str" cm="1">
        <f t="array" ref="T1382">_xlfn.IFS(O1382&lt;18200, "Low", O1382&lt;=50000, "Medium", O1382&gt;50000, "High")</f>
        <v>Low</v>
      </c>
    </row>
    <row r="1383" spans="1:20" x14ac:dyDescent="0.25">
      <c r="A1383" s="2">
        <v>2012</v>
      </c>
      <c r="B1383" s="1" t="s">
        <v>803</v>
      </c>
      <c r="C1383" s="1" t="s">
        <v>2106</v>
      </c>
      <c r="D1383" s="1" t="s">
        <v>54</v>
      </c>
      <c r="E1383" s="1" t="s">
        <v>19</v>
      </c>
      <c r="F1383" s="1"/>
      <c r="G1383" s="1" t="s">
        <v>2119</v>
      </c>
      <c r="H1383" s="1" t="s">
        <v>22</v>
      </c>
      <c r="I1383" s="1">
        <v>44</v>
      </c>
      <c r="J1383" s="1">
        <v>12897</v>
      </c>
      <c r="K1383" s="1" t="s">
        <v>24</v>
      </c>
      <c r="L1383" s="1" t="s">
        <v>24</v>
      </c>
      <c r="M1383" s="1" t="s">
        <v>1515</v>
      </c>
      <c r="N1383" s="1">
        <v>35100</v>
      </c>
      <c r="O1383" s="12">
        <v>34000</v>
      </c>
      <c r="P1383" s="3" t="s">
        <v>68</v>
      </c>
      <c r="Q1383" s="1" cm="1">
        <f t="array" ref="Q1383">VALUE(INDEX(_xlfn.TEXTSPLIT(P1383, " "), 4))</f>
        <v>2014</v>
      </c>
      <c r="R1383" s="1" t="str">
        <f t="shared" si="21"/>
        <v>Lincoln Navigator Base</v>
      </c>
      <c r="S1383" s="1" t="str" cm="1">
        <f t="array" ref="S1383">_xlfn.IFS(I1383 &gt;= 40, "High", I1383&gt;=20, "Medium", I1383&lt;20, "Low")</f>
        <v>High</v>
      </c>
      <c r="T1383" s="1" t="str" cm="1">
        <f t="array" ref="T1383">_xlfn.IFS(O1383&lt;18200, "Low", O1383&lt;=50000, "Medium", O1383&gt;50000, "High")</f>
        <v>Medium</v>
      </c>
    </row>
    <row r="1384" spans="1:20" x14ac:dyDescent="0.25">
      <c r="A1384" s="2">
        <v>2012</v>
      </c>
      <c r="B1384" s="1" t="s">
        <v>681</v>
      </c>
      <c r="C1384" s="1" t="s">
        <v>684</v>
      </c>
      <c r="D1384" s="1" t="s">
        <v>54</v>
      </c>
      <c r="E1384" s="1" t="s">
        <v>227</v>
      </c>
      <c r="F1384" s="1" t="s">
        <v>20</v>
      </c>
      <c r="G1384" s="1" t="s">
        <v>2120</v>
      </c>
      <c r="H1384" s="1" t="s">
        <v>22</v>
      </c>
      <c r="I1384" s="1">
        <v>39</v>
      </c>
      <c r="J1384" s="1">
        <v>18978</v>
      </c>
      <c r="K1384" s="1" t="s">
        <v>34</v>
      </c>
      <c r="L1384" s="1" t="s">
        <v>101</v>
      </c>
      <c r="M1384" s="1" t="s">
        <v>686</v>
      </c>
      <c r="N1384" s="1">
        <v>14900</v>
      </c>
      <c r="O1384" s="12">
        <v>15000</v>
      </c>
      <c r="P1384" s="3" t="s">
        <v>46</v>
      </c>
      <c r="Q1384" s="1" cm="1">
        <f t="array" ref="Q1384">VALUE(INDEX(_xlfn.TEXTSPLIT(P1384, " "), 4))</f>
        <v>2014</v>
      </c>
      <c r="R1384" s="1" t="str">
        <f t="shared" si="21"/>
        <v>MINI Cooper Base</v>
      </c>
      <c r="S1384" s="1" t="str" cm="1">
        <f t="array" ref="S1384">_xlfn.IFS(I1384 &gt;= 40, "High", I1384&gt;=20, "Medium", I1384&lt;20, "Low")</f>
        <v>Medium</v>
      </c>
      <c r="T1384" s="1" t="str" cm="1">
        <f t="array" ref="T1384">_xlfn.IFS(O1384&lt;18200, "Low", O1384&lt;=50000, "Medium", O1384&gt;50000, "High")</f>
        <v>Low</v>
      </c>
    </row>
    <row r="1385" spans="1:20" x14ac:dyDescent="0.25">
      <c r="A1385" s="2">
        <v>2012</v>
      </c>
      <c r="B1385" s="1" t="s">
        <v>600</v>
      </c>
      <c r="C1385" s="1" t="s">
        <v>790</v>
      </c>
      <c r="D1385" s="1" t="s">
        <v>2121</v>
      </c>
      <c r="E1385" s="1" t="s">
        <v>19</v>
      </c>
      <c r="F1385" s="1" t="s">
        <v>20</v>
      </c>
      <c r="G1385" s="1" t="s">
        <v>2122</v>
      </c>
      <c r="H1385" s="1" t="s">
        <v>22</v>
      </c>
      <c r="I1385" s="1">
        <v>44</v>
      </c>
      <c r="J1385" s="1">
        <v>71702</v>
      </c>
      <c r="K1385" s="1" t="s">
        <v>24</v>
      </c>
      <c r="L1385" s="1" t="s">
        <v>24</v>
      </c>
      <c r="M1385" s="1" t="s">
        <v>1550</v>
      </c>
      <c r="N1385" s="1">
        <v>16250</v>
      </c>
      <c r="O1385" s="12">
        <v>18250</v>
      </c>
      <c r="P1385" s="3" t="s">
        <v>26</v>
      </c>
      <c r="Q1385" s="1" cm="1">
        <f t="array" ref="Q1385">VALUE(INDEX(_xlfn.TEXTSPLIT(P1385, " "), 4))</f>
        <v>2014</v>
      </c>
      <c r="R1385" s="1" t="str">
        <f t="shared" si="21"/>
        <v>Jeep Grand Cherokee Laredo</v>
      </c>
      <c r="S1385" s="1" t="str" cm="1">
        <f t="array" ref="S1385">_xlfn.IFS(I1385 &gt;= 40, "High", I1385&gt;=20, "Medium", I1385&lt;20, "Low")</f>
        <v>High</v>
      </c>
      <c r="T1385" s="1" t="str" cm="1">
        <f t="array" ref="T1385">_xlfn.IFS(O1385&lt;18200, "Low", O1385&lt;=50000, "Medium", O1385&gt;50000, "High")</f>
        <v>Medium</v>
      </c>
    </row>
    <row r="1386" spans="1:20" x14ac:dyDescent="0.25">
      <c r="A1386" s="2">
        <v>2012</v>
      </c>
      <c r="B1386" s="1" t="s">
        <v>202</v>
      </c>
      <c r="C1386" s="1" t="s">
        <v>203</v>
      </c>
      <c r="D1386" s="1" t="s">
        <v>54</v>
      </c>
      <c r="E1386" s="1" t="s">
        <v>19</v>
      </c>
      <c r="F1386" s="1" t="s">
        <v>20</v>
      </c>
      <c r="G1386" s="1" t="s">
        <v>2123</v>
      </c>
      <c r="H1386" s="1" t="s">
        <v>22</v>
      </c>
      <c r="I1386" s="1">
        <v>42</v>
      </c>
      <c r="J1386" s="1">
        <v>35965</v>
      </c>
      <c r="K1386" s="1" t="s">
        <v>34</v>
      </c>
      <c r="L1386" s="1" t="s">
        <v>34</v>
      </c>
      <c r="M1386" s="1" t="s">
        <v>2124</v>
      </c>
      <c r="N1386" s="1">
        <v>27400</v>
      </c>
      <c r="O1386" s="12">
        <v>27500</v>
      </c>
      <c r="P1386" s="3" t="s">
        <v>57</v>
      </c>
      <c r="Q1386" s="1" cm="1">
        <f t="array" ref="Q1386">VALUE(INDEX(_xlfn.TEXTSPLIT(P1386, " "), 4))</f>
        <v>2014</v>
      </c>
      <c r="R1386" s="1" t="str">
        <f t="shared" si="21"/>
        <v>Lexus RX 350 Base</v>
      </c>
      <c r="S1386" s="1" t="str" cm="1">
        <f t="array" ref="S1386">_xlfn.IFS(I1386 &gt;= 40, "High", I1386&gt;=20, "Medium", I1386&lt;20, "Low")</f>
        <v>High</v>
      </c>
      <c r="T1386" s="1" t="str" cm="1">
        <f t="array" ref="T1386">_xlfn.IFS(O1386&lt;18200, "Low", O1386&lt;=50000, "Medium", O1386&gt;50000, "High")</f>
        <v>Medium</v>
      </c>
    </row>
    <row r="1387" spans="1:20" x14ac:dyDescent="0.25">
      <c r="A1387" s="2">
        <v>2012</v>
      </c>
      <c r="B1387" s="1" t="s">
        <v>681</v>
      </c>
      <c r="C1387" s="1" t="s">
        <v>684</v>
      </c>
      <c r="D1387" s="1" t="s">
        <v>54</v>
      </c>
      <c r="E1387" s="1" t="s">
        <v>227</v>
      </c>
      <c r="F1387" s="1" t="s">
        <v>214</v>
      </c>
      <c r="G1387" s="1" t="s">
        <v>2125</v>
      </c>
      <c r="H1387" s="1" t="s">
        <v>22</v>
      </c>
      <c r="I1387" s="1">
        <v>38</v>
      </c>
      <c r="J1387" s="1">
        <v>32427</v>
      </c>
      <c r="K1387" s="1" t="s">
        <v>73</v>
      </c>
      <c r="L1387" s="1" t="s">
        <v>24</v>
      </c>
      <c r="M1387" s="1" t="s">
        <v>686</v>
      </c>
      <c r="N1387" s="1">
        <v>13800</v>
      </c>
      <c r="O1387" s="12">
        <v>13750</v>
      </c>
      <c r="P1387" s="3" t="s">
        <v>46</v>
      </c>
      <c r="Q1387" s="1" cm="1">
        <f t="array" ref="Q1387">VALUE(INDEX(_xlfn.TEXTSPLIT(P1387, " "), 4))</f>
        <v>2014</v>
      </c>
      <c r="R1387" s="1" t="str">
        <f t="shared" si="21"/>
        <v>MINI Cooper Base</v>
      </c>
      <c r="S1387" s="1" t="str" cm="1">
        <f t="array" ref="S1387">_xlfn.IFS(I1387 &gt;= 40, "High", I1387&gt;=20, "Medium", I1387&lt;20, "Low")</f>
        <v>Medium</v>
      </c>
      <c r="T1387" s="1" t="str" cm="1">
        <f t="array" ref="T1387">_xlfn.IFS(O1387&lt;18200, "Low", O1387&lt;=50000, "Medium", O1387&gt;50000, "High")</f>
        <v>Low</v>
      </c>
    </row>
    <row r="1388" spans="1:20" x14ac:dyDescent="0.25">
      <c r="A1388" s="2">
        <v>2012</v>
      </c>
      <c r="B1388" s="1" t="s">
        <v>600</v>
      </c>
      <c r="C1388" s="1" t="s">
        <v>601</v>
      </c>
      <c r="D1388" s="1" t="s">
        <v>784</v>
      </c>
      <c r="E1388" s="1" t="s">
        <v>19</v>
      </c>
      <c r="F1388" s="1" t="s">
        <v>20</v>
      </c>
      <c r="G1388" s="1" t="s">
        <v>2126</v>
      </c>
      <c r="H1388" s="1" t="s">
        <v>22</v>
      </c>
      <c r="I1388" s="1">
        <v>33</v>
      </c>
      <c r="J1388" s="1">
        <v>58226</v>
      </c>
      <c r="K1388" s="1" t="s">
        <v>23</v>
      </c>
      <c r="L1388" s="1" t="s">
        <v>24</v>
      </c>
      <c r="M1388" s="1" t="s">
        <v>56</v>
      </c>
      <c r="N1388" s="1">
        <v>23100</v>
      </c>
      <c r="O1388" s="12">
        <v>21800</v>
      </c>
      <c r="P1388" s="3" t="s">
        <v>270</v>
      </c>
      <c r="Q1388" s="1" cm="1">
        <f t="array" ref="Q1388">VALUE(INDEX(_xlfn.TEXTSPLIT(P1388, " "), 4))</f>
        <v>2014</v>
      </c>
      <c r="R1388" s="1" t="str">
        <f t="shared" si="21"/>
        <v>Jeep Wrangler Unlimited Sport</v>
      </c>
      <c r="S1388" s="1" t="str" cm="1">
        <f t="array" ref="S1388">_xlfn.IFS(I1388 &gt;= 40, "High", I1388&gt;=20, "Medium", I1388&lt;20, "Low")</f>
        <v>Medium</v>
      </c>
      <c r="T1388" s="1" t="str" cm="1">
        <f t="array" ref="T1388">_xlfn.IFS(O1388&lt;18200, "Low", O1388&lt;=50000, "Medium", O1388&gt;50000, "High")</f>
        <v>Medium</v>
      </c>
    </row>
    <row r="1389" spans="1:20" x14ac:dyDescent="0.25">
      <c r="A1389" s="2">
        <v>2012</v>
      </c>
      <c r="B1389" s="1" t="s">
        <v>202</v>
      </c>
      <c r="C1389" s="1" t="s">
        <v>2074</v>
      </c>
      <c r="D1389" s="1" t="s">
        <v>54</v>
      </c>
      <c r="E1389" s="1" t="s">
        <v>32</v>
      </c>
      <c r="F1389" s="1" t="s">
        <v>20</v>
      </c>
      <c r="G1389" s="1" t="s">
        <v>2127</v>
      </c>
      <c r="H1389" s="1" t="s">
        <v>22</v>
      </c>
      <c r="I1389" s="1">
        <v>22</v>
      </c>
      <c r="J1389" s="1">
        <v>49618</v>
      </c>
      <c r="K1389" s="1" t="s">
        <v>34</v>
      </c>
      <c r="L1389" s="1" t="s">
        <v>24</v>
      </c>
      <c r="M1389" s="1" t="s">
        <v>205</v>
      </c>
      <c r="N1389" s="1">
        <v>21300</v>
      </c>
      <c r="O1389" s="12">
        <v>18800</v>
      </c>
      <c r="P1389" s="3" t="s">
        <v>251</v>
      </c>
      <c r="Q1389" s="1" cm="1">
        <f t="array" ref="Q1389">VALUE(INDEX(_xlfn.TEXTSPLIT(P1389, " "), 4))</f>
        <v>2014</v>
      </c>
      <c r="R1389" s="1" t="str">
        <f t="shared" si="21"/>
        <v>Lexus IS 250 Base</v>
      </c>
      <c r="S1389" s="1" t="str" cm="1">
        <f t="array" ref="S1389">_xlfn.IFS(I1389 &gt;= 40, "High", I1389&gt;=20, "Medium", I1389&lt;20, "Low")</f>
        <v>Medium</v>
      </c>
      <c r="T1389" s="1" t="str" cm="1">
        <f t="array" ref="T1389">_xlfn.IFS(O1389&lt;18200, "Low", O1389&lt;=50000, "Medium", O1389&gt;50000, "High")</f>
        <v>Medium</v>
      </c>
    </row>
    <row r="1390" spans="1:20" x14ac:dyDescent="0.25">
      <c r="A1390" s="2">
        <v>2012</v>
      </c>
      <c r="B1390" s="1" t="s">
        <v>817</v>
      </c>
      <c r="C1390" s="1" t="s">
        <v>2065</v>
      </c>
      <c r="D1390" s="1" t="s">
        <v>54</v>
      </c>
      <c r="E1390" s="1" t="s">
        <v>32</v>
      </c>
      <c r="F1390" s="1" t="s">
        <v>20</v>
      </c>
      <c r="G1390" s="1" t="s">
        <v>2128</v>
      </c>
      <c r="H1390" s="1" t="s">
        <v>22</v>
      </c>
      <c r="I1390" s="1">
        <v>42</v>
      </c>
      <c r="J1390" s="1">
        <v>10743</v>
      </c>
      <c r="K1390" s="1" t="s">
        <v>91</v>
      </c>
      <c r="L1390" s="1" t="s">
        <v>24</v>
      </c>
      <c r="M1390" s="1" t="s">
        <v>79</v>
      </c>
      <c r="N1390" s="1">
        <v>41000</v>
      </c>
      <c r="O1390" s="12">
        <v>40750</v>
      </c>
      <c r="P1390" s="3" t="s">
        <v>26</v>
      </c>
      <c r="Q1390" s="1" cm="1">
        <f t="array" ref="Q1390">VALUE(INDEX(_xlfn.TEXTSPLIT(P1390, " "), 4))</f>
        <v>2014</v>
      </c>
      <c r="R1390" s="1" t="str">
        <f t="shared" si="21"/>
        <v>Jaguar XJ Base</v>
      </c>
      <c r="S1390" s="1" t="str" cm="1">
        <f t="array" ref="S1390">_xlfn.IFS(I1390 &gt;= 40, "High", I1390&gt;=20, "Medium", I1390&lt;20, "Low")</f>
        <v>High</v>
      </c>
      <c r="T1390" s="1" t="str" cm="1">
        <f t="array" ref="T1390">_xlfn.IFS(O1390&lt;18200, "Low", O1390&lt;=50000, "Medium", O1390&gt;50000, "High")</f>
        <v>Medium</v>
      </c>
    </row>
    <row r="1391" spans="1:20" x14ac:dyDescent="0.25">
      <c r="A1391" s="2">
        <v>2012</v>
      </c>
      <c r="B1391" s="1" t="s">
        <v>681</v>
      </c>
      <c r="C1391" s="1" t="s">
        <v>684</v>
      </c>
      <c r="D1391" s="1" t="s">
        <v>54</v>
      </c>
      <c r="E1391" s="1" t="s">
        <v>227</v>
      </c>
      <c r="F1391" s="1" t="s">
        <v>20</v>
      </c>
      <c r="G1391" s="1" t="s">
        <v>2129</v>
      </c>
      <c r="H1391" s="1" t="s">
        <v>22</v>
      </c>
      <c r="I1391" s="1">
        <v>39</v>
      </c>
      <c r="J1391" s="1">
        <v>26366</v>
      </c>
      <c r="K1391" s="1" t="s">
        <v>23</v>
      </c>
      <c r="L1391" s="1" t="s">
        <v>101</v>
      </c>
      <c r="M1391" s="1" t="s">
        <v>686</v>
      </c>
      <c r="N1391" s="1">
        <v>14300</v>
      </c>
      <c r="O1391" s="12">
        <v>14000</v>
      </c>
      <c r="P1391" s="3" t="s">
        <v>46</v>
      </c>
      <c r="Q1391" s="1" cm="1">
        <f t="array" ref="Q1391">VALUE(INDEX(_xlfn.TEXTSPLIT(P1391, " "), 4))</f>
        <v>2014</v>
      </c>
      <c r="R1391" s="1" t="str">
        <f t="shared" si="21"/>
        <v>MINI Cooper Base</v>
      </c>
      <c r="S1391" s="1" t="str" cm="1">
        <f t="array" ref="S1391">_xlfn.IFS(I1391 &gt;= 40, "High", I1391&gt;=20, "Medium", I1391&lt;20, "Low")</f>
        <v>Medium</v>
      </c>
      <c r="T1391" s="1" t="str" cm="1">
        <f t="array" ref="T1391">_xlfn.IFS(O1391&lt;18200, "Low", O1391&lt;=50000, "Medium", O1391&gt;50000, "High")</f>
        <v>Low</v>
      </c>
    </row>
    <row r="1392" spans="1:20" x14ac:dyDescent="0.25">
      <c r="A1392" s="2">
        <v>2012</v>
      </c>
      <c r="B1392" s="1" t="s">
        <v>817</v>
      </c>
      <c r="C1392" s="1" t="s">
        <v>2082</v>
      </c>
      <c r="D1392" s="1" t="s">
        <v>2083</v>
      </c>
      <c r="E1392" s="1" t="s">
        <v>71</v>
      </c>
      <c r="F1392" s="1" t="s">
        <v>20</v>
      </c>
      <c r="G1392" s="1" t="s">
        <v>2130</v>
      </c>
      <c r="H1392" s="1" t="s">
        <v>22</v>
      </c>
      <c r="I1392" s="1">
        <v>38</v>
      </c>
      <c r="J1392" s="1">
        <v>14806</v>
      </c>
      <c r="K1392" s="1" t="s">
        <v>34</v>
      </c>
      <c r="L1392" s="1" t="s">
        <v>24</v>
      </c>
      <c r="M1392" s="1" t="s">
        <v>555</v>
      </c>
      <c r="N1392" s="1">
        <v>53800</v>
      </c>
      <c r="O1392" s="12">
        <v>53500</v>
      </c>
      <c r="P1392" s="3" t="s">
        <v>46</v>
      </c>
      <c r="Q1392" s="1" cm="1">
        <f t="array" ref="Q1392">VALUE(INDEX(_xlfn.TEXTSPLIT(P1392, " "), 4))</f>
        <v>2014</v>
      </c>
      <c r="R1392" s="1" t="str">
        <f t="shared" si="21"/>
        <v>Jaguar XK XKR</v>
      </c>
      <c r="S1392" s="1" t="str" cm="1">
        <f t="array" ref="S1392">_xlfn.IFS(I1392 &gt;= 40, "High", I1392&gt;=20, "Medium", I1392&lt;20, "Low")</f>
        <v>Medium</v>
      </c>
      <c r="T1392" s="1" t="str" cm="1">
        <f t="array" ref="T1392">_xlfn.IFS(O1392&lt;18200, "Low", O1392&lt;=50000, "Medium", O1392&gt;50000, "High")</f>
        <v>High</v>
      </c>
    </row>
    <row r="1393" spans="1:20" x14ac:dyDescent="0.25">
      <c r="A1393" s="2">
        <v>2012</v>
      </c>
      <c r="B1393" s="1" t="s">
        <v>318</v>
      </c>
      <c r="C1393" s="1" t="s">
        <v>323</v>
      </c>
      <c r="D1393" s="1" t="s">
        <v>718</v>
      </c>
      <c r="E1393" s="1" t="s">
        <v>323</v>
      </c>
      <c r="F1393" s="1" t="s">
        <v>20</v>
      </c>
      <c r="G1393" s="1" t="s">
        <v>2131</v>
      </c>
      <c r="H1393" s="1" t="s">
        <v>22</v>
      </c>
      <c r="I1393" s="1">
        <v>29</v>
      </c>
      <c r="J1393" s="1">
        <v>54252</v>
      </c>
      <c r="K1393" s="1" t="s">
        <v>34</v>
      </c>
      <c r="L1393" s="1" t="s">
        <v>24</v>
      </c>
      <c r="M1393" s="1" t="s">
        <v>56</v>
      </c>
      <c r="N1393" s="1">
        <v>17800</v>
      </c>
      <c r="O1393" s="12">
        <v>17300</v>
      </c>
      <c r="P1393" s="3" t="s">
        <v>2132</v>
      </c>
      <c r="Q1393" s="1" cm="1">
        <f t="array" ref="Q1393">VALUE(INDEX(_xlfn.TEXTSPLIT(P1393, " "), 4))</f>
        <v>2015</v>
      </c>
      <c r="R1393" s="1" t="str">
        <f t="shared" si="21"/>
        <v>Infiniti G Sedan G37x</v>
      </c>
      <c r="S1393" s="1" t="str" cm="1">
        <f t="array" ref="S1393">_xlfn.IFS(I1393 &gt;= 40, "High", I1393&gt;=20, "Medium", I1393&lt;20, "Low")</f>
        <v>Medium</v>
      </c>
      <c r="T1393" s="1" t="str" cm="1">
        <f t="array" ref="T1393">_xlfn.IFS(O1393&lt;18200, "Low", O1393&lt;=50000, "Medium", O1393&gt;50000, "High")</f>
        <v>Low</v>
      </c>
    </row>
    <row r="1394" spans="1:20" x14ac:dyDescent="0.25">
      <c r="A1394" s="2">
        <v>2012</v>
      </c>
      <c r="B1394" s="1" t="s">
        <v>318</v>
      </c>
      <c r="C1394" s="1" t="s">
        <v>323</v>
      </c>
      <c r="D1394" s="1" t="s">
        <v>324</v>
      </c>
      <c r="E1394" s="1" t="s">
        <v>323</v>
      </c>
      <c r="F1394" s="1" t="s">
        <v>20</v>
      </c>
      <c r="G1394" s="1" t="s">
        <v>2133</v>
      </c>
      <c r="H1394" s="1" t="s">
        <v>22</v>
      </c>
      <c r="I1394" s="1">
        <v>34</v>
      </c>
      <c r="J1394" s="1">
        <v>33849</v>
      </c>
      <c r="K1394" s="1" t="s">
        <v>24</v>
      </c>
      <c r="L1394" s="1" t="s">
        <v>24</v>
      </c>
      <c r="M1394" s="1" t="s">
        <v>322</v>
      </c>
      <c r="N1394" s="1">
        <v>21300</v>
      </c>
      <c r="O1394" s="12">
        <v>20000</v>
      </c>
      <c r="P1394" s="3" t="s">
        <v>46</v>
      </c>
      <c r="Q1394" s="1" cm="1">
        <f t="array" ref="Q1394">VALUE(INDEX(_xlfn.TEXTSPLIT(P1394, " "), 4))</f>
        <v>2014</v>
      </c>
      <c r="R1394" s="1" t="str">
        <f t="shared" si="21"/>
        <v>Infiniti G Sedan G37 Journey</v>
      </c>
      <c r="S1394" s="1" t="str" cm="1">
        <f t="array" ref="S1394">_xlfn.IFS(I1394 &gt;= 40, "High", I1394&gt;=20, "Medium", I1394&lt;20, "Low")</f>
        <v>Medium</v>
      </c>
      <c r="T1394" s="1" t="str" cm="1">
        <f t="array" ref="T1394">_xlfn.IFS(O1394&lt;18200, "Low", O1394&lt;=50000, "Medium", O1394&gt;50000, "High")</f>
        <v>Medium</v>
      </c>
    </row>
    <row r="1395" spans="1:20" x14ac:dyDescent="0.25">
      <c r="A1395" s="2">
        <v>2012</v>
      </c>
      <c r="B1395" s="1" t="s">
        <v>681</v>
      </c>
      <c r="C1395" s="1" t="s">
        <v>682</v>
      </c>
      <c r="D1395" s="1" t="s">
        <v>936</v>
      </c>
      <c r="E1395" s="1" t="s">
        <v>227</v>
      </c>
      <c r="F1395" s="1" t="s">
        <v>20</v>
      </c>
      <c r="G1395" s="1" t="s">
        <v>2134</v>
      </c>
      <c r="H1395" s="1" t="s">
        <v>22</v>
      </c>
      <c r="I1395" s="1">
        <v>33</v>
      </c>
      <c r="J1395" s="1">
        <v>32407</v>
      </c>
      <c r="K1395" s="1" t="s">
        <v>94</v>
      </c>
      <c r="L1395" s="1" t="s">
        <v>101</v>
      </c>
      <c r="M1395" s="1" t="s">
        <v>686</v>
      </c>
      <c r="N1395" s="1">
        <v>16950</v>
      </c>
      <c r="O1395" s="12">
        <v>19000</v>
      </c>
      <c r="P1395" s="3" t="s">
        <v>46</v>
      </c>
      <c r="Q1395" s="1" cm="1">
        <f t="array" ref="Q1395">VALUE(INDEX(_xlfn.TEXTSPLIT(P1395, " "), 4))</f>
        <v>2014</v>
      </c>
      <c r="R1395" s="1" t="str">
        <f t="shared" si="21"/>
        <v>MINI Cooper Clubman S</v>
      </c>
      <c r="S1395" s="1" t="str" cm="1">
        <f t="array" ref="S1395">_xlfn.IFS(I1395 &gt;= 40, "High", I1395&gt;=20, "Medium", I1395&lt;20, "Low")</f>
        <v>Medium</v>
      </c>
      <c r="T1395" s="1" t="str" cm="1">
        <f t="array" ref="T1395">_xlfn.IFS(O1395&lt;18200, "Low", O1395&lt;=50000, "Medium", O1395&gt;50000, "High")</f>
        <v>Medium</v>
      </c>
    </row>
    <row r="1396" spans="1:20" x14ac:dyDescent="0.25">
      <c r="A1396" s="2">
        <v>2012</v>
      </c>
      <c r="B1396" s="1" t="s">
        <v>608</v>
      </c>
      <c r="C1396" s="1" t="s">
        <v>620</v>
      </c>
      <c r="D1396" s="1" t="s">
        <v>640</v>
      </c>
      <c r="E1396" s="1" t="s">
        <v>32</v>
      </c>
      <c r="F1396" s="1" t="s">
        <v>20</v>
      </c>
      <c r="G1396" s="1" t="s">
        <v>2135</v>
      </c>
      <c r="H1396" s="1" t="s">
        <v>22</v>
      </c>
      <c r="I1396" s="1">
        <v>38</v>
      </c>
      <c r="J1396" s="1">
        <v>48020</v>
      </c>
      <c r="K1396" s="1" t="s">
        <v>23</v>
      </c>
      <c r="L1396" s="1" t="s">
        <v>28</v>
      </c>
      <c r="M1396" s="1" t="s">
        <v>2136</v>
      </c>
      <c r="N1396" s="1">
        <v>20300</v>
      </c>
      <c r="O1396" s="12">
        <v>20250</v>
      </c>
      <c r="P1396" s="3" t="s">
        <v>206</v>
      </c>
      <c r="Q1396" s="1" cm="1">
        <f t="array" ref="Q1396">VALUE(INDEX(_xlfn.TEXTSPLIT(P1396, " "), 4))</f>
        <v>2014</v>
      </c>
      <c r="R1396" s="1" t="str">
        <f t="shared" si="21"/>
        <v>Mercedes-Benz C-Class C250 Sport</v>
      </c>
      <c r="S1396" s="1" t="str" cm="1">
        <f t="array" ref="S1396">_xlfn.IFS(I1396 &gt;= 40, "High", I1396&gt;=20, "Medium", I1396&lt;20, "Low")</f>
        <v>Medium</v>
      </c>
      <c r="T1396" s="1" t="str" cm="1">
        <f t="array" ref="T1396">_xlfn.IFS(O1396&lt;18200, "Low", O1396&lt;=50000, "Medium", O1396&gt;50000, "High")</f>
        <v>Medium</v>
      </c>
    </row>
    <row r="1397" spans="1:20" x14ac:dyDescent="0.25">
      <c r="A1397" s="2">
        <v>2012</v>
      </c>
      <c r="B1397" s="1" t="s">
        <v>318</v>
      </c>
      <c r="C1397" s="1" t="s">
        <v>323</v>
      </c>
      <c r="D1397" s="1" t="s">
        <v>324</v>
      </c>
      <c r="E1397" s="1" t="s">
        <v>323</v>
      </c>
      <c r="F1397" s="1" t="s">
        <v>20</v>
      </c>
      <c r="G1397" s="1" t="s">
        <v>2137</v>
      </c>
      <c r="H1397" s="1" t="s">
        <v>22</v>
      </c>
      <c r="I1397" s="1">
        <v>24</v>
      </c>
      <c r="J1397" s="1">
        <v>40700</v>
      </c>
      <c r="K1397" s="1" t="s">
        <v>24</v>
      </c>
      <c r="L1397" s="1" t="s">
        <v>24</v>
      </c>
      <c r="M1397" s="1" t="s">
        <v>322</v>
      </c>
      <c r="N1397" s="1">
        <v>21100</v>
      </c>
      <c r="O1397" s="12">
        <v>20750</v>
      </c>
      <c r="P1397" s="3" t="s">
        <v>26</v>
      </c>
      <c r="Q1397" s="1" cm="1">
        <f t="array" ref="Q1397">VALUE(INDEX(_xlfn.TEXTSPLIT(P1397, " "), 4))</f>
        <v>2014</v>
      </c>
      <c r="R1397" s="1" t="str">
        <f t="shared" si="21"/>
        <v>Infiniti G Sedan G37 Journey</v>
      </c>
      <c r="S1397" s="1" t="str" cm="1">
        <f t="array" ref="S1397">_xlfn.IFS(I1397 &gt;= 40, "High", I1397&gt;=20, "Medium", I1397&lt;20, "Low")</f>
        <v>Medium</v>
      </c>
      <c r="T1397" s="1" t="str" cm="1">
        <f t="array" ref="T1397">_xlfn.IFS(O1397&lt;18200, "Low", O1397&lt;=50000, "Medium", O1397&gt;50000, "High")</f>
        <v>Medium</v>
      </c>
    </row>
    <row r="1398" spans="1:20" x14ac:dyDescent="0.25">
      <c r="A1398" s="2">
        <v>2012</v>
      </c>
      <c r="B1398" s="1" t="s">
        <v>318</v>
      </c>
      <c r="C1398" s="1" t="s">
        <v>648</v>
      </c>
      <c r="D1398" s="1" t="s">
        <v>2138</v>
      </c>
      <c r="E1398" s="1" t="s">
        <v>32</v>
      </c>
      <c r="F1398" s="1" t="s">
        <v>20</v>
      </c>
      <c r="G1398" s="1" t="s">
        <v>2139</v>
      </c>
      <c r="H1398" s="1" t="s">
        <v>22</v>
      </c>
      <c r="I1398" s="1">
        <v>44</v>
      </c>
      <c r="J1398" s="1">
        <v>45538</v>
      </c>
      <c r="K1398" s="1" t="s">
        <v>23</v>
      </c>
      <c r="L1398" s="1" t="s">
        <v>34</v>
      </c>
      <c r="M1398" s="1" t="s">
        <v>322</v>
      </c>
      <c r="N1398" s="1">
        <v>24700</v>
      </c>
      <c r="O1398" s="12">
        <v>29250</v>
      </c>
      <c r="P1398" s="3" t="s">
        <v>36</v>
      </c>
      <c r="Q1398" s="1" cm="1">
        <f t="array" ref="Q1398">VALUE(INDEX(_xlfn.TEXTSPLIT(P1398, " "), 4))</f>
        <v>2015</v>
      </c>
      <c r="R1398" s="1" t="str">
        <f t="shared" si="21"/>
        <v>Infiniti M M35h</v>
      </c>
      <c r="S1398" s="1" t="str" cm="1">
        <f t="array" ref="S1398">_xlfn.IFS(I1398 &gt;= 40, "High", I1398&gt;=20, "Medium", I1398&lt;20, "Low")</f>
        <v>High</v>
      </c>
      <c r="T1398" s="1" t="str" cm="1">
        <f t="array" ref="T1398">_xlfn.IFS(O1398&lt;18200, "Low", O1398&lt;=50000, "Medium", O1398&gt;50000, "High")</f>
        <v>Medium</v>
      </c>
    </row>
    <row r="1399" spans="1:20" x14ac:dyDescent="0.25">
      <c r="A1399" s="2">
        <v>2012</v>
      </c>
      <c r="B1399" s="1" t="s">
        <v>817</v>
      </c>
      <c r="C1399" s="1" t="s">
        <v>2082</v>
      </c>
      <c r="D1399" s="1" t="s">
        <v>54</v>
      </c>
      <c r="E1399" s="1" t="s">
        <v>107</v>
      </c>
      <c r="F1399" s="1" t="s">
        <v>20</v>
      </c>
      <c r="G1399" s="1" t="s">
        <v>2140</v>
      </c>
      <c r="H1399" s="1" t="s">
        <v>22</v>
      </c>
      <c r="I1399" s="1">
        <v>21</v>
      </c>
      <c r="J1399" s="1">
        <v>9708</v>
      </c>
      <c r="K1399" s="1" t="s">
        <v>24</v>
      </c>
      <c r="L1399" s="1" t="s">
        <v>24</v>
      </c>
      <c r="M1399" s="1" t="s">
        <v>555</v>
      </c>
      <c r="N1399" s="1">
        <v>48500</v>
      </c>
      <c r="O1399" s="12">
        <v>43200</v>
      </c>
      <c r="P1399" s="3" t="s">
        <v>46</v>
      </c>
      <c r="Q1399" s="1" cm="1">
        <f t="array" ref="Q1399">VALUE(INDEX(_xlfn.TEXTSPLIT(P1399, " "), 4))</f>
        <v>2014</v>
      </c>
      <c r="R1399" s="1" t="str">
        <f t="shared" si="21"/>
        <v>Jaguar XK Base</v>
      </c>
      <c r="S1399" s="1" t="str" cm="1">
        <f t="array" ref="S1399">_xlfn.IFS(I1399 &gt;= 40, "High", I1399&gt;=20, "Medium", I1399&lt;20, "Low")</f>
        <v>Medium</v>
      </c>
      <c r="T1399" s="1" t="str" cm="1">
        <f t="array" ref="T1399">_xlfn.IFS(O1399&lt;18200, "Low", O1399&lt;=50000, "Medium", O1399&gt;50000, "High")</f>
        <v>Medium</v>
      </c>
    </row>
    <row r="1400" spans="1:20" x14ac:dyDescent="0.25">
      <c r="A1400" s="2">
        <v>2012</v>
      </c>
      <c r="B1400" s="1" t="s">
        <v>608</v>
      </c>
      <c r="C1400" s="1" t="s">
        <v>673</v>
      </c>
      <c r="D1400" s="1" t="s">
        <v>905</v>
      </c>
      <c r="E1400" s="1" t="s">
        <v>71</v>
      </c>
      <c r="F1400" s="1" t="s">
        <v>20</v>
      </c>
      <c r="G1400" s="1" t="s">
        <v>2141</v>
      </c>
      <c r="H1400" s="1" t="s">
        <v>22</v>
      </c>
      <c r="I1400" s="1">
        <v>35</v>
      </c>
      <c r="J1400" s="1">
        <v>43642</v>
      </c>
      <c r="K1400" s="1" t="s">
        <v>23</v>
      </c>
      <c r="L1400" s="1" t="s">
        <v>24</v>
      </c>
      <c r="M1400" s="1" t="s">
        <v>56</v>
      </c>
      <c r="N1400" s="1">
        <v>30000</v>
      </c>
      <c r="O1400" s="12">
        <v>27900</v>
      </c>
      <c r="P1400" s="3" t="s">
        <v>783</v>
      </c>
      <c r="Q1400" s="1" cm="1">
        <f t="array" ref="Q1400">VALUE(INDEX(_xlfn.TEXTSPLIT(P1400, " "), 4))</f>
        <v>2015</v>
      </c>
      <c r="R1400" s="1" t="str">
        <f t="shared" si="21"/>
        <v>Mercedes-Benz E-Class E350</v>
      </c>
      <c r="S1400" s="1" t="str" cm="1">
        <f t="array" ref="S1400">_xlfn.IFS(I1400 &gt;= 40, "High", I1400&gt;=20, "Medium", I1400&lt;20, "Low")</f>
        <v>Medium</v>
      </c>
      <c r="T1400" s="1" t="str" cm="1">
        <f t="array" ref="T1400">_xlfn.IFS(O1400&lt;18200, "Low", O1400&lt;=50000, "Medium", O1400&gt;50000, "High")</f>
        <v>Medium</v>
      </c>
    </row>
    <row r="1401" spans="1:20" x14ac:dyDescent="0.25">
      <c r="A1401" s="2">
        <v>2012</v>
      </c>
      <c r="B1401" s="1" t="s">
        <v>318</v>
      </c>
      <c r="C1401" s="1" t="s">
        <v>323</v>
      </c>
      <c r="D1401" s="1" t="s">
        <v>324</v>
      </c>
      <c r="E1401" s="1" t="s">
        <v>323</v>
      </c>
      <c r="F1401" s="1" t="s">
        <v>214</v>
      </c>
      <c r="G1401" s="1" t="s">
        <v>2142</v>
      </c>
      <c r="H1401" s="1" t="s">
        <v>22</v>
      </c>
      <c r="I1401" s="1">
        <v>35</v>
      </c>
      <c r="J1401" s="1">
        <v>25896</v>
      </c>
      <c r="K1401" s="1" t="s">
        <v>24</v>
      </c>
      <c r="L1401" s="1" t="s">
        <v>24</v>
      </c>
      <c r="M1401" s="1" t="s">
        <v>322</v>
      </c>
      <c r="N1401" s="1">
        <v>22000</v>
      </c>
      <c r="O1401" s="12">
        <v>25250</v>
      </c>
      <c r="P1401" s="3" t="s">
        <v>173</v>
      </c>
      <c r="Q1401" s="1" cm="1">
        <f t="array" ref="Q1401">VALUE(INDEX(_xlfn.TEXTSPLIT(P1401, " "), 4))</f>
        <v>2015</v>
      </c>
      <c r="R1401" s="1" t="str">
        <f t="shared" si="21"/>
        <v>Infiniti G Sedan G37 Journey</v>
      </c>
      <c r="S1401" s="1" t="str" cm="1">
        <f t="array" ref="S1401">_xlfn.IFS(I1401 &gt;= 40, "High", I1401&gt;=20, "Medium", I1401&lt;20, "Low")</f>
        <v>Medium</v>
      </c>
      <c r="T1401" s="1" t="str" cm="1">
        <f t="array" ref="T1401">_xlfn.IFS(O1401&lt;18200, "Low", O1401&lt;=50000, "Medium", O1401&gt;50000, "High")</f>
        <v>Medium</v>
      </c>
    </row>
    <row r="1402" spans="1:20" x14ac:dyDescent="0.25">
      <c r="A1402" s="2">
        <v>2012</v>
      </c>
      <c r="B1402" s="1" t="s">
        <v>681</v>
      </c>
      <c r="C1402" s="1" t="s">
        <v>684</v>
      </c>
      <c r="D1402" s="1" t="s">
        <v>54</v>
      </c>
      <c r="E1402" s="1" t="s">
        <v>227</v>
      </c>
      <c r="F1402" s="1" t="s">
        <v>214</v>
      </c>
      <c r="G1402" s="1" t="s">
        <v>2143</v>
      </c>
      <c r="H1402" s="1" t="s">
        <v>22</v>
      </c>
      <c r="I1402" s="1">
        <v>38</v>
      </c>
      <c r="J1402" s="1">
        <v>34689</v>
      </c>
      <c r="K1402" s="1" t="s">
        <v>73</v>
      </c>
      <c r="L1402" s="1" t="s">
        <v>101</v>
      </c>
      <c r="M1402" s="1" t="s">
        <v>686</v>
      </c>
      <c r="N1402" s="1">
        <v>12800</v>
      </c>
      <c r="O1402" s="12">
        <v>11700</v>
      </c>
      <c r="P1402" s="3" t="s">
        <v>365</v>
      </c>
      <c r="Q1402" s="1" cm="1">
        <f t="array" ref="Q1402">VALUE(INDEX(_xlfn.TEXTSPLIT(P1402, " "), 4))</f>
        <v>2015</v>
      </c>
      <c r="R1402" s="1" t="str">
        <f t="shared" si="21"/>
        <v>MINI Cooper Base</v>
      </c>
      <c r="S1402" s="1" t="str" cm="1">
        <f t="array" ref="S1402">_xlfn.IFS(I1402 &gt;= 40, "High", I1402&gt;=20, "Medium", I1402&lt;20, "Low")</f>
        <v>Medium</v>
      </c>
      <c r="T1402" s="1" t="str" cm="1">
        <f t="array" ref="T1402">_xlfn.IFS(O1402&lt;18200, "Low", O1402&lt;=50000, "Medium", O1402&gt;50000, "High")</f>
        <v>Low</v>
      </c>
    </row>
    <row r="1403" spans="1:20" x14ac:dyDescent="0.25">
      <c r="A1403" s="2">
        <v>2012</v>
      </c>
      <c r="B1403" s="1" t="s">
        <v>608</v>
      </c>
      <c r="C1403" s="1" t="s">
        <v>620</v>
      </c>
      <c r="D1403" s="1" t="s">
        <v>640</v>
      </c>
      <c r="E1403" s="1" t="s">
        <v>32</v>
      </c>
      <c r="F1403" s="1" t="s">
        <v>20</v>
      </c>
      <c r="G1403" s="1" t="s">
        <v>2144</v>
      </c>
      <c r="H1403" s="1" t="s">
        <v>22</v>
      </c>
      <c r="I1403" s="1">
        <v>28</v>
      </c>
      <c r="J1403" s="1">
        <v>9628</v>
      </c>
      <c r="K1403" s="1" t="s">
        <v>91</v>
      </c>
      <c r="L1403" s="1" t="s">
        <v>24</v>
      </c>
      <c r="M1403" s="1" t="s">
        <v>612</v>
      </c>
      <c r="N1403" s="1">
        <v>23800</v>
      </c>
      <c r="O1403" s="12">
        <v>22500</v>
      </c>
      <c r="P1403" s="3" t="s">
        <v>46</v>
      </c>
      <c r="Q1403" s="1" cm="1">
        <f t="array" ref="Q1403">VALUE(INDEX(_xlfn.TEXTSPLIT(P1403, " "), 4))</f>
        <v>2014</v>
      </c>
      <c r="R1403" s="1" t="str">
        <f t="shared" si="21"/>
        <v>Mercedes-Benz C-Class C250 Sport</v>
      </c>
      <c r="S1403" s="1" t="str" cm="1">
        <f t="array" ref="S1403">_xlfn.IFS(I1403 &gt;= 40, "High", I1403&gt;=20, "Medium", I1403&lt;20, "Low")</f>
        <v>Medium</v>
      </c>
      <c r="T1403" s="1" t="str" cm="1">
        <f t="array" ref="T1403">_xlfn.IFS(O1403&lt;18200, "Low", O1403&lt;=50000, "Medium", O1403&gt;50000, "High")</f>
        <v>Medium</v>
      </c>
    </row>
    <row r="1404" spans="1:20" x14ac:dyDescent="0.25">
      <c r="A1404" s="2">
        <v>2012</v>
      </c>
      <c r="B1404" s="1" t="s">
        <v>681</v>
      </c>
      <c r="C1404" s="1" t="s">
        <v>684</v>
      </c>
      <c r="D1404" s="1" t="s">
        <v>936</v>
      </c>
      <c r="E1404" s="1" t="s">
        <v>227</v>
      </c>
      <c r="F1404" s="1" t="s">
        <v>20</v>
      </c>
      <c r="G1404" s="1" t="s">
        <v>2145</v>
      </c>
      <c r="H1404" s="1" t="s">
        <v>22</v>
      </c>
      <c r="I1404" s="1">
        <v>35</v>
      </c>
      <c r="J1404" s="1">
        <v>39614</v>
      </c>
      <c r="K1404" s="1" t="s">
        <v>94</v>
      </c>
      <c r="L1404" s="1" t="s">
        <v>101</v>
      </c>
      <c r="M1404" s="1" t="s">
        <v>686</v>
      </c>
      <c r="N1404" s="1">
        <v>15500</v>
      </c>
      <c r="O1404" s="12">
        <v>16250</v>
      </c>
      <c r="P1404" s="3" t="s">
        <v>46</v>
      </c>
      <c r="Q1404" s="1" cm="1">
        <f t="array" ref="Q1404">VALUE(INDEX(_xlfn.TEXTSPLIT(P1404, " "), 4))</f>
        <v>2014</v>
      </c>
      <c r="R1404" s="1" t="str">
        <f t="shared" si="21"/>
        <v>MINI Cooper S</v>
      </c>
      <c r="S1404" s="1" t="str" cm="1">
        <f t="array" ref="S1404">_xlfn.IFS(I1404 &gt;= 40, "High", I1404&gt;=20, "Medium", I1404&lt;20, "Low")</f>
        <v>Medium</v>
      </c>
      <c r="T1404" s="1" t="str" cm="1">
        <f t="array" ref="T1404">_xlfn.IFS(O1404&lt;18200, "Low", O1404&lt;=50000, "Medium", O1404&gt;50000, "High")</f>
        <v>Low</v>
      </c>
    </row>
    <row r="1405" spans="1:20" x14ac:dyDescent="0.25">
      <c r="A1405" s="2">
        <v>2012</v>
      </c>
      <c r="B1405" s="1" t="s">
        <v>318</v>
      </c>
      <c r="C1405" s="1" t="s">
        <v>323</v>
      </c>
      <c r="D1405" s="1" t="s">
        <v>324</v>
      </c>
      <c r="E1405" s="1" t="s">
        <v>323</v>
      </c>
      <c r="F1405" s="1" t="s">
        <v>20</v>
      </c>
      <c r="G1405" s="1" t="s">
        <v>2146</v>
      </c>
      <c r="H1405" s="1" t="s">
        <v>22</v>
      </c>
      <c r="I1405" s="1">
        <v>38</v>
      </c>
      <c r="J1405" s="1">
        <v>19479</v>
      </c>
      <c r="K1405" s="1" t="s">
        <v>24</v>
      </c>
      <c r="L1405" s="1" t="s">
        <v>34</v>
      </c>
      <c r="M1405" s="1" t="s">
        <v>322</v>
      </c>
      <c r="N1405" s="1">
        <v>22900</v>
      </c>
      <c r="O1405" s="12">
        <v>21250</v>
      </c>
      <c r="P1405" s="3" t="s">
        <v>46</v>
      </c>
      <c r="Q1405" s="1" cm="1">
        <f t="array" ref="Q1405">VALUE(INDEX(_xlfn.TEXTSPLIT(P1405, " "), 4))</f>
        <v>2014</v>
      </c>
      <c r="R1405" s="1" t="str">
        <f t="shared" si="21"/>
        <v>Infiniti G Sedan G37 Journey</v>
      </c>
      <c r="S1405" s="1" t="str" cm="1">
        <f t="array" ref="S1405">_xlfn.IFS(I1405 &gt;= 40, "High", I1405&gt;=20, "Medium", I1405&lt;20, "Low")</f>
        <v>Medium</v>
      </c>
      <c r="T1405" s="1" t="str" cm="1">
        <f t="array" ref="T1405">_xlfn.IFS(O1405&lt;18200, "Low", O1405&lt;=50000, "Medium", O1405&gt;50000, "High")</f>
        <v>Medium</v>
      </c>
    </row>
    <row r="1406" spans="1:20" x14ac:dyDescent="0.25">
      <c r="A1406" s="2">
        <v>2012</v>
      </c>
      <c r="B1406" s="1" t="s">
        <v>318</v>
      </c>
      <c r="C1406" s="1" t="s">
        <v>648</v>
      </c>
      <c r="D1406" s="1" t="s">
        <v>649</v>
      </c>
      <c r="E1406" s="1" t="s">
        <v>32</v>
      </c>
      <c r="F1406" s="1" t="s">
        <v>20</v>
      </c>
      <c r="G1406" s="1" t="s">
        <v>2147</v>
      </c>
      <c r="H1406" s="1" t="s">
        <v>22</v>
      </c>
      <c r="I1406" s="1">
        <v>45</v>
      </c>
      <c r="J1406" s="1">
        <v>26668</v>
      </c>
      <c r="K1406" s="1" t="s">
        <v>34</v>
      </c>
      <c r="L1406" s="1" t="s">
        <v>24</v>
      </c>
      <c r="M1406" s="1" t="s">
        <v>322</v>
      </c>
      <c r="N1406" s="1">
        <v>28200</v>
      </c>
      <c r="O1406" s="12">
        <v>27250</v>
      </c>
      <c r="P1406" s="3" t="s">
        <v>46</v>
      </c>
      <c r="Q1406" s="1" cm="1">
        <f t="array" ref="Q1406">VALUE(INDEX(_xlfn.TEXTSPLIT(P1406, " "), 4))</f>
        <v>2014</v>
      </c>
      <c r="R1406" s="1" t="str">
        <f t="shared" si="21"/>
        <v>Infiniti M M37</v>
      </c>
      <c r="S1406" s="1" t="str" cm="1">
        <f t="array" ref="S1406">_xlfn.IFS(I1406 &gt;= 40, "High", I1406&gt;=20, "Medium", I1406&lt;20, "Low")</f>
        <v>High</v>
      </c>
      <c r="T1406" s="1" t="str" cm="1">
        <f t="array" ref="T1406">_xlfn.IFS(O1406&lt;18200, "Low", O1406&lt;=50000, "Medium", O1406&gt;50000, "High")</f>
        <v>Medium</v>
      </c>
    </row>
    <row r="1407" spans="1:20" x14ac:dyDescent="0.25">
      <c r="A1407" s="2">
        <v>2012</v>
      </c>
      <c r="B1407" s="1" t="s">
        <v>817</v>
      </c>
      <c r="C1407" s="1" t="s">
        <v>818</v>
      </c>
      <c r="D1407" s="1" t="s">
        <v>2148</v>
      </c>
      <c r="E1407" s="1" t="s">
        <v>32</v>
      </c>
      <c r="F1407" s="1" t="s">
        <v>20</v>
      </c>
      <c r="G1407" s="1" t="s">
        <v>2149</v>
      </c>
      <c r="H1407" s="1" t="s">
        <v>22</v>
      </c>
      <c r="I1407" s="1">
        <v>39</v>
      </c>
      <c r="J1407" s="1">
        <v>37908</v>
      </c>
      <c r="K1407" s="1" t="s">
        <v>24</v>
      </c>
      <c r="L1407" s="1" t="s">
        <v>132</v>
      </c>
      <c r="M1407" s="1" t="s">
        <v>555</v>
      </c>
      <c r="N1407" s="1">
        <v>29900</v>
      </c>
      <c r="O1407" s="12">
        <v>30500</v>
      </c>
      <c r="P1407" s="3" t="s">
        <v>46</v>
      </c>
      <c r="Q1407" s="1" cm="1">
        <f t="array" ref="Q1407">VALUE(INDEX(_xlfn.TEXTSPLIT(P1407, " "), 4))</f>
        <v>2014</v>
      </c>
      <c r="R1407" s="1" t="str">
        <f t="shared" si="21"/>
        <v>Jaguar XF Portfolio</v>
      </c>
      <c r="S1407" s="1" t="str" cm="1">
        <f t="array" ref="S1407">_xlfn.IFS(I1407 &gt;= 40, "High", I1407&gt;=20, "Medium", I1407&lt;20, "Low")</f>
        <v>Medium</v>
      </c>
      <c r="T1407" s="1" t="str" cm="1">
        <f t="array" ref="T1407">_xlfn.IFS(O1407&lt;18200, "Low", O1407&lt;=50000, "Medium", O1407&gt;50000, "High")</f>
        <v>Medium</v>
      </c>
    </row>
    <row r="1408" spans="1:20" x14ac:dyDescent="0.25">
      <c r="A1408" s="2">
        <v>2012</v>
      </c>
      <c r="B1408" s="1" t="s">
        <v>318</v>
      </c>
      <c r="C1408" s="1" t="s">
        <v>648</v>
      </c>
      <c r="D1408" s="1" t="s">
        <v>649</v>
      </c>
      <c r="E1408" s="1" t="s">
        <v>32</v>
      </c>
      <c r="F1408" s="1" t="s">
        <v>20</v>
      </c>
      <c r="G1408" s="1" t="s">
        <v>2150</v>
      </c>
      <c r="H1408" s="1" t="s">
        <v>22</v>
      </c>
      <c r="I1408" s="1">
        <v>41</v>
      </c>
      <c r="J1408" s="1">
        <v>42871</v>
      </c>
      <c r="K1408" s="1" t="s">
        <v>101</v>
      </c>
      <c r="L1408" s="1" t="s">
        <v>28</v>
      </c>
      <c r="M1408" s="1" t="s">
        <v>322</v>
      </c>
      <c r="N1408" s="1">
        <v>25600</v>
      </c>
      <c r="O1408" s="12">
        <v>24000</v>
      </c>
      <c r="P1408" s="3" t="s">
        <v>46</v>
      </c>
      <c r="Q1408" s="1" cm="1">
        <f t="array" ref="Q1408">VALUE(INDEX(_xlfn.TEXTSPLIT(P1408, " "), 4))</f>
        <v>2014</v>
      </c>
      <c r="R1408" s="1" t="str">
        <f t="shared" si="21"/>
        <v>Infiniti M M37</v>
      </c>
      <c r="S1408" s="1" t="str" cm="1">
        <f t="array" ref="S1408">_xlfn.IFS(I1408 &gt;= 40, "High", I1408&gt;=20, "Medium", I1408&lt;20, "Low")</f>
        <v>High</v>
      </c>
      <c r="T1408" s="1" t="str" cm="1">
        <f t="array" ref="T1408">_xlfn.IFS(O1408&lt;18200, "Low", O1408&lt;=50000, "Medium", O1408&gt;50000, "High")</f>
        <v>Medium</v>
      </c>
    </row>
    <row r="1409" spans="1:20" x14ac:dyDescent="0.25">
      <c r="A1409" s="2">
        <v>2012</v>
      </c>
      <c r="B1409" s="1" t="s">
        <v>632</v>
      </c>
      <c r="C1409" s="1" t="s">
        <v>688</v>
      </c>
      <c r="D1409" s="1" t="s">
        <v>646</v>
      </c>
      <c r="E1409" s="1" t="s">
        <v>19</v>
      </c>
      <c r="F1409" s="1" t="s">
        <v>20</v>
      </c>
      <c r="G1409" s="1" t="s">
        <v>2151</v>
      </c>
      <c r="H1409" s="1" t="s">
        <v>22</v>
      </c>
      <c r="I1409" s="1">
        <v>42</v>
      </c>
      <c r="J1409" s="1">
        <v>21215</v>
      </c>
      <c r="K1409" s="1" t="s">
        <v>24</v>
      </c>
      <c r="L1409" s="1" t="s">
        <v>24</v>
      </c>
      <c r="M1409" s="1" t="s">
        <v>555</v>
      </c>
      <c r="N1409" s="1">
        <v>22000</v>
      </c>
      <c r="O1409" s="12">
        <v>23750</v>
      </c>
      <c r="P1409" s="3" t="s">
        <v>26</v>
      </c>
      <c r="Q1409" s="1" cm="1">
        <f t="array" ref="Q1409">VALUE(INDEX(_xlfn.TEXTSPLIT(P1409, " "), 4))</f>
        <v>2014</v>
      </c>
      <c r="R1409" s="1" t="str">
        <f t="shared" si="21"/>
        <v>Mazda CX-9 Touring</v>
      </c>
      <c r="S1409" s="1" t="str" cm="1">
        <f t="array" ref="S1409">_xlfn.IFS(I1409 &gt;= 40, "High", I1409&gt;=20, "Medium", I1409&lt;20, "Low")</f>
        <v>High</v>
      </c>
      <c r="T1409" s="1" t="str" cm="1">
        <f t="array" ref="T1409">_xlfn.IFS(O1409&lt;18200, "Low", O1409&lt;=50000, "Medium", O1409&gt;50000, "High")</f>
        <v>Medium</v>
      </c>
    </row>
    <row r="1410" spans="1:20" x14ac:dyDescent="0.25">
      <c r="A1410" s="2">
        <v>2012</v>
      </c>
      <c r="B1410" s="1" t="s">
        <v>318</v>
      </c>
      <c r="C1410" s="1" t="s">
        <v>648</v>
      </c>
      <c r="D1410" s="1" t="s">
        <v>649</v>
      </c>
      <c r="E1410" s="1" t="s">
        <v>32</v>
      </c>
      <c r="F1410" s="1" t="s">
        <v>20</v>
      </c>
      <c r="G1410" s="1" t="s">
        <v>2152</v>
      </c>
      <c r="H1410" s="1" t="s">
        <v>22</v>
      </c>
      <c r="I1410" s="1">
        <v>42</v>
      </c>
      <c r="J1410" s="1">
        <v>31762</v>
      </c>
      <c r="K1410" s="1" t="s">
        <v>101</v>
      </c>
      <c r="L1410" s="1" t="s">
        <v>24</v>
      </c>
      <c r="M1410" s="1" t="s">
        <v>322</v>
      </c>
      <c r="N1410" s="1">
        <v>26600</v>
      </c>
      <c r="O1410" s="12">
        <v>26500</v>
      </c>
      <c r="P1410" s="3" t="s">
        <v>36</v>
      </c>
      <c r="Q1410" s="1" cm="1">
        <f t="array" ref="Q1410">VALUE(INDEX(_xlfn.TEXTSPLIT(P1410, " "), 4))</f>
        <v>2015</v>
      </c>
      <c r="R1410" s="1" t="str">
        <f t="shared" si="21"/>
        <v>Infiniti M M37</v>
      </c>
      <c r="S1410" s="1" t="str" cm="1">
        <f t="array" ref="S1410">_xlfn.IFS(I1410 &gt;= 40, "High", I1410&gt;=20, "Medium", I1410&lt;20, "Low")</f>
        <v>High</v>
      </c>
      <c r="T1410" s="1" t="str" cm="1">
        <f t="array" ref="T1410">_xlfn.IFS(O1410&lt;18200, "Low", O1410&lt;=50000, "Medium", O1410&gt;50000, "High")</f>
        <v>Medium</v>
      </c>
    </row>
    <row r="1411" spans="1:20" x14ac:dyDescent="0.25">
      <c r="A1411" s="2">
        <v>2012</v>
      </c>
      <c r="B1411" s="1" t="s">
        <v>16</v>
      </c>
      <c r="C1411" s="1" t="s">
        <v>786</v>
      </c>
      <c r="D1411" s="1" t="s">
        <v>735</v>
      </c>
      <c r="E1411" s="1" t="s">
        <v>19</v>
      </c>
      <c r="F1411" s="1" t="s">
        <v>20</v>
      </c>
      <c r="G1411" s="1" t="s">
        <v>2153</v>
      </c>
      <c r="H1411" s="1" t="s">
        <v>22</v>
      </c>
      <c r="I1411" s="1">
        <v>41</v>
      </c>
      <c r="J1411" s="1">
        <v>28510</v>
      </c>
      <c r="K1411" s="1" t="s">
        <v>24</v>
      </c>
      <c r="L1411" s="1" t="s">
        <v>34</v>
      </c>
      <c r="M1411" s="1" t="s">
        <v>692</v>
      </c>
      <c r="N1411" s="1">
        <v>16700</v>
      </c>
      <c r="O1411" s="12">
        <v>13700</v>
      </c>
      <c r="P1411" s="3" t="s">
        <v>834</v>
      </c>
      <c r="Q1411" s="1" cm="1">
        <f t="array" ref="Q1411">VALUE(INDEX(_xlfn.TEXTSPLIT(P1411, " "), 4))</f>
        <v>2014</v>
      </c>
      <c r="R1411" s="1" t="str">
        <f t="shared" ref="R1411:R1474" si="22">_xlfn.TEXTJOIN(" ", TRUE, B1411, C1411, D1411)</f>
        <v>Kia Sportage EX</v>
      </c>
      <c r="S1411" s="1" t="str" cm="1">
        <f t="array" ref="S1411">_xlfn.IFS(I1411 &gt;= 40, "High", I1411&gt;=20, "Medium", I1411&lt;20, "Low")</f>
        <v>High</v>
      </c>
      <c r="T1411" s="1" t="str" cm="1">
        <f t="array" ref="T1411">_xlfn.IFS(O1411&lt;18200, "Low", O1411&lt;=50000, "Medium", O1411&gt;50000, "High")</f>
        <v>Low</v>
      </c>
    </row>
    <row r="1412" spans="1:20" x14ac:dyDescent="0.25">
      <c r="A1412" s="2">
        <v>2012</v>
      </c>
      <c r="B1412" s="1" t="s">
        <v>608</v>
      </c>
      <c r="C1412" s="1" t="s">
        <v>673</v>
      </c>
      <c r="D1412" s="1" t="s">
        <v>905</v>
      </c>
      <c r="E1412" s="1" t="s">
        <v>107</v>
      </c>
      <c r="F1412" s="1" t="s">
        <v>20</v>
      </c>
      <c r="G1412" s="1" t="s">
        <v>2154</v>
      </c>
      <c r="H1412" s="1" t="s">
        <v>22</v>
      </c>
      <c r="I1412" s="1">
        <v>4</v>
      </c>
      <c r="J1412" s="1">
        <v>28993</v>
      </c>
      <c r="K1412" s="1" t="s">
        <v>23</v>
      </c>
      <c r="L1412" s="1" t="s">
        <v>34</v>
      </c>
      <c r="M1412" s="1" t="s">
        <v>676</v>
      </c>
      <c r="N1412" s="1">
        <v>29500</v>
      </c>
      <c r="O1412" s="12">
        <v>25500</v>
      </c>
      <c r="P1412" s="3" t="s">
        <v>68</v>
      </c>
      <c r="Q1412" s="1" cm="1">
        <f t="array" ref="Q1412">VALUE(INDEX(_xlfn.TEXTSPLIT(P1412, " "), 4))</f>
        <v>2014</v>
      </c>
      <c r="R1412" s="1" t="str">
        <f t="shared" si="22"/>
        <v>Mercedes-Benz E-Class E350</v>
      </c>
      <c r="S1412" s="1" t="str" cm="1">
        <f t="array" ref="S1412">_xlfn.IFS(I1412 &gt;= 40, "High", I1412&gt;=20, "Medium", I1412&lt;20, "Low")</f>
        <v>Low</v>
      </c>
      <c r="T1412" s="1" t="str" cm="1">
        <f t="array" ref="T1412">_xlfn.IFS(O1412&lt;18200, "Low", O1412&lt;=50000, "Medium", O1412&gt;50000, "High")</f>
        <v>Medium</v>
      </c>
    </row>
    <row r="1413" spans="1:20" x14ac:dyDescent="0.25">
      <c r="A1413" s="2">
        <v>2012</v>
      </c>
      <c r="B1413" s="1" t="s">
        <v>318</v>
      </c>
      <c r="C1413" s="1" t="s">
        <v>648</v>
      </c>
      <c r="D1413" s="1" t="s">
        <v>649</v>
      </c>
      <c r="E1413" s="1" t="s">
        <v>32</v>
      </c>
      <c r="F1413" s="1" t="s">
        <v>20</v>
      </c>
      <c r="G1413" s="1" t="s">
        <v>2155</v>
      </c>
      <c r="H1413" s="1" t="s">
        <v>22</v>
      </c>
      <c r="I1413" s="1">
        <v>41</v>
      </c>
      <c r="J1413" s="1">
        <v>30146</v>
      </c>
      <c r="K1413" s="1" t="s">
        <v>34</v>
      </c>
      <c r="L1413" s="1" t="s">
        <v>101</v>
      </c>
      <c r="M1413" s="1" t="s">
        <v>322</v>
      </c>
      <c r="N1413" s="1">
        <v>27300</v>
      </c>
      <c r="O1413" s="12">
        <v>26750</v>
      </c>
      <c r="P1413" s="3" t="s">
        <v>251</v>
      </c>
      <c r="Q1413" s="1" cm="1">
        <f t="array" ref="Q1413">VALUE(INDEX(_xlfn.TEXTSPLIT(P1413, " "), 4))</f>
        <v>2014</v>
      </c>
      <c r="R1413" s="1" t="str">
        <f t="shared" si="22"/>
        <v>Infiniti M M37</v>
      </c>
      <c r="S1413" s="1" t="str" cm="1">
        <f t="array" ref="S1413">_xlfn.IFS(I1413 &gt;= 40, "High", I1413&gt;=20, "Medium", I1413&lt;20, "Low")</f>
        <v>High</v>
      </c>
      <c r="T1413" s="1" t="str" cm="1">
        <f t="array" ref="T1413">_xlfn.IFS(O1413&lt;18200, "Low", O1413&lt;=50000, "Medium", O1413&gt;50000, "High")</f>
        <v>Medium</v>
      </c>
    </row>
    <row r="1414" spans="1:20" x14ac:dyDescent="0.25">
      <c r="A1414" s="2">
        <v>2012</v>
      </c>
      <c r="B1414" s="1" t="s">
        <v>681</v>
      </c>
      <c r="C1414" s="1" t="s">
        <v>684</v>
      </c>
      <c r="D1414" s="1" t="s">
        <v>54</v>
      </c>
      <c r="E1414" s="1" t="s">
        <v>227</v>
      </c>
      <c r="F1414" s="1" t="s">
        <v>214</v>
      </c>
      <c r="G1414" s="1" t="s">
        <v>2156</v>
      </c>
      <c r="H1414" s="1" t="s">
        <v>22</v>
      </c>
      <c r="I1414" s="1">
        <v>41</v>
      </c>
      <c r="J1414" s="1">
        <v>17030</v>
      </c>
      <c r="K1414" s="1" t="s">
        <v>23</v>
      </c>
      <c r="L1414" s="1" t="s">
        <v>24</v>
      </c>
      <c r="M1414" s="1" t="s">
        <v>686</v>
      </c>
      <c r="N1414" s="1">
        <v>15050</v>
      </c>
      <c r="O1414" s="12">
        <v>14750</v>
      </c>
      <c r="P1414" s="3" t="s">
        <v>46</v>
      </c>
      <c r="Q1414" s="1" cm="1">
        <f t="array" ref="Q1414">VALUE(INDEX(_xlfn.TEXTSPLIT(P1414, " "), 4))</f>
        <v>2014</v>
      </c>
      <c r="R1414" s="1" t="str">
        <f t="shared" si="22"/>
        <v>MINI Cooper Base</v>
      </c>
      <c r="S1414" s="1" t="str" cm="1">
        <f t="array" ref="S1414">_xlfn.IFS(I1414 &gt;= 40, "High", I1414&gt;=20, "Medium", I1414&lt;20, "Low")</f>
        <v>High</v>
      </c>
      <c r="T1414" s="1" t="str" cm="1">
        <f t="array" ref="T1414">_xlfn.IFS(O1414&lt;18200, "Low", O1414&lt;=50000, "Medium", O1414&gt;50000, "High")</f>
        <v>Low</v>
      </c>
    </row>
    <row r="1415" spans="1:20" x14ac:dyDescent="0.25">
      <c r="A1415" s="2">
        <v>2012</v>
      </c>
      <c r="B1415" s="1" t="s">
        <v>681</v>
      </c>
      <c r="C1415" s="1" t="s">
        <v>684</v>
      </c>
      <c r="D1415" s="1" t="s">
        <v>54</v>
      </c>
      <c r="E1415" s="1" t="s">
        <v>227</v>
      </c>
      <c r="F1415" s="1" t="s">
        <v>20</v>
      </c>
      <c r="G1415" s="1" t="s">
        <v>2157</v>
      </c>
      <c r="H1415" s="1" t="s">
        <v>22</v>
      </c>
      <c r="I1415" s="1">
        <v>43</v>
      </c>
      <c r="J1415" s="1">
        <v>18776</v>
      </c>
      <c r="K1415" s="1" t="s">
        <v>94</v>
      </c>
      <c r="L1415" s="1" t="s">
        <v>24</v>
      </c>
      <c r="M1415" s="1" t="s">
        <v>686</v>
      </c>
      <c r="N1415" s="1">
        <v>14900</v>
      </c>
      <c r="O1415" s="12">
        <v>13500</v>
      </c>
      <c r="P1415" s="3" t="s">
        <v>46</v>
      </c>
      <c r="Q1415" s="1" cm="1">
        <f t="array" ref="Q1415">VALUE(INDEX(_xlfn.TEXTSPLIT(P1415, " "), 4))</f>
        <v>2014</v>
      </c>
      <c r="R1415" s="1" t="str">
        <f t="shared" si="22"/>
        <v>MINI Cooper Base</v>
      </c>
      <c r="S1415" s="1" t="str" cm="1">
        <f t="array" ref="S1415">_xlfn.IFS(I1415 &gt;= 40, "High", I1415&gt;=20, "Medium", I1415&lt;20, "Low")</f>
        <v>High</v>
      </c>
      <c r="T1415" s="1" t="str" cm="1">
        <f t="array" ref="T1415">_xlfn.IFS(O1415&lt;18200, "Low", O1415&lt;=50000, "Medium", O1415&gt;50000, "High")</f>
        <v>Low</v>
      </c>
    </row>
    <row r="1416" spans="1:20" x14ac:dyDescent="0.25">
      <c r="A1416" s="2">
        <v>2012</v>
      </c>
      <c r="B1416" s="1" t="s">
        <v>632</v>
      </c>
      <c r="C1416" s="1" t="s">
        <v>677</v>
      </c>
      <c r="D1416" s="1" t="s">
        <v>744</v>
      </c>
      <c r="E1416" s="1" t="s">
        <v>32</v>
      </c>
      <c r="F1416" s="1" t="s">
        <v>20</v>
      </c>
      <c r="G1416" s="1" t="s">
        <v>2158</v>
      </c>
      <c r="H1416" s="1" t="s">
        <v>22</v>
      </c>
      <c r="I1416" s="1">
        <v>43</v>
      </c>
      <c r="J1416" s="1">
        <v>17925</v>
      </c>
      <c r="K1416" s="1" t="s">
        <v>34</v>
      </c>
      <c r="L1416" s="1" t="s">
        <v>24</v>
      </c>
      <c r="M1416" s="1" t="s">
        <v>555</v>
      </c>
      <c r="N1416" s="1">
        <v>10350</v>
      </c>
      <c r="O1416" s="12">
        <v>13500</v>
      </c>
      <c r="P1416" s="3" t="s">
        <v>26</v>
      </c>
      <c r="Q1416" s="1" cm="1">
        <f t="array" ref="Q1416">VALUE(INDEX(_xlfn.TEXTSPLIT(P1416, " "), 4))</f>
        <v>2014</v>
      </c>
      <c r="R1416" s="1" t="str">
        <f t="shared" si="22"/>
        <v>Mazda Mazda3 i Sport</v>
      </c>
      <c r="S1416" s="1" t="str" cm="1">
        <f t="array" ref="S1416">_xlfn.IFS(I1416 &gt;= 40, "High", I1416&gt;=20, "Medium", I1416&lt;20, "Low")</f>
        <v>High</v>
      </c>
      <c r="T1416" s="1" t="str" cm="1">
        <f t="array" ref="T1416">_xlfn.IFS(O1416&lt;18200, "Low", O1416&lt;=50000, "Medium", O1416&gt;50000, "High")</f>
        <v>Low</v>
      </c>
    </row>
    <row r="1417" spans="1:20" x14ac:dyDescent="0.25">
      <c r="A1417" s="2">
        <v>2012</v>
      </c>
      <c r="B1417" s="1" t="s">
        <v>16</v>
      </c>
      <c r="C1417" s="1" t="s">
        <v>17</v>
      </c>
      <c r="D1417" s="1" t="s">
        <v>18</v>
      </c>
      <c r="E1417" s="1" t="s">
        <v>19</v>
      </c>
      <c r="F1417" s="1" t="s">
        <v>20</v>
      </c>
      <c r="G1417" s="1" t="s">
        <v>2159</v>
      </c>
      <c r="H1417" s="1" t="s">
        <v>22</v>
      </c>
      <c r="I1417" s="1">
        <v>48</v>
      </c>
      <c r="J1417" s="1">
        <v>53444</v>
      </c>
      <c r="K1417" s="1" t="s">
        <v>23</v>
      </c>
      <c r="L1417" s="1" t="s">
        <v>28</v>
      </c>
      <c r="M1417" s="1" t="s">
        <v>25</v>
      </c>
      <c r="N1417" s="1">
        <v>12550</v>
      </c>
      <c r="O1417" s="12">
        <v>14500</v>
      </c>
      <c r="P1417" s="3" t="s">
        <v>26</v>
      </c>
      <c r="Q1417" s="1" cm="1">
        <f t="array" ref="Q1417">VALUE(INDEX(_xlfn.TEXTSPLIT(P1417, " "), 4))</f>
        <v>2014</v>
      </c>
      <c r="R1417" s="1" t="str">
        <f t="shared" si="22"/>
        <v>Kia Sorento LX</v>
      </c>
      <c r="S1417" s="1" t="str" cm="1">
        <f t="array" ref="S1417">_xlfn.IFS(I1417 &gt;= 40, "High", I1417&gt;=20, "Medium", I1417&lt;20, "Low")</f>
        <v>High</v>
      </c>
      <c r="T1417" s="1" t="str" cm="1">
        <f t="array" ref="T1417">_xlfn.IFS(O1417&lt;18200, "Low", O1417&lt;=50000, "Medium", O1417&gt;50000, "High")</f>
        <v>Low</v>
      </c>
    </row>
    <row r="1418" spans="1:20" x14ac:dyDescent="0.25">
      <c r="A1418" s="2">
        <v>2012</v>
      </c>
      <c r="B1418" s="1" t="s">
        <v>681</v>
      </c>
      <c r="C1418" s="1" t="s">
        <v>684</v>
      </c>
      <c r="D1418" s="1" t="s">
        <v>54</v>
      </c>
      <c r="E1418" s="1" t="s">
        <v>227</v>
      </c>
      <c r="F1418" s="1" t="s">
        <v>20</v>
      </c>
      <c r="G1418" s="1" t="s">
        <v>2160</v>
      </c>
      <c r="H1418" s="1" t="s">
        <v>22</v>
      </c>
      <c r="I1418" s="1">
        <v>38</v>
      </c>
      <c r="J1418" s="1">
        <v>42571</v>
      </c>
      <c r="K1418" s="1" t="s">
        <v>549</v>
      </c>
      <c r="L1418" s="1" t="s">
        <v>24</v>
      </c>
      <c r="M1418" s="1" t="s">
        <v>686</v>
      </c>
      <c r="N1418" s="1">
        <v>13000</v>
      </c>
      <c r="O1418" s="12">
        <v>13500</v>
      </c>
      <c r="P1418" s="3" t="s">
        <v>46</v>
      </c>
      <c r="Q1418" s="1" cm="1">
        <f t="array" ref="Q1418">VALUE(INDEX(_xlfn.TEXTSPLIT(P1418, " "), 4))</f>
        <v>2014</v>
      </c>
      <c r="R1418" s="1" t="str">
        <f t="shared" si="22"/>
        <v>MINI Cooper Base</v>
      </c>
      <c r="S1418" s="1" t="str" cm="1">
        <f t="array" ref="S1418">_xlfn.IFS(I1418 &gt;= 40, "High", I1418&gt;=20, "Medium", I1418&lt;20, "Low")</f>
        <v>Medium</v>
      </c>
      <c r="T1418" s="1" t="str" cm="1">
        <f t="array" ref="T1418">_xlfn.IFS(O1418&lt;18200, "Low", O1418&lt;=50000, "Medium", O1418&gt;50000, "High")</f>
        <v>Low</v>
      </c>
    </row>
    <row r="1419" spans="1:20" x14ac:dyDescent="0.25">
      <c r="A1419" s="2">
        <v>2012</v>
      </c>
      <c r="B1419" s="1" t="s">
        <v>681</v>
      </c>
      <c r="C1419" s="1" t="s">
        <v>684</v>
      </c>
      <c r="D1419" s="1" t="s">
        <v>54</v>
      </c>
      <c r="E1419" s="1" t="s">
        <v>227</v>
      </c>
      <c r="F1419" s="1" t="s">
        <v>20</v>
      </c>
      <c r="G1419" s="1" t="s">
        <v>2161</v>
      </c>
      <c r="H1419" s="1" t="s">
        <v>22</v>
      </c>
      <c r="I1419" s="1">
        <v>44</v>
      </c>
      <c r="J1419" s="1">
        <v>19915</v>
      </c>
      <c r="K1419" s="1" t="s">
        <v>94</v>
      </c>
      <c r="L1419" s="1" t="s">
        <v>101</v>
      </c>
      <c r="M1419" s="1" t="s">
        <v>686</v>
      </c>
      <c r="N1419" s="1">
        <v>14800</v>
      </c>
      <c r="O1419" s="12">
        <v>16000</v>
      </c>
      <c r="P1419" s="3" t="s">
        <v>46</v>
      </c>
      <c r="Q1419" s="1" cm="1">
        <f t="array" ref="Q1419">VALUE(INDEX(_xlfn.TEXTSPLIT(P1419, " "), 4))</f>
        <v>2014</v>
      </c>
      <c r="R1419" s="1" t="str">
        <f t="shared" si="22"/>
        <v>MINI Cooper Base</v>
      </c>
      <c r="S1419" s="1" t="str" cm="1">
        <f t="array" ref="S1419">_xlfn.IFS(I1419 &gt;= 40, "High", I1419&gt;=20, "Medium", I1419&lt;20, "Low")</f>
        <v>High</v>
      </c>
      <c r="T1419" s="1" t="str" cm="1">
        <f t="array" ref="T1419">_xlfn.IFS(O1419&lt;18200, "Low", O1419&lt;=50000, "Medium", O1419&gt;50000, "High")</f>
        <v>Low</v>
      </c>
    </row>
    <row r="1420" spans="1:20" x14ac:dyDescent="0.25">
      <c r="A1420" s="2">
        <v>2012</v>
      </c>
      <c r="B1420" s="1" t="s">
        <v>608</v>
      </c>
      <c r="C1420" s="1" t="s">
        <v>620</v>
      </c>
      <c r="D1420" s="1" t="s">
        <v>640</v>
      </c>
      <c r="E1420" s="1" t="s">
        <v>32</v>
      </c>
      <c r="F1420" s="1" t="s">
        <v>20</v>
      </c>
      <c r="G1420" s="1" t="s">
        <v>2162</v>
      </c>
      <c r="H1420" s="1" t="s">
        <v>22</v>
      </c>
      <c r="I1420" s="1">
        <v>35</v>
      </c>
      <c r="J1420" s="1">
        <v>33699</v>
      </c>
      <c r="K1420" s="1" t="s">
        <v>23</v>
      </c>
      <c r="L1420" s="1" t="s">
        <v>24</v>
      </c>
      <c r="M1420" s="1" t="s">
        <v>612</v>
      </c>
      <c r="N1420" s="1">
        <v>21700</v>
      </c>
      <c r="O1420" s="12">
        <v>21250</v>
      </c>
      <c r="P1420" s="3" t="s">
        <v>46</v>
      </c>
      <c r="Q1420" s="1" cm="1">
        <f t="array" ref="Q1420">VALUE(INDEX(_xlfn.TEXTSPLIT(P1420, " "), 4))</f>
        <v>2014</v>
      </c>
      <c r="R1420" s="1" t="str">
        <f t="shared" si="22"/>
        <v>Mercedes-Benz C-Class C250 Sport</v>
      </c>
      <c r="S1420" s="1" t="str" cm="1">
        <f t="array" ref="S1420">_xlfn.IFS(I1420 &gt;= 40, "High", I1420&gt;=20, "Medium", I1420&lt;20, "Low")</f>
        <v>Medium</v>
      </c>
      <c r="T1420" s="1" t="str" cm="1">
        <f t="array" ref="T1420">_xlfn.IFS(O1420&lt;18200, "Low", O1420&lt;=50000, "Medium", O1420&gt;50000, "High")</f>
        <v>Medium</v>
      </c>
    </row>
    <row r="1421" spans="1:20" x14ac:dyDescent="0.25">
      <c r="A1421" s="2">
        <v>2012</v>
      </c>
      <c r="B1421" s="1" t="s">
        <v>16</v>
      </c>
      <c r="C1421" s="1" t="s">
        <v>694</v>
      </c>
      <c r="D1421" s="1" t="s">
        <v>623</v>
      </c>
      <c r="E1421" s="1" t="s">
        <v>32</v>
      </c>
      <c r="F1421" s="1" t="s">
        <v>20</v>
      </c>
      <c r="G1421" s="1" t="s">
        <v>2163</v>
      </c>
      <c r="H1421" s="1" t="s">
        <v>22</v>
      </c>
      <c r="I1421" s="1">
        <v>2</v>
      </c>
      <c r="J1421" s="1">
        <v>18518</v>
      </c>
      <c r="K1421" s="1" t="s">
        <v>24</v>
      </c>
      <c r="L1421" s="1" t="s">
        <v>24</v>
      </c>
      <c r="M1421" s="1" t="s">
        <v>2164</v>
      </c>
      <c r="N1421" s="1">
        <v>11650</v>
      </c>
      <c r="O1421" s="12">
        <v>10250</v>
      </c>
      <c r="P1421" s="3" t="s">
        <v>84</v>
      </c>
      <c r="Q1421" s="1" cm="1">
        <f t="array" ref="Q1421">VALUE(INDEX(_xlfn.TEXTSPLIT(P1421, " "), 4))</f>
        <v>2014</v>
      </c>
      <c r="R1421" s="1" t="str">
        <f t="shared" si="22"/>
        <v>Kia Forte SX</v>
      </c>
      <c r="S1421" s="1" t="str" cm="1">
        <f t="array" ref="S1421">_xlfn.IFS(I1421 &gt;= 40, "High", I1421&gt;=20, "Medium", I1421&lt;20, "Low")</f>
        <v>Low</v>
      </c>
      <c r="T1421" s="1" t="str" cm="1">
        <f t="array" ref="T1421">_xlfn.IFS(O1421&lt;18200, "Low", O1421&lt;=50000, "Medium", O1421&gt;50000, "High")</f>
        <v>Low</v>
      </c>
    </row>
    <row r="1422" spans="1:20" x14ac:dyDescent="0.25">
      <c r="A1422" s="2">
        <v>2012</v>
      </c>
      <c r="B1422" s="1" t="s">
        <v>730</v>
      </c>
      <c r="C1422" s="1" t="s">
        <v>2165</v>
      </c>
      <c r="D1422" s="1" t="s">
        <v>2166</v>
      </c>
      <c r="E1422" s="1" t="s">
        <v>19</v>
      </c>
      <c r="F1422" s="1" t="s">
        <v>20</v>
      </c>
      <c r="G1422" s="1" t="s">
        <v>2167</v>
      </c>
      <c r="H1422" s="1" t="s">
        <v>22</v>
      </c>
      <c r="I1422" s="1">
        <v>36</v>
      </c>
      <c r="J1422" s="1">
        <v>56169</v>
      </c>
      <c r="K1422" s="1" t="s">
        <v>24</v>
      </c>
      <c r="L1422" s="1" t="s">
        <v>24</v>
      </c>
      <c r="M1422" s="1" t="s">
        <v>849</v>
      </c>
      <c r="N1422" s="1">
        <v>41900</v>
      </c>
      <c r="O1422" s="12">
        <v>39500</v>
      </c>
      <c r="P1422" s="3" t="s">
        <v>36</v>
      </c>
      <c r="Q1422" s="1" cm="1">
        <f t="array" ref="Q1422">VALUE(INDEX(_xlfn.TEXTSPLIT(P1422, " "), 4))</f>
        <v>2015</v>
      </c>
      <c r="R1422" s="1" t="str">
        <f t="shared" si="22"/>
        <v>Land Rover Range Rover HSE</v>
      </c>
      <c r="S1422" s="1" t="str" cm="1">
        <f t="array" ref="S1422">_xlfn.IFS(I1422 &gt;= 40, "High", I1422&gt;=20, "Medium", I1422&lt;20, "Low")</f>
        <v>Medium</v>
      </c>
      <c r="T1422" s="1" t="str" cm="1">
        <f t="array" ref="T1422">_xlfn.IFS(O1422&lt;18200, "Low", O1422&lt;=50000, "Medium", O1422&gt;50000, "High")</f>
        <v>Medium</v>
      </c>
    </row>
    <row r="1423" spans="1:20" x14ac:dyDescent="0.25">
      <c r="A1423" s="2">
        <v>2012</v>
      </c>
      <c r="B1423" s="1" t="s">
        <v>817</v>
      </c>
      <c r="C1423" s="1" t="s">
        <v>818</v>
      </c>
      <c r="D1423" s="1" t="s">
        <v>2148</v>
      </c>
      <c r="E1423" s="1" t="s">
        <v>32</v>
      </c>
      <c r="F1423" s="1" t="s">
        <v>20</v>
      </c>
      <c r="G1423" s="1" t="s">
        <v>2168</v>
      </c>
      <c r="H1423" s="1" t="s">
        <v>22</v>
      </c>
      <c r="I1423" s="1">
        <v>34</v>
      </c>
      <c r="J1423" s="1">
        <v>26967</v>
      </c>
      <c r="K1423" s="1" t="s">
        <v>94</v>
      </c>
      <c r="L1423" s="1" t="s">
        <v>132</v>
      </c>
      <c r="M1423" s="1" t="s">
        <v>2169</v>
      </c>
      <c r="N1423" s="1">
        <v>33300</v>
      </c>
      <c r="O1423" s="12">
        <v>32250</v>
      </c>
      <c r="P1423" s="3" t="s">
        <v>26</v>
      </c>
      <c r="Q1423" s="1" cm="1">
        <f t="array" ref="Q1423">VALUE(INDEX(_xlfn.TEXTSPLIT(P1423, " "), 4))</f>
        <v>2014</v>
      </c>
      <c r="R1423" s="1" t="str">
        <f t="shared" si="22"/>
        <v>Jaguar XF Portfolio</v>
      </c>
      <c r="S1423" s="1" t="str" cm="1">
        <f t="array" ref="S1423">_xlfn.IFS(I1423 &gt;= 40, "High", I1423&gt;=20, "Medium", I1423&lt;20, "Low")</f>
        <v>Medium</v>
      </c>
      <c r="T1423" s="1" t="str" cm="1">
        <f t="array" ref="T1423">_xlfn.IFS(O1423&lt;18200, "Low", O1423&lt;=50000, "Medium", O1423&gt;50000, "High")</f>
        <v>Medium</v>
      </c>
    </row>
    <row r="1424" spans="1:20" x14ac:dyDescent="0.25">
      <c r="A1424" s="2">
        <v>2012</v>
      </c>
      <c r="B1424" s="1" t="s">
        <v>318</v>
      </c>
      <c r="C1424" s="1" t="s">
        <v>323</v>
      </c>
      <c r="D1424" s="1" t="s">
        <v>324</v>
      </c>
      <c r="E1424" s="1" t="s">
        <v>323</v>
      </c>
      <c r="F1424" s="1" t="s">
        <v>20</v>
      </c>
      <c r="G1424" s="1" t="s">
        <v>2170</v>
      </c>
      <c r="H1424" s="1" t="s">
        <v>22</v>
      </c>
      <c r="I1424" s="1">
        <v>42</v>
      </c>
      <c r="J1424" s="1">
        <v>22462</v>
      </c>
      <c r="K1424" s="1" t="s">
        <v>24</v>
      </c>
      <c r="L1424" s="1" t="s">
        <v>24</v>
      </c>
      <c r="M1424" s="1" t="s">
        <v>322</v>
      </c>
      <c r="N1424" s="1">
        <v>22600</v>
      </c>
      <c r="O1424" s="12">
        <v>23500</v>
      </c>
      <c r="P1424" s="3" t="s">
        <v>46</v>
      </c>
      <c r="Q1424" s="1" cm="1">
        <f t="array" ref="Q1424">VALUE(INDEX(_xlfn.TEXTSPLIT(P1424, " "), 4))</f>
        <v>2014</v>
      </c>
      <c r="R1424" s="1" t="str">
        <f t="shared" si="22"/>
        <v>Infiniti G Sedan G37 Journey</v>
      </c>
      <c r="S1424" s="1" t="str" cm="1">
        <f t="array" ref="S1424">_xlfn.IFS(I1424 &gt;= 40, "High", I1424&gt;=20, "Medium", I1424&lt;20, "Low")</f>
        <v>High</v>
      </c>
      <c r="T1424" s="1" t="str" cm="1">
        <f t="array" ref="T1424">_xlfn.IFS(O1424&lt;18200, "Low", O1424&lt;=50000, "Medium", O1424&gt;50000, "High")</f>
        <v>Medium</v>
      </c>
    </row>
    <row r="1425" spans="1:20" x14ac:dyDescent="0.25">
      <c r="A1425" s="2">
        <v>2012</v>
      </c>
      <c r="B1425" s="1" t="s">
        <v>681</v>
      </c>
      <c r="C1425" s="1" t="s">
        <v>843</v>
      </c>
      <c r="D1425" s="1" t="s">
        <v>2171</v>
      </c>
      <c r="E1425" s="1" t="s">
        <v>130</v>
      </c>
      <c r="F1425" s="1" t="s">
        <v>20</v>
      </c>
      <c r="G1425" s="1" t="s">
        <v>2172</v>
      </c>
      <c r="H1425" s="1" t="s">
        <v>22</v>
      </c>
      <c r="I1425" s="1">
        <v>36</v>
      </c>
      <c r="J1425" s="1">
        <v>30311</v>
      </c>
      <c r="K1425" s="1" t="s">
        <v>549</v>
      </c>
      <c r="L1425" s="1" t="s">
        <v>101</v>
      </c>
      <c r="M1425" s="1" t="s">
        <v>686</v>
      </c>
      <c r="N1425" s="1">
        <v>20200</v>
      </c>
      <c r="O1425" s="12">
        <v>18500</v>
      </c>
      <c r="P1425" s="3" t="s">
        <v>36</v>
      </c>
      <c r="Q1425" s="1" cm="1">
        <f t="array" ref="Q1425">VALUE(INDEX(_xlfn.TEXTSPLIT(P1425, " "), 4))</f>
        <v>2015</v>
      </c>
      <c r="R1425" s="1" t="str">
        <f t="shared" si="22"/>
        <v>MINI Cooper Countryman S ALL4</v>
      </c>
      <c r="S1425" s="1" t="str" cm="1">
        <f t="array" ref="S1425">_xlfn.IFS(I1425 &gt;= 40, "High", I1425&gt;=20, "Medium", I1425&lt;20, "Low")</f>
        <v>Medium</v>
      </c>
      <c r="T1425" s="1" t="str" cm="1">
        <f t="array" ref="T1425">_xlfn.IFS(O1425&lt;18200, "Low", O1425&lt;=50000, "Medium", O1425&gt;50000, "High")</f>
        <v>Medium</v>
      </c>
    </row>
    <row r="1426" spans="1:20" x14ac:dyDescent="0.25">
      <c r="A1426" s="2">
        <v>2012</v>
      </c>
      <c r="B1426" s="1" t="s">
        <v>318</v>
      </c>
      <c r="C1426" s="1" t="s">
        <v>319</v>
      </c>
      <c r="D1426" s="1" t="s">
        <v>1965</v>
      </c>
      <c r="E1426" s="1" t="s">
        <v>319</v>
      </c>
      <c r="F1426" s="1" t="s">
        <v>20</v>
      </c>
      <c r="G1426" s="1" t="s">
        <v>2173</v>
      </c>
      <c r="H1426" s="1" t="s">
        <v>22</v>
      </c>
      <c r="I1426" s="1">
        <v>34</v>
      </c>
      <c r="J1426" s="1">
        <v>37490</v>
      </c>
      <c r="K1426" s="1" t="s">
        <v>23</v>
      </c>
      <c r="L1426" s="1" t="s">
        <v>34</v>
      </c>
      <c r="M1426" s="1" t="s">
        <v>322</v>
      </c>
      <c r="N1426" s="1">
        <v>21000</v>
      </c>
      <c r="O1426" s="12">
        <v>21000</v>
      </c>
      <c r="P1426" s="3" t="s">
        <v>46</v>
      </c>
      <c r="Q1426" s="1" cm="1">
        <f t="array" ref="Q1426">VALUE(INDEX(_xlfn.TEXTSPLIT(P1426, " "), 4))</f>
        <v>2014</v>
      </c>
      <c r="R1426" s="1" t="str">
        <f t="shared" si="22"/>
        <v>Infiniti G Coupe G37</v>
      </c>
      <c r="S1426" s="1" t="str" cm="1">
        <f t="array" ref="S1426">_xlfn.IFS(I1426 &gt;= 40, "High", I1426&gt;=20, "Medium", I1426&lt;20, "Low")</f>
        <v>Medium</v>
      </c>
      <c r="T1426" s="1" t="str" cm="1">
        <f t="array" ref="T1426">_xlfn.IFS(O1426&lt;18200, "Low", O1426&lt;=50000, "Medium", O1426&gt;50000, "High")</f>
        <v>Medium</v>
      </c>
    </row>
    <row r="1427" spans="1:20" x14ac:dyDescent="0.25">
      <c r="A1427" s="2">
        <v>2012</v>
      </c>
      <c r="B1427" s="1" t="s">
        <v>16</v>
      </c>
      <c r="C1427" s="1" t="s">
        <v>17</v>
      </c>
      <c r="D1427" s="1" t="s">
        <v>18</v>
      </c>
      <c r="E1427" s="1" t="s">
        <v>19</v>
      </c>
      <c r="F1427" s="1" t="s">
        <v>20</v>
      </c>
      <c r="G1427" s="1" t="s">
        <v>2174</v>
      </c>
      <c r="H1427" s="1" t="s">
        <v>22</v>
      </c>
      <c r="I1427" s="1">
        <v>36</v>
      </c>
      <c r="J1427" s="1">
        <v>32661</v>
      </c>
      <c r="K1427" s="1" t="s">
        <v>91</v>
      </c>
      <c r="L1427" s="1" t="s">
        <v>24</v>
      </c>
      <c r="M1427" s="1" t="s">
        <v>83</v>
      </c>
      <c r="N1427" s="1">
        <v>13950</v>
      </c>
      <c r="O1427" s="12">
        <v>15200</v>
      </c>
      <c r="P1427" s="3" t="s">
        <v>84</v>
      </c>
      <c r="Q1427" s="1" cm="1">
        <f t="array" ref="Q1427">VALUE(INDEX(_xlfn.TEXTSPLIT(P1427, " "), 4))</f>
        <v>2014</v>
      </c>
      <c r="R1427" s="1" t="str">
        <f t="shared" si="22"/>
        <v>Kia Sorento LX</v>
      </c>
      <c r="S1427" s="1" t="str" cm="1">
        <f t="array" ref="S1427">_xlfn.IFS(I1427 &gt;= 40, "High", I1427&gt;=20, "Medium", I1427&lt;20, "Low")</f>
        <v>Medium</v>
      </c>
      <c r="T1427" s="1" t="str" cm="1">
        <f t="array" ref="T1427">_xlfn.IFS(O1427&lt;18200, "Low", O1427&lt;=50000, "Medium", O1427&gt;50000, "High")</f>
        <v>Low</v>
      </c>
    </row>
    <row r="1428" spans="1:20" x14ac:dyDescent="0.25">
      <c r="A1428" s="2">
        <v>2012</v>
      </c>
      <c r="B1428" s="1" t="s">
        <v>681</v>
      </c>
      <c r="C1428" s="1" t="s">
        <v>684</v>
      </c>
      <c r="D1428" s="1" t="s">
        <v>936</v>
      </c>
      <c r="E1428" s="1" t="s">
        <v>71</v>
      </c>
      <c r="F1428" s="1" t="s">
        <v>20</v>
      </c>
      <c r="G1428" s="1" t="s">
        <v>2175</v>
      </c>
      <c r="H1428" s="1" t="s">
        <v>22</v>
      </c>
      <c r="I1428" s="1">
        <v>37</v>
      </c>
      <c r="J1428" s="1">
        <v>26093</v>
      </c>
      <c r="K1428" s="1" t="s">
        <v>94</v>
      </c>
      <c r="L1428" s="1" t="s">
        <v>101</v>
      </c>
      <c r="M1428" s="1" t="s">
        <v>686</v>
      </c>
      <c r="N1428" s="1">
        <v>17900</v>
      </c>
      <c r="O1428" s="12">
        <v>18750</v>
      </c>
      <c r="P1428" s="3" t="s">
        <v>46</v>
      </c>
      <c r="Q1428" s="1" cm="1">
        <f t="array" ref="Q1428">VALUE(INDEX(_xlfn.TEXTSPLIT(P1428, " "), 4))</f>
        <v>2014</v>
      </c>
      <c r="R1428" s="1" t="str">
        <f t="shared" si="22"/>
        <v>MINI Cooper S</v>
      </c>
      <c r="S1428" s="1" t="str" cm="1">
        <f t="array" ref="S1428">_xlfn.IFS(I1428 &gt;= 40, "High", I1428&gt;=20, "Medium", I1428&lt;20, "Low")</f>
        <v>Medium</v>
      </c>
      <c r="T1428" s="1" t="str" cm="1">
        <f t="array" ref="T1428">_xlfn.IFS(O1428&lt;18200, "Low", O1428&lt;=50000, "Medium", O1428&gt;50000, "High")</f>
        <v>Medium</v>
      </c>
    </row>
    <row r="1429" spans="1:20" x14ac:dyDescent="0.25">
      <c r="A1429" s="2">
        <v>2012</v>
      </c>
      <c r="B1429" s="1" t="s">
        <v>318</v>
      </c>
      <c r="C1429" s="1" t="s">
        <v>323</v>
      </c>
      <c r="D1429" s="1" t="s">
        <v>324</v>
      </c>
      <c r="E1429" s="1" t="s">
        <v>323</v>
      </c>
      <c r="F1429" s="1" t="s">
        <v>20</v>
      </c>
      <c r="G1429" s="1" t="s">
        <v>2176</v>
      </c>
      <c r="H1429" s="1" t="s">
        <v>22</v>
      </c>
      <c r="I1429" s="1">
        <v>4</v>
      </c>
      <c r="J1429" s="1">
        <v>31565</v>
      </c>
      <c r="K1429" s="1" t="s">
        <v>24</v>
      </c>
      <c r="L1429" s="1" t="s">
        <v>24</v>
      </c>
      <c r="M1429" s="1" t="s">
        <v>322</v>
      </c>
      <c r="N1429" s="1">
        <v>21600</v>
      </c>
      <c r="O1429" s="12">
        <v>21750</v>
      </c>
      <c r="P1429" s="3" t="s">
        <v>46</v>
      </c>
      <c r="Q1429" s="1" cm="1">
        <f t="array" ref="Q1429">VALUE(INDEX(_xlfn.TEXTSPLIT(P1429, " "), 4))</f>
        <v>2014</v>
      </c>
      <c r="R1429" s="1" t="str">
        <f t="shared" si="22"/>
        <v>Infiniti G Sedan G37 Journey</v>
      </c>
      <c r="S1429" s="1" t="str" cm="1">
        <f t="array" ref="S1429">_xlfn.IFS(I1429 &gt;= 40, "High", I1429&gt;=20, "Medium", I1429&lt;20, "Low")</f>
        <v>Low</v>
      </c>
      <c r="T1429" s="1" t="str" cm="1">
        <f t="array" ref="T1429">_xlfn.IFS(O1429&lt;18200, "Low", O1429&lt;=50000, "Medium", O1429&gt;50000, "High")</f>
        <v>Medium</v>
      </c>
    </row>
    <row r="1430" spans="1:20" x14ac:dyDescent="0.25">
      <c r="A1430" s="2">
        <v>2012</v>
      </c>
      <c r="B1430" s="1" t="s">
        <v>16</v>
      </c>
      <c r="C1430" s="1" t="s">
        <v>80</v>
      </c>
      <c r="D1430" s="1" t="s">
        <v>623</v>
      </c>
      <c r="E1430" s="1" t="s">
        <v>32</v>
      </c>
      <c r="F1430" s="1" t="s">
        <v>20</v>
      </c>
      <c r="G1430" s="1" t="s">
        <v>2177</v>
      </c>
      <c r="H1430" s="1" t="s">
        <v>22</v>
      </c>
      <c r="I1430" s="1">
        <v>37</v>
      </c>
      <c r="J1430" s="1">
        <v>54430</v>
      </c>
      <c r="K1430" s="1" t="s">
        <v>34</v>
      </c>
      <c r="L1430" s="1" t="s">
        <v>24</v>
      </c>
      <c r="M1430" s="1" t="s">
        <v>83</v>
      </c>
      <c r="N1430" s="1">
        <v>16200</v>
      </c>
      <c r="O1430" s="12">
        <v>16200</v>
      </c>
      <c r="P1430" s="3" t="s">
        <v>84</v>
      </c>
      <c r="Q1430" s="1" cm="1">
        <f t="array" ref="Q1430">VALUE(INDEX(_xlfn.TEXTSPLIT(P1430, " "), 4))</f>
        <v>2014</v>
      </c>
      <c r="R1430" s="1" t="str">
        <f t="shared" si="22"/>
        <v>Kia Optima SX</v>
      </c>
      <c r="S1430" s="1" t="str" cm="1">
        <f t="array" ref="S1430">_xlfn.IFS(I1430 &gt;= 40, "High", I1430&gt;=20, "Medium", I1430&lt;20, "Low")</f>
        <v>Medium</v>
      </c>
      <c r="T1430" s="1" t="str" cm="1">
        <f t="array" ref="T1430">_xlfn.IFS(O1430&lt;18200, "Low", O1430&lt;=50000, "Medium", O1430&gt;50000, "High")</f>
        <v>Low</v>
      </c>
    </row>
    <row r="1431" spans="1:20" x14ac:dyDescent="0.25">
      <c r="A1431" s="2">
        <v>2012</v>
      </c>
      <c r="B1431" s="1" t="s">
        <v>681</v>
      </c>
      <c r="C1431" s="1" t="s">
        <v>684</v>
      </c>
      <c r="D1431" s="1" t="s">
        <v>54</v>
      </c>
      <c r="E1431" s="1" t="s">
        <v>227</v>
      </c>
      <c r="F1431" s="1" t="s">
        <v>20</v>
      </c>
      <c r="G1431" s="1" t="s">
        <v>2178</v>
      </c>
      <c r="H1431" s="1" t="s">
        <v>22</v>
      </c>
      <c r="I1431" s="1">
        <v>37</v>
      </c>
      <c r="J1431" s="1">
        <v>29624</v>
      </c>
      <c r="K1431" s="1" t="s">
        <v>94</v>
      </c>
      <c r="L1431" s="1" t="s">
        <v>101</v>
      </c>
      <c r="M1431" s="1" t="s">
        <v>686</v>
      </c>
      <c r="N1431" s="1">
        <v>14050</v>
      </c>
      <c r="O1431" s="12">
        <v>14500</v>
      </c>
      <c r="P1431" s="3" t="s">
        <v>46</v>
      </c>
      <c r="Q1431" s="1" cm="1">
        <f t="array" ref="Q1431">VALUE(INDEX(_xlfn.TEXTSPLIT(P1431, " "), 4))</f>
        <v>2014</v>
      </c>
      <c r="R1431" s="1" t="str">
        <f t="shared" si="22"/>
        <v>MINI Cooper Base</v>
      </c>
      <c r="S1431" s="1" t="str" cm="1">
        <f t="array" ref="S1431">_xlfn.IFS(I1431 &gt;= 40, "High", I1431&gt;=20, "Medium", I1431&lt;20, "Low")</f>
        <v>Medium</v>
      </c>
      <c r="T1431" s="1" t="str" cm="1">
        <f t="array" ref="T1431">_xlfn.IFS(O1431&lt;18200, "Low", O1431&lt;=50000, "Medium", O1431&gt;50000, "High")</f>
        <v>Low</v>
      </c>
    </row>
    <row r="1432" spans="1:20" x14ac:dyDescent="0.25">
      <c r="A1432" s="2">
        <v>2012</v>
      </c>
      <c r="B1432" s="1" t="s">
        <v>318</v>
      </c>
      <c r="C1432" s="1" t="s">
        <v>648</v>
      </c>
      <c r="D1432" s="1" t="s">
        <v>649</v>
      </c>
      <c r="E1432" s="1" t="s">
        <v>32</v>
      </c>
      <c r="F1432" s="1" t="s">
        <v>20</v>
      </c>
      <c r="G1432" s="1" t="s">
        <v>2179</v>
      </c>
      <c r="H1432" s="1" t="s">
        <v>22</v>
      </c>
      <c r="I1432" s="1">
        <v>41</v>
      </c>
      <c r="J1432" s="1">
        <v>31067</v>
      </c>
      <c r="K1432" s="1" t="s">
        <v>34</v>
      </c>
      <c r="L1432" s="1" t="s">
        <v>24</v>
      </c>
      <c r="M1432" s="1" t="s">
        <v>322</v>
      </c>
      <c r="N1432" s="1">
        <v>27500</v>
      </c>
      <c r="O1432" s="12">
        <v>26250</v>
      </c>
      <c r="P1432" s="3" t="s">
        <v>46</v>
      </c>
      <c r="Q1432" s="1" cm="1">
        <f t="array" ref="Q1432">VALUE(INDEX(_xlfn.TEXTSPLIT(P1432, " "), 4))</f>
        <v>2014</v>
      </c>
      <c r="R1432" s="1" t="str">
        <f t="shared" si="22"/>
        <v>Infiniti M M37</v>
      </c>
      <c r="S1432" s="1" t="str" cm="1">
        <f t="array" ref="S1432">_xlfn.IFS(I1432 &gt;= 40, "High", I1432&gt;=20, "Medium", I1432&lt;20, "Low")</f>
        <v>High</v>
      </c>
      <c r="T1432" s="1" t="str" cm="1">
        <f t="array" ref="T1432">_xlfn.IFS(O1432&lt;18200, "Low", O1432&lt;=50000, "Medium", O1432&gt;50000, "High")</f>
        <v>Medium</v>
      </c>
    </row>
    <row r="1433" spans="1:20" x14ac:dyDescent="0.25">
      <c r="A1433" s="2">
        <v>2012</v>
      </c>
      <c r="B1433" s="1" t="s">
        <v>600</v>
      </c>
      <c r="C1433" s="1" t="s">
        <v>790</v>
      </c>
      <c r="D1433" s="1" t="s">
        <v>2121</v>
      </c>
      <c r="E1433" s="1" t="s">
        <v>19</v>
      </c>
      <c r="F1433" s="1" t="s">
        <v>20</v>
      </c>
      <c r="G1433" s="1" t="s">
        <v>2180</v>
      </c>
      <c r="H1433" s="1" t="s">
        <v>22</v>
      </c>
      <c r="I1433" s="1">
        <v>39</v>
      </c>
      <c r="J1433" s="1">
        <v>92610</v>
      </c>
      <c r="K1433" s="1" t="s">
        <v>91</v>
      </c>
      <c r="L1433" s="1" t="s">
        <v>28</v>
      </c>
      <c r="M1433" s="1" t="s">
        <v>555</v>
      </c>
      <c r="N1433" s="1">
        <v>14550</v>
      </c>
      <c r="O1433" s="12">
        <v>14500</v>
      </c>
      <c r="P1433" s="3" t="s">
        <v>68</v>
      </c>
      <c r="Q1433" s="1" cm="1">
        <f t="array" ref="Q1433">VALUE(INDEX(_xlfn.TEXTSPLIT(P1433, " "), 4))</f>
        <v>2014</v>
      </c>
      <c r="R1433" s="1" t="str">
        <f t="shared" si="22"/>
        <v>Jeep Grand Cherokee Laredo</v>
      </c>
      <c r="S1433" s="1" t="str" cm="1">
        <f t="array" ref="S1433">_xlfn.IFS(I1433 &gt;= 40, "High", I1433&gt;=20, "Medium", I1433&lt;20, "Low")</f>
        <v>Medium</v>
      </c>
      <c r="T1433" s="1" t="str" cm="1">
        <f t="array" ref="T1433">_xlfn.IFS(O1433&lt;18200, "Low", O1433&lt;=50000, "Medium", O1433&gt;50000, "High")</f>
        <v>Low</v>
      </c>
    </row>
    <row r="1434" spans="1:20" x14ac:dyDescent="0.25">
      <c r="A1434" s="2">
        <v>2012</v>
      </c>
      <c r="B1434" s="1" t="s">
        <v>681</v>
      </c>
      <c r="C1434" s="1" t="s">
        <v>684</v>
      </c>
      <c r="D1434" s="1" t="s">
        <v>936</v>
      </c>
      <c r="E1434" s="1" t="s">
        <v>227</v>
      </c>
      <c r="F1434" s="1" t="s">
        <v>214</v>
      </c>
      <c r="G1434" s="1" t="s">
        <v>2181</v>
      </c>
      <c r="H1434" s="1" t="s">
        <v>22</v>
      </c>
      <c r="I1434" s="1">
        <v>4</v>
      </c>
      <c r="J1434" s="1">
        <v>25071</v>
      </c>
      <c r="K1434" s="1" t="s">
        <v>94</v>
      </c>
      <c r="L1434" s="1" t="s">
        <v>101</v>
      </c>
      <c r="M1434" s="1" t="s">
        <v>686</v>
      </c>
      <c r="N1434" s="1">
        <v>16100</v>
      </c>
      <c r="O1434" s="12">
        <v>16750</v>
      </c>
      <c r="P1434" s="3" t="s">
        <v>36</v>
      </c>
      <c r="Q1434" s="1" cm="1">
        <f t="array" ref="Q1434">VALUE(INDEX(_xlfn.TEXTSPLIT(P1434, " "), 4))</f>
        <v>2015</v>
      </c>
      <c r="R1434" s="1" t="str">
        <f t="shared" si="22"/>
        <v>MINI Cooper S</v>
      </c>
      <c r="S1434" s="1" t="str" cm="1">
        <f t="array" ref="S1434">_xlfn.IFS(I1434 &gt;= 40, "High", I1434&gt;=20, "Medium", I1434&lt;20, "Low")</f>
        <v>Low</v>
      </c>
      <c r="T1434" s="1" t="str" cm="1">
        <f t="array" ref="T1434">_xlfn.IFS(O1434&lt;18200, "Low", O1434&lt;=50000, "Medium", O1434&gt;50000, "High")</f>
        <v>Low</v>
      </c>
    </row>
    <row r="1435" spans="1:20" x14ac:dyDescent="0.25">
      <c r="A1435" s="2">
        <v>2012</v>
      </c>
      <c r="B1435" s="1" t="s">
        <v>817</v>
      </c>
      <c r="C1435" s="1" t="s">
        <v>818</v>
      </c>
      <c r="D1435" s="1" t="s">
        <v>54</v>
      </c>
      <c r="E1435" s="1" t="s">
        <v>32</v>
      </c>
      <c r="F1435" s="1" t="s">
        <v>20</v>
      </c>
      <c r="G1435" s="1" t="s">
        <v>2182</v>
      </c>
      <c r="H1435" s="1" t="s">
        <v>22</v>
      </c>
      <c r="I1435" s="1">
        <v>44</v>
      </c>
      <c r="J1435" s="1">
        <v>22339</v>
      </c>
      <c r="K1435" s="1" t="s">
        <v>23</v>
      </c>
      <c r="L1435" s="1" t="s">
        <v>28</v>
      </c>
      <c r="M1435" s="1" t="s">
        <v>625</v>
      </c>
      <c r="N1435" s="1">
        <v>29400</v>
      </c>
      <c r="O1435" s="12">
        <v>30500</v>
      </c>
      <c r="P1435" s="3" t="s">
        <v>68</v>
      </c>
      <c r="Q1435" s="1" cm="1">
        <f t="array" ref="Q1435">VALUE(INDEX(_xlfn.TEXTSPLIT(P1435, " "), 4))</f>
        <v>2014</v>
      </c>
      <c r="R1435" s="1" t="str">
        <f t="shared" si="22"/>
        <v>Jaguar XF Base</v>
      </c>
      <c r="S1435" s="1" t="str" cm="1">
        <f t="array" ref="S1435">_xlfn.IFS(I1435 &gt;= 40, "High", I1435&gt;=20, "Medium", I1435&lt;20, "Low")</f>
        <v>High</v>
      </c>
      <c r="T1435" s="1" t="str" cm="1">
        <f t="array" ref="T1435">_xlfn.IFS(O1435&lt;18200, "Low", O1435&lt;=50000, "Medium", O1435&gt;50000, "High")</f>
        <v>Medium</v>
      </c>
    </row>
    <row r="1436" spans="1:20" x14ac:dyDescent="0.25">
      <c r="A1436" s="2">
        <v>2012</v>
      </c>
      <c r="B1436" s="1" t="s">
        <v>16</v>
      </c>
      <c r="C1436" s="1" t="s">
        <v>694</v>
      </c>
      <c r="D1436" s="1" t="s">
        <v>2183</v>
      </c>
      <c r="E1436" s="1" t="s">
        <v>2184</v>
      </c>
      <c r="F1436" s="1" t="s">
        <v>20</v>
      </c>
      <c r="G1436" s="1" t="s">
        <v>2185</v>
      </c>
      <c r="H1436" s="1" t="s">
        <v>22</v>
      </c>
      <c r="I1436" s="1">
        <v>38</v>
      </c>
      <c r="J1436" s="1">
        <v>37022</v>
      </c>
      <c r="K1436" s="1" t="s">
        <v>23</v>
      </c>
      <c r="L1436" s="1" t="s">
        <v>24</v>
      </c>
      <c r="M1436" s="1" t="s">
        <v>83</v>
      </c>
      <c r="N1436" s="1">
        <v>9750</v>
      </c>
      <c r="O1436" s="12">
        <v>11500</v>
      </c>
      <c r="P1436" s="3" t="s">
        <v>84</v>
      </c>
      <c r="Q1436" s="1" cm="1">
        <f t="array" ref="Q1436">VALUE(INDEX(_xlfn.TEXTSPLIT(P1436, " "), 4))</f>
        <v>2014</v>
      </c>
      <c r="R1436" s="1" t="str">
        <f t="shared" si="22"/>
        <v>Kia Forte Koup EX</v>
      </c>
      <c r="S1436" s="1" t="str" cm="1">
        <f t="array" ref="S1436">_xlfn.IFS(I1436 &gt;= 40, "High", I1436&gt;=20, "Medium", I1436&lt;20, "Low")</f>
        <v>Medium</v>
      </c>
      <c r="T1436" s="1" t="str" cm="1">
        <f t="array" ref="T1436">_xlfn.IFS(O1436&lt;18200, "Low", O1436&lt;=50000, "Medium", O1436&gt;50000, "High")</f>
        <v>Low</v>
      </c>
    </row>
    <row r="1437" spans="1:20" x14ac:dyDescent="0.25">
      <c r="A1437" s="2">
        <v>2012</v>
      </c>
      <c r="B1437" s="1" t="s">
        <v>608</v>
      </c>
      <c r="C1437" s="1" t="s">
        <v>2186</v>
      </c>
      <c r="D1437" s="1" t="s">
        <v>2187</v>
      </c>
      <c r="E1437" s="1" t="s">
        <v>71</v>
      </c>
      <c r="F1437" s="1" t="s">
        <v>20</v>
      </c>
      <c r="G1437" s="1" t="s">
        <v>2188</v>
      </c>
      <c r="H1437" s="1" t="s">
        <v>22</v>
      </c>
      <c r="I1437" s="1">
        <v>45</v>
      </c>
      <c r="J1437" s="1">
        <v>19491</v>
      </c>
      <c r="K1437" s="1" t="s">
        <v>24</v>
      </c>
      <c r="L1437" s="1" t="s">
        <v>24</v>
      </c>
      <c r="M1437" s="1" t="s">
        <v>2189</v>
      </c>
      <c r="N1437" s="1">
        <v>57400</v>
      </c>
      <c r="O1437" s="12">
        <v>58750</v>
      </c>
      <c r="P1437" s="3" t="s">
        <v>46</v>
      </c>
      <c r="Q1437" s="1" cm="1">
        <f t="array" ref="Q1437">VALUE(INDEX(_xlfn.TEXTSPLIT(P1437, " "), 4))</f>
        <v>2014</v>
      </c>
      <c r="R1437" s="1" t="str">
        <f t="shared" si="22"/>
        <v>Mercedes-Benz SL-Class SL550</v>
      </c>
      <c r="S1437" s="1" t="str" cm="1">
        <f t="array" ref="S1437">_xlfn.IFS(I1437 &gt;= 40, "High", I1437&gt;=20, "Medium", I1437&lt;20, "Low")</f>
        <v>High</v>
      </c>
      <c r="T1437" s="1" t="str" cm="1">
        <f t="array" ref="T1437">_xlfn.IFS(O1437&lt;18200, "Low", O1437&lt;=50000, "Medium", O1437&gt;50000, "High")</f>
        <v>High</v>
      </c>
    </row>
    <row r="1438" spans="1:20" x14ac:dyDescent="0.25">
      <c r="A1438" s="2">
        <v>2012</v>
      </c>
      <c r="B1438" s="1" t="s">
        <v>681</v>
      </c>
      <c r="C1438" s="1" t="s">
        <v>684</v>
      </c>
      <c r="D1438" s="1" t="s">
        <v>54</v>
      </c>
      <c r="E1438" s="1" t="s">
        <v>227</v>
      </c>
      <c r="F1438" s="1" t="s">
        <v>20</v>
      </c>
      <c r="G1438" s="1" t="s">
        <v>2190</v>
      </c>
      <c r="H1438" s="1" t="s">
        <v>22</v>
      </c>
      <c r="I1438" s="1">
        <v>36</v>
      </c>
      <c r="J1438" s="1">
        <v>42890</v>
      </c>
      <c r="K1438" s="1" t="s">
        <v>23</v>
      </c>
      <c r="L1438" s="1" t="s">
        <v>101</v>
      </c>
      <c r="M1438" s="1" t="s">
        <v>686</v>
      </c>
      <c r="N1438" s="1">
        <v>12950</v>
      </c>
      <c r="O1438" s="12">
        <v>13000</v>
      </c>
      <c r="P1438" s="3" t="s">
        <v>46</v>
      </c>
      <c r="Q1438" s="1" cm="1">
        <f t="array" ref="Q1438">VALUE(INDEX(_xlfn.TEXTSPLIT(P1438, " "), 4))</f>
        <v>2014</v>
      </c>
      <c r="R1438" s="1" t="str">
        <f t="shared" si="22"/>
        <v>MINI Cooper Base</v>
      </c>
      <c r="S1438" s="1" t="str" cm="1">
        <f t="array" ref="S1438">_xlfn.IFS(I1438 &gt;= 40, "High", I1438&gt;=20, "Medium", I1438&lt;20, "Low")</f>
        <v>Medium</v>
      </c>
      <c r="T1438" s="1" t="str" cm="1">
        <f t="array" ref="T1438">_xlfn.IFS(O1438&lt;18200, "Low", O1438&lt;=50000, "Medium", O1438&gt;50000, "High")</f>
        <v>Low</v>
      </c>
    </row>
    <row r="1439" spans="1:20" x14ac:dyDescent="0.25">
      <c r="A1439" s="2">
        <v>2012</v>
      </c>
      <c r="B1439" s="1" t="s">
        <v>16</v>
      </c>
      <c r="C1439" s="1" t="s">
        <v>80</v>
      </c>
      <c r="D1439" s="1" t="s">
        <v>623</v>
      </c>
      <c r="E1439" s="1" t="s">
        <v>32</v>
      </c>
      <c r="F1439" s="1" t="s">
        <v>20</v>
      </c>
      <c r="G1439" s="1" t="s">
        <v>2191</v>
      </c>
      <c r="H1439" s="1" t="s">
        <v>22</v>
      </c>
      <c r="I1439" s="1">
        <v>1</v>
      </c>
      <c r="J1439" s="1">
        <v>47220</v>
      </c>
      <c r="K1439" s="1" t="s">
        <v>94</v>
      </c>
      <c r="L1439" s="1" t="s">
        <v>24</v>
      </c>
      <c r="M1439" s="1" t="s">
        <v>83</v>
      </c>
      <c r="N1439" s="1">
        <v>16750</v>
      </c>
      <c r="O1439" s="12">
        <v>12900</v>
      </c>
      <c r="P1439" s="3" t="s">
        <v>84</v>
      </c>
      <c r="Q1439" s="1" cm="1">
        <f t="array" ref="Q1439">VALUE(INDEX(_xlfn.TEXTSPLIT(P1439, " "), 4))</f>
        <v>2014</v>
      </c>
      <c r="R1439" s="1" t="str">
        <f t="shared" si="22"/>
        <v>Kia Optima SX</v>
      </c>
      <c r="S1439" s="1" t="str" cm="1">
        <f t="array" ref="S1439">_xlfn.IFS(I1439 &gt;= 40, "High", I1439&gt;=20, "Medium", I1439&lt;20, "Low")</f>
        <v>Low</v>
      </c>
      <c r="T1439" s="1" t="str" cm="1">
        <f t="array" ref="T1439">_xlfn.IFS(O1439&lt;18200, "Low", O1439&lt;=50000, "Medium", O1439&gt;50000, "High")</f>
        <v>Low</v>
      </c>
    </row>
    <row r="1440" spans="1:20" x14ac:dyDescent="0.25">
      <c r="A1440" s="2">
        <v>2012</v>
      </c>
      <c r="B1440" s="1" t="s">
        <v>681</v>
      </c>
      <c r="C1440" s="1" t="s">
        <v>684</v>
      </c>
      <c r="D1440" s="1" t="s">
        <v>54</v>
      </c>
      <c r="E1440" s="1" t="s">
        <v>227</v>
      </c>
      <c r="F1440" s="1" t="s">
        <v>20</v>
      </c>
      <c r="G1440" s="1" t="s">
        <v>2192</v>
      </c>
      <c r="H1440" s="1" t="s">
        <v>22</v>
      </c>
      <c r="I1440" s="1">
        <v>46</v>
      </c>
      <c r="J1440" s="1">
        <v>20149</v>
      </c>
      <c r="K1440" s="1" t="s">
        <v>549</v>
      </c>
      <c r="L1440" s="1" t="s">
        <v>101</v>
      </c>
      <c r="M1440" s="1" t="s">
        <v>686</v>
      </c>
      <c r="N1440" s="1">
        <v>14800</v>
      </c>
      <c r="O1440" s="12">
        <v>14750</v>
      </c>
      <c r="P1440" s="3" t="s">
        <v>46</v>
      </c>
      <c r="Q1440" s="1" cm="1">
        <f t="array" ref="Q1440">VALUE(INDEX(_xlfn.TEXTSPLIT(P1440, " "), 4))</f>
        <v>2014</v>
      </c>
      <c r="R1440" s="1" t="str">
        <f t="shared" si="22"/>
        <v>MINI Cooper Base</v>
      </c>
      <c r="S1440" s="1" t="str" cm="1">
        <f t="array" ref="S1440">_xlfn.IFS(I1440 &gt;= 40, "High", I1440&gt;=20, "Medium", I1440&lt;20, "Low")</f>
        <v>High</v>
      </c>
      <c r="T1440" s="1" t="str" cm="1">
        <f t="array" ref="T1440">_xlfn.IFS(O1440&lt;18200, "Low", O1440&lt;=50000, "Medium", O1440&gt;50000, "High")</f>
        <v>Low</v>
      </c>
    </row>
    <row r="1441" spans="1:20" x14ac:dyDescent="0.25">
      <c r="A1441" s="2">
        <v>2012</v>
      </c>
      <c r="B1441" s="1" t="s">
        <v>318</v>
      </c>
      <c r="C1441" s="1" t="s">
        <v>323</v>
      </c>
      <c r="D1441" s="1" t="s">
        <v>324</v>
      </c>
      <c r="E1441" s="1" t="s">
        <v>323</v>
      </c>
      <c r="F1441" s="1" t="s">
        <v>20</v>
      </c>
      <c r="G1441" s="1" t="s">
        <v>2193</v>
      </c>
      <c r="H1441" s="1" t="s">
        <v>22</v>
      </c>
      <c r="I1441" s="1">
        <v>4</v>
      </c>
      <c r="J1441" s="1">
        <v>26224</v>
      </c>
      <c r="K1441" s="1" t="s">
        <v>23</v>
      </c>
      <c r="L1441" s="1" t="s">
        <v>24</v>
      </c>
      <c r="M1441" s="1" t="s">
        <v>322</v>
      </c>
      <c r="N1441" s="1">
        <v>22200</v>
      </c>
      <c r="O1441" s="12">
        <v>20750</v>
      </c>
      <c r="P1441" s="3" t="s">
        <v>46</v>
      </c>
      <c r="Q1441" s="1" cm="1">
        <f t="array" ref="Q1441">VALUE(INDEX(_xlfn.TEXTSPLIT(P1441, " "), 4))</f>
        <v>2014</v>
      </c>
      <c r="R1441" s="1" t="str">
        <f t="shared" si="22"/>
        <v>Infiniti G Sedan G37 Journey</v>
      </c>
      <c r="S1441" s="1" t="str" cm="1">
        <f t="array" ref="S1441">_xlfn.IFS(I1441 &gt;= 40, "High", I1441&gt;=20, "Medium", I1441&lt;20, "Low")</f>
        <v>Low</v>
      </c>
      <c r="T1441" s="1" t="str" cm="1">
        <f t="array" ref="T1441">_xlfn.IFS(O1441&lt;18200, "Low", O1441&lt;=50000, "Medium", O1441&gt;50000, "High")</f>
        <v>Medium</v>
      </c>
    </row>
    <row r="1442" spans="1:20" x14ac:dyDescent="0.25">
      <c r="A1442" s="2">
        <v>2012</v>
      </c>
      <c r="B1442" s="1" t="s">
        <v>202</v>
      </c>
      <c r="C1442" s="1" t="s">
        <v>203</v>
      </c>
      <c r="D1442" s="1" t="s">
        <v>54</v>
      </c>
      <c r="E1442" s="1" t="s">
        <v>19</v>
      </c>
      <c r="F1442" s="1" t="s">
        <v>20</v>
      </c>
      <c r="G1442" s="1" t="s">
        <v>2194</v>
      </c>
      <c r="H1442" s="1" t="s">
        <v>22</v>
      </c>
      <c r="I1442" s="1">
        <v>3</v>
      </c>
      <c r="J1442" s="1">
        <v>36090</v>
      </c>
      <c r="K1442" s="1" t="s">
        <v>34</v>
      </c>
      <c r="L1442" s="1" t="s">
        <v>24</v>
      </c>
      <c r="M1442" s="1" t="s">
        <v>1528</v>
      </c>
      <c r="N1442" s="1">
        <v>27400</v>
      </c>
      <c r="O1442" s="12">
        <v>28500</v>
      </c>
      <c r="P1442" s="3" t="s">
        <v>57</v>
      </c>
      <c r="Q1442" s="1" cm="1">
        <f t="array" ref="Q1442">VALUE(INDEX(_xlfn.TEXTSPLIT(P1442, " "), 4))</f>
        <v>2014</v>
      </c>
      <c r="R1442" s="1" t="str">
        <f t="shared" si="22"/>
        <v>Lexus RX 350 Base</v>
      </c>
      <c r="S1442" s="1" t="str" cm="1">
        <f t="array" ref="S1442">_xlfn.IFS(I1442 &gt;= 40, "High", I1442&gt;=20, "Medium", I1442&lt;20, "Low")</f>
        <v>Low</v>
      </c>
      <c r="T1442" s="1" t="str" cm="1">
        <f t="array" ref="T1442">_xlfn.IFS(O1442&lt;18200, "Low", O1442&lt;=50000, "Medium", O1442&gt;50000, "High")</f>
        <v>Medium</v>
      </c>
    </row>
    <row r="1443" spans="1:20" x14ac:dyDescent="0.25">
      <c r="A1443" s="2">
        <v>2012</v>
      </c>
      <c r="B1443" s="1" t="s">
        <v>318</v>
      </c>
      <c r="C1443" s="1" t="s">
        <v>323</v>
      </c>
      <c r="D1443" s="1" t="s">
        <v>324</v>
      </c>
      <c r="E1443" s="1" t="s">
        <v>323</v>
      </c>
      <c r="F1443" s="1" t="s">
        <v>20</v>
      </c>
      <c r="G1443" s="1" t="s">
        <v>2195</v>
      </c>
      <c r="H1443" s="1" t="s">
        <v>22</v>
      </c>
      <c r="I1443" s="1">
        <v>44</v>
      </c>
      <c r="J1443" s="1">
        <v>26640</v>
      </c>
      <c r="K1443" s="1" t="s">
        <v>24</v>
      </c>
      <c r="L1443" s="1" t="s">
        <v>24</v>
      </c>
      <c r="M1443" s="1" t="s">
        <v>322</v>
      </c>
      <c r="N1443" s="1">
        <v>22100</v>
      </c>
      <c r="O1443" s="12">
        <v>22750</v>
      </c>
      <c r="P1443" s="3" t="s">
        <v>46</v>
      </c>
      <c r="Q1443" s="1" cm="1">
        <f t="array" ref="Q1443">VALUE(INDEX(_xlfn.TEXTSPLIT(P1443, " "), 4))</f>
        <v>2014</v>
      </c>
      <c r="R1443" s="1" t="str">
        <f t="shared" si="22"/>
        <v>Infiniti G Sedan G37 Journey</v>
      </c>
      <c r="S1443" s="1" t="str" cm="1">
        <f t="array" ref="S1443">_xlfn.IFS(I1443 &gt;= 40, "High", I1443&gt;=20, "Medium", I1443&lt;20, "Low")</f>
        <v>High</v>
      </c>
      <c r="T1443" s="1" t="str" cm="1">
        <f t="array" ref="T1443">_xlfn.IFS(O1443&lt;18200, "Low", O1443&lt;=50000, "Medium", O1443&gt;50000, "High")</f>
        <v>Medium</v>
      </c>
    </row>
    <row r="1444" spans="1:20" x14ac:dyDescent="0.25">
      <c r="A1444" s="2">
        <v>2012</v>
      </c>
      <c r="B1444" s="1" t="s">
        <v>608</v>
      </c>
      <c r="C1444" s="1" t="s">
        <v>620</v>
      </c>
      <c r="D1444" s="1" t="s">
        <v>640</v>
      </c>
      <c r="E1444" s="1" t="s">
        <v>32</v>
      </c>
      <c r="F1444" s="1" t="s">
        <v>20</v>
      </c>
      <c r="G1444" s="1" t="s">
        <v>2196</v>
      </c>
      <c r="H1444" s="1" t="s">
        <v>22</v>
      </c>
      <c r="I1444" s="1">
        <v>35</v>
      </c>
      <c r="J1444" s="1">
        <v>34046</v>
      </c>
      <c r="K1444" s="1" t="s">
        <v>91</v>
      </c>
      <c r="L1444" s="1" t="s">
        <v>24</v>
      </c>
      <c r="M1444" s="1" t="s">
        <v>612</v>
      </c>
      <c r="N1444" s="1">
        <v>21700</v>
      </c>
      <c r="O1444" s="12">
        <v>21750</v>
      </c>
      <c r="P1444" s="3" t="s">
        <v>46</v>
      </c>
      <c r="Q1444" s="1" cm="1">
        <f t="array" ref="Q1444">VALUE(INDEX(_xlfn.TEXTSPLIT(P1444, " "), 4))</f>
        <v>2014</v>
      </c>
      <c r="R1444" s="1" t="str">
        <f t="shared" si="22"/>
        <v>Mercedes-Benz C-Class C250 Sport</v>
      </c>
      <c r="S1444" s="1" t="str" cm="1">
        <f t="array" ref="S1444">_xlfn.IFS(I1444 &gt;= 40, "High", I1444&gt;=20, "Medium", I1444&lt;20, "Low")</f>
        <v>Medium</v>
      </c>
      <c r="T1444" s="1" t="str" cm="1">
        <f t="array" ref="T1444">_xlfn.IFS(O1444&lt;18200, "Low", O1444&lt;=50000, "Medium", O1444&gt;50000, "High")</f>
        <v>Medium</v>
      </c>
    </row>
    <row r="1445" spans="1:20" x14ac:dyDescent="0.25">
      <c r="A1445" s="2">
        <v>2012</v>
      </c>
      <c r="B1445" s="1" t="s">
        <v>632</v>
      </c>
      <c r="C1445" s="1" t="s">
        <v>2099</v>
      </c>
      <c r="D1445" s="1" t="s">
        <v>744</v>
      </c>
      <c r="E1445" s="1" t="s">
        <v>32</v>
      </c>
      <c r="F1445" s="1" t="s">
        <v>20</v>
      </c>
      <c r="G1445" s="1" t="s">
        <v>2197</v>
      </c>
      <c r="H1445" s="1" t="s">
        <v>22</v>
      </c>
      <c r="I1445" s="1">
        <v>31</v>
      </c>
      <c r="J1445" s="1">
        <v>49626</v>
      </c>
      <c r="K1445" s="1" t="s">
        <v>24</v>
      </c>
      <c r="L1445" s="1" t="s">
        <v>24</v>
      </c>
      <c r="M1445" s="1" t="s">
        <v>555</v>
      </c>
      <c r="N1445" s="1">
        <v>9600</v>
      </c>
      <c r="O1445" s="12">
        <v>10750</v>
      </c>
      <c r="P1445" s="3" t="s">
        <v>26</v>
      </c>
      <c r="Q1445" s="1" cm="1">
        <f t="array" ref="Q1445">VALUE(INDEX(_xlfn.TEXTSPLIT(P1445, " "), 4))</f>
        <v>2014</v>
      </c>
      <c r="R1445" s="1" t="str">
        <f t="shared" si="22"/>
        <v>Mazda Mazda6 i Sport</v>
      </c>
      <c r="S1445" s="1" t="str" cm="1">
        <f t="array" ref="S1445">_xlfn.IFS(I1445 &gt;= 40, "High", I1445&gt;=20, "Medium", I1445&lt;20, "Low")</f>
        <v>Medium</v>
      </c>
      <c r="T1445" s="1" t="str" cm="1">
        <f t="array" ref="T1445">_xlfn.IFS(O1445&lt;18200, "Low", O1445&lt;=50000, "Medium", O1445&gt;50000, "High")</f>
        <v>Low</v>
      </c>
    </row>
    <row r="1446" spans="1:20" x14ac:dyDescent="0.25">
      <c r="A1446" s="2">
        <v>2012</v>
      </c>
      <c r="B1446" s="1" t="s">
        <v>681</v>
      </c>
      <c r="C1446" s="1" t="s">
        <v>684</v>
      </c>
      <c r="D1446" s="1" t="s">
        <v>54</v>
      </c>
      <c r="E1446" s="1" t="s">
        <v>227</v>
      </c>
      <c r="F1446" s="1" t="s">
        <v>214</v>
      </c>
      <c r="G1446" s="1" t="s">
        <v>2198</v>
      </c>
      <c r="H1446" s="1" t="s">
        <v>22</v>
      </c>
      <c r="I1446" s="1">
        <v>28</v>
      </c>
      <c r="J1446" s="1">
        <v>41755</v>
      </c>
      <c r="K1446" s="1" t="s">
        <v>73</v>
      </c>
      <c r="L1446" s="1" t="s">
        <v>101</v>
      </c>
      <c r="M1446" s="1" t="s">
        <v>686</v>
      </c>
      <c r="N1446" s="1">
        <v>13000</v>
      </c>
      <c r="O1446" s="12">
        <v>12200</v>
      </c>
      <c r="P1446" s="3" t="s">
        <v>173</v>
      </c>
      <c r="Q1446" s="1" cm="1">
        <f t="array" ref="Q1446">VALUE(INDEX(_xlfn.TEXTSPLIT(P1446, " "), 4))</f>
        <v>2015</v>
      </c>
      <c r="R1446" s="1" t="str">
        <f t="shared" si="22"/>
        <v>MINI Cooper Base</v>
      </c>
      <c r="S1446" s="1" t="str" cm="1">
        <f t="array" ref="S1446">_xlfn.IFS(I1446 &gt;= 40, "High", I1446&gt;=20, "Medium", I1446&lt;20, "Low")</f>
        <v>Medium</v>
      </c>
      <c r="T1446" s="1" t="str" cm="1">
        <f t="array" ref="T1446">_xlfn.IFS(O1446&lt;18200, "Low", O1446&lt;=50000, "Medium", O1446&gt;50000, "High")</f>
        <v>Low</v>
      </c>
    </row>
    <row r="1447" spans="1:20" x14ac:dyDescent="0.25">
      <c r="A1447" s="2">
        <v>2012</v>
      </c>
      <c r="B1447" s="1" t="s">
        <v>608</v>
      </c>
      <c r="C1447" s="1" t="s">
        <v>620</v>
      </c>
      <c r="D1447" s="1" t="s">
        <v>640</v>
      </c>
      <c r="E1447" s="1" t="s">
        <v>32</v>
      </c>
      <c r="F1447" s="1" t="s">
        <v>20</v>
      </c>
      <c r="G1447" s="1" t="s">
        <v>2199</v>
      </c>
      <c r="H1447" s="1" t="s">
        <v>22</v>
      </c>
      <c r="I1447" s="1">
        <v>29</v>
      </c>
      <c r="J1447" s="1">
        <v>20015</v>
      </c>
      <c r="K1447" s="1" t="s">
        <v>24</v>
      </c>
      <c r="L1447" s="1" t="s">
        <v>24</v>
      </c>
      <c r="M1447" s="1" t="s">
        <v>612</v>
      </c>
      <c r="N1447" s="1">
        <v>22900</v>
      </c>
      <c r="O1447" s="12">
        <v>22000</v>
      </c>
      <c r="P1447" s="3" t="s">
        <v>46</v>
      </c>
      <c r="Q1447" s="1" cm="1">
        <f t="array" ref="Q1447">VALUE(INDEX(_xlfn.TEXTSPLIT(P1447, " "), 4))</f>
        <v>2014</v>
      </c>
      <c r="R1447" s="1" t="str">
        <f t="shared" si="22"/>
        <v>Mercedes-Benz C-Class C250 Sport</v>
      </c>
      <c r="S1447" s="1" t="str" cm="1">
        <f t="array" ref="S1447">_xlfn.IFS(I1447 &gt;= 40, "High", I1447&gt;=20, "Medium", I1447&lt;20, "Low")</f>
        <v>Medium</v>
      </c>
      <c r="T1447" s="1" t="str" cm="1">
        <f t="array" ref="T1447">_xlfn.IFS(O1447&lt;18200, "Low", O1447&lt;=50000, "Medium", O1447&gt;50000, "High")</f>
        <v>Medium</v>
      </c>
    </row>
    <row r="1448" spans="1:20" x14ac:dyDescent="0.25">
      <c r="A1448" s="2">
        <v>2012</v>
      </c>
      <c r="B1448" s="1" t="s">
        <v>318</v>
      </c>
      <c r="C1448" s="1" t="s">
        <v>323</v>
      </c>
      <c r="D1448" s="1" t="s">
        <v>324</v>
      </c>
      <c r="E1448" s="1" t="s">
        <v>323</v>
      </c>
      <c r="F1448" s="1" t="s">
        <v>20</v>
      </c>
      <c r="G1448" s="1" t="s">
        <v>2200</v>
      </c>
      <c r="H1448" s="1" t="s">
        <v>22</v>
      </c>
      <c r="I1448" s="1">
        <v>44</v>
      </c>
      <c r="J1448" s="1">
        <v>52859</v>
      </c>
      <c r="K1448" s="1" t="s">
        <v>34</v>
      </c>
      <c r="L1448" s="1" t="s">
        <v>24</v>
      </c>
      <c r="M1448" s="1" t="s">
        <v>322</v>
      </c>
      <c r="N1448" s="1">
        <v>19250</v>
      </c>
      <c r="O1448" s="12">
        <v>17500</v>
      </c>
      <c r="P1448" s="3" t="s">
        <v>46</v>
      </c>
      <c r="Q1448" s="1" cm="1">
        <f t="array" ref="Q1448">VALUE(INDEX(_xlfn.TEXTSPLIT(P1448, " "), 4))</f>
        <v>2014</v>
      </c>
      <c r="R1448" s="1" t="str">
        <f t="shared" si="22"/>
        <v>Infiniti G Sedan G37 Journey</v>
      </c>
      <c r="S1448" s="1" t="str" cm="1">
        <f t="array" ref="S1448">_xlfn.IFS(I1448 &gt;= 40, "High", I1448&gt;=20, "Medium", I1448&lt;20, "Low")</f>
        <v>High</v>
      </c>
      <c r="T1448" s="1" t="str" cm="1">
        <f t="array" ref="T1448">_xlfn.IFS(O1448&lt;18200, "Low", O1448&lt;=50000, "Medium", O1448&gt;50000, "High")</f>
        <v>Low</v>
      </c>
    </row>
    <row r="1449" spans="1:20" x14ac:dyDescent="0.25">
      <c r="A1449" s="2">
        <v>2012</v>
      </c>
      <c r="B1449" s="1" t="s">
        <v>681</v>
      </c>
      <c r="C1449" s="1" t="s">
        <v>684</v>
      </c>
      <c r="D1449" s="1" t="s">
        <v>54</v>
      </c>
      <c r="E1449" s="1" t="s">
        <v>71</v>
      </c>
      <c r="F1449" s="1" t="s">
        <v>20</v>
      </c>
      <c r="G1449" s="1" t="s">
        <v>2201</v>
      </c>
      <c r="H1449" s="1" t="s">
        <v>22</v>
      </c>
      <c r="I1449" s="1">
        <v>38</v>
      </c>
      <c r="J1449" s="1">
        <v>41232</v>
      </c>
      <c r="K1449" s="1" t="s">
        <v>73</v>
      </c>
      <c r="L1449" s="1" t="s">
        <v>24</v>
      </c>
      <c r="M1449" s="1" t="s">
        <v>686</v>
      </c>
      <c r="N1449" s="1">
        <v>14600</v>
      </c>
      <c r="O1449" s="12">
        <v>15250</v>
      </c>
      <c r="P1449" s="3" t="s">
        <v>46</v>
      </c>
      <c r="Q1449" s="1" cm="1">
        <f t="array" ref="Q1449">VALUE(INDEX(_xlfn.TEXTSPLIT(P1449, " "), 4))</f>
        <v>2014</v>
      </c>
      <c r="R1449" s="1" t="str">
        <f t="shared" si="22"/>
        <v>MINI Cooper Base</v>
      </c>
      <c r="S1449" s="1" t="str" cm="1">
        <f t="array" ref="S1449">_xlfn.IFS(I1449 &gt;= 40, "High", I1449&gt;=20, "Medium", I1449&lt;20, "Low")</f>
        <v>Medium</v>
      </c>
      <c r="T1449" s="1" t="str" cm="1">
        <f t="array" ref="T1449">_xlfn.IFS(O1449&lt;18200, "Low", O1449&lt;=50000, "Medium", O1449&gt;50000, "High")</f>
        <v>Low</v>
      </c>
    </row>
    <row r="1450" spans="1:20" x14ac:dyDescent="0.25">
      <c r="A1450" s="2">
        <v>2012</v>
      </c>
      <c r="B1450" s="1" t="s">
        <v>16</v>
      </c>
      <c r="C1450" s="1" t="s">
        <v>655</v>
      </c>
      <c r="D1450" s="1" t="s">
        <v>54</v>
      </c>
      <c r="E1450" s="1" t="s">
        <v>130</v>
      </c>
      <c r="F1450" s="1" t="s">
        <v>20</v>
      </c>
      <c r="G1450" s="1" t="s">
        <v>2202</v>
      </c>
      <c r="H1450" s="1" t="s">
        <v>22</v>
      </c>
      <c r="I1450" s="1">
        <v>34</v>
      </c>
      <c r="J1450" s="1">
        <v>51141</v>
      </c>
      <c r="K1450" s="1" t="s">
        <v>549</v>
      </c>
      <c r="L1450" s="1" t="s">
        <v>24</v>
      </c>
      <c r="M1450" s="1" t="s">
        <v>83</v>
      </c>
      <c r="N1450" s="1">
        <v>8175</v>
      </c>
      <c r="O1450" s="12">
        <v>9800</v>
      </c>
      <c r="P1450" s="3" t="s">
        <v>84</v>
      </c>
      <c r="Q1450" s="1" cm="1">
        <f t="array" ref="Q1450">VALUE(INDEX(_xlfn.TEXTSPLIT(P1450, " "), 4))</f>
        <v>2014</v>
      </c>
      <c r="R1450" s="1" t="str">
        <f t="shared" si="22"/>
        <v>Kia Soul Base</v>
      </c>
      <c r="S1450" s="1" t="str" cm="1">
        <f t="array" ref="S1450">_xlfn.IFS(I1450 &gt;= 40, "High", I1450&gt;=20, "Medium", I1450&lt;20, "Low")</f>
        <v>Medium</v>
      </c>
      <c r="T1450" s="1" t="str" cm="1">
        <f t="array" ref="T1450">_xlfn.IFS(O1450&lt;18200, "Low", O1450&lt;=50000, "Medium", O1450&gt;50000, "High")</f>
        <v>Low</v>
      </c>
    </row>
    <row r="1451" spans="1:20" x14ac:dyDescent="0.25">
      <c r="A1451" s="2">
        <v>2012</v>
      </c>
      <c r="B1451" s="1" t="s">
        <v>817</v>
      </c>
      <c r="C1451" s="1" t="s">
        <v>2065</v>
      </c>
      <c r="D1451" s="1" t="s">
        <v>54</v>
      </c>
      <c r="E1451" s="1" t="s">
        <v>32</v>
      </c>
      <c r="F1451" s="1" t="s">
        <v>20</v>
      </c>
      <c r="G1451" s="1" t="s">
        <v>2203</v>
      </c>
      <c r="H1451" s="1" t="s">
        <v>22</v>
      </c>
      <c r="I1451" s="1">
        <v>28</v>
      </c>
      <c r="J1451" s="1">
        <v>27533</v>
      </c>
      <c r="K1451" s="1" t="s">
        <v>94</v>
      </c>
      <c r="L1451" s="1" t="s">
        <v>34</v>
      </c>
      <c r="M1451" s="1" t="s">
        <v>555</v>
      </c>
      <c r="N1451" s="1">
        <v>38500</v>
      </c>
      <c r="O1451" s="12">
        <v>35500</v>
      </c>
      <c r="P1451" s="3" t="s">
        <v>46</v>
      </c>
      <c r="Q1451" s="1" cm="1">
        <f t="array" ref="Q1451">VALUE(INDEX(_xlfn.TEXTSPLIT(P1451, " "), 4))</f>
        <v>2014</v>
      </c>
      <c r="R1451" s="1" t="str">
        <f t="shared" si="22"/>
        <v>Jaguar XJ Base</v>
      </c>
      <c r="S1451" s="1" t="str" cm="1">
        <f t="array" ref="S1451">_xlfn.IFS(I1451 &gt;= 40, "High", I1451&gt;=20, "Medium", I1451&lt;20, "Low")</f>
        <v>Medium</v>
      </c>
      <c r="T1451" s="1" t="str" cm="1">
        <f t="array" ref="T1451">_xlfn.IFS(O1451&lt;18200, "Low", O1451&lt;=50000, "Medium", O1451&gt;50000, "High")</f>
        <v>Medium</v>
      </c>
    </row>
    <row r="1452" spans="1:20" x14ac:dyDescent="0.25">
      <c r="A1452" s="2">
        <v>2012</v>
      </c>
      <c r="B1452" s="1" t="s">
        <v>632</v>
      </c>
      <c r="C1452" s="1" t="s">
        <v>677</v>
      </c>
      <c r="D1452" s="1" t="s">
        <v>744</v>
      </c>
      <c r="E1452" s="1" t="s">
        <v>32</v>
      </c>
      <c r="F1452" s="1" t="s">
        <v>20</v>
      </c>
      <c r="G1452" s="1" t="s">
        <v>2204</v>
      </c>
      <c r="H1452" s="1" t="s">
        <v>22</v>
      </c>
      <c r="I1452" s="1">
        <v>37</v>
      </c>
      <c r="J1452" s="1">
        <v>48544</v>
      </c>
      <c r="K1452" s="1" t="s">
        <v>34</v>
      </c>
      <c r="L1452" s="1" t="s">
        <v>24</v>
      </c>
      <c r="M1452" s="1" t="s">
        <v>1606</v>
      </c>
      <c r="N1452" s="1">
        <v>8800</v>
      </c>
      <c r="O1452" s="12">
        <v>11000</v>
      </c>
      <c r="P1452" s="3" t="s">
        <v>26</v>
      </c>
      <c r="Q1452" s="1" cm="1">
        <f t="array" ref="Q1452">VALUE(INDEX(_xlfn.TEXTSPLIT(P1452, " "), 4))</f>
        <v>2014</v>
      </c>
      <c r="R1452" s="1" t="str">
        <f t="shared" si="22"/>
        <v>Mazda Mazda3 i Sport</v>
      </c>
      <c r="S1452" s="1" t="str" cm="1">
        <f t="array" ref="S1452">_xlfn.IFS(I1452 &gt;= 40, "High", I1452&gt;=20, "Medium", I1452&lt;20, "Low")</f>
        <v>Medium</v>
      </c>
      <c r="T1452" s="1" t="str" cm="1">
        <f t="array" ref="T1452">_xlfn.IFS(O1452&lt;18200, "Low", O1452&lt;=50000, "Medium", O1452&gt;50000, "High")</f>
        <v>Low</v>
      </c>
    </row>
    <row r="1453" spans="1:20" x14ac:dyDescent="0.25">
      <c r="A1453" s="2">
        <v>2012</v>
      </c>
      <c r="B1453" s="1" t="s">
        <v>608</v>
      </c>
      <c r="C1453" s="1" t="s">
        <v>673</v>
      </c>
      <c r="D1453" s="1" t="s">
        <v>2069</v>
      </c>
      <c r="E1453" s="1" t="s">
        <v>32</v>
      </c>
      <c r="F1453" s="1" t="s">
        <v>20</v>
      </c>
      <c r="G1453" s="1" t="s">
        <v>2205</v>
      </c>
      <c r="H1453" s="1" t="s">
        <v>22</v>
      </c>
      <c r="I1453" s="1">
        <v>36</v>
      </c>
      <c r="J1453" s="1">
        <v>41302</v>
      </c>
      <c r="K1453" s="1" t="s">
        <v>23</v>
      </c>
      <c r="L1453" s="1" t="s">
        <v>24</v>
      </c>
      <c r="M1453" s="1" t="s">
        <v>676</v>
      </c>
      <c r="N1453" s="1">
        <v>26900</v>
      </c>
      <c r="O1453" s="12">
        <v>23000</v>
      </c>
      <c r="P1453" s="3" t="s">
        <v>68</v>
      </c>
      <c r="Q1453" s="1" cm="1">
        <f t="array" ref="Q1453">VALUE(INDEX(_xlfn.TEXTSPLIT(P1453, " "), 4))</f>
        <v>2014</v>
      </c>
      <c r="R1453" s="1" t="str">
        <f t="shared" si="22"/>
        <v>Mercedes-Benz E-Class E350 Luxury</v>
      </c>
      <c r="S1453" s="1" t="str" cm="1">
        <f t="array" ref="S1453">_xlfn.IFS(I1453 &gt;= 40, "High", I1453&gt;=20, "Medium", I1453&lt;20, "Low")</f>
        <v>Medium</v>
      </c>
      <c r="T1453" s="1" t="str" cm="1">
        <f t="array" ref="T1453">_xlfn.IFS(O1453&lt;18200, "Low", O1453&lt;=50000, "Medium", O1453&gt;50000, "High")</f>
        <v>Medium</v>
      </c>
    </row>
    <row r="1454" spans="1:20" x14ac:dyDescent="0.25">
      <c r="A1454" s="2">
        <v>2012</v>
      </c>
      <c r="B1454" s="1" t="s">
        <v>318</v>
      </c>
      <c r="C1454" s="1" t="s">
        <v>323</v>
      </c>
      <c r="D1454" s="1" t="s">
        <v>324</v>
      </c>
      <c r="E1454" s="1" t="s">
        <v>323</v>
      </c>
      <c r="F1454" s="1" t="s">
        <v>20</v>
      </c>
      <c r="G1454" s="1" t="s">
        <v>2206</v>
      </c>
      <c r="H1454" s="1" t="s">
        <v>22</v>
      </c>
      <c r="I1454" s="1">
        <v>44</v>
      </c>
      <c r="J1454" s="1">
        <v>49338</v>
      </c>
      <c r="K1454" s="1" t="s">
        <v>23</v>
      </c>
      <c r="L1454" s="1" t="s">
        <v>34</v>
      </c>
      <c r="M1454" s="1" t="s">
        <v>322</v>
      </c>
      <c r="N1454" s="1">
        <v>19650</v>
      </c>
      <c r="O1454" s="12">
        <v>22250</v>
      </c>
      <c r="P1454" s="3" t="s">
        <v>46</v>
      </c>
      <c r="Q1454" s="1" cm="1">
        <f t="array" ref="Q1454">VALUE(INDEX(_xlfn.TEXTSPLIT(P1454, " "), 4))</f>
        <v>2014</v>
      </c>
      <c r="R1454" s="1" t="str">
        <f t="shared" si="22"/>
        <v>Infiniti G Sedan G37 Journey</v>
      </c>
      <c r="S1454" s="1" t="str" cm="1">
        <f t="array" ref="S1454">_xlfn.IFS(I1454 &gt;= 40, "High", I1454&gt;=20, "Medium", I1454&lt;20, "Low")</f>
        <v>High</v>
      </c>
      <c r="T1454" s="1" t="str" cm="1">
        <f t="array" ref="T1454">_xlfn.IFS(O1454&lt;18200, "Low", O1454&lt;=50000, "Medium", O1454&gt;50000, "High")</f>
        <v>Medium</v>
      </c>
    </row>
    <row r="1455" spans="1:20" x14ac:dyDescent="0.25">
      <c r="A1455" s="2">
        <v>2012</v>
      </c>
      <c r="B1455" s="1" t="s">
        <v>681</v>
      </c>
      <c r="C1455" s="1" t="s">
        <v>684</v>
      </c>
      <c r="D1455" s="1" t="s">
        <v>54</v>
      </c>
      <c r="E1455" s="1" t="s">
        <v>71</v>
      </c>
      <c r="F1455" s="1" t="s">
        <v>20</v>
      </c>
      <c r="G1455" s="1" t="s">
        <v>2207</v>
      </c>
      <c r="H1455" s="1" t="s">
        <v>22</v>
      </c>
      <c r="I1455" s="1">
        <v>36</v>
      </c>
      <c r="J1455" s="1">
        <v>36053</v>
      </c>
      <c r="K1455" s="1" t="s">
        <v>73</v>
      </c>
      <c r="L1455" s="1" t="s">
        <v>24</v>
      </c>
      <c r="M1455" s="1" t="s">
        <v>686</v>
      </c>
      <c r="N1455" s="1">
        <v>15000</v>
      </c>
      <c r="O1455" s="12">
        <v>15000</v>
      </c>
      <c r="P1455" s="3" t="s">
        <v>46</v>
      </c>
      <c r="Q1455" s="1" cm="1">
        <f t="array" ref="Q1455">VALUE(INDEX(_xlfn.TEXTSPLIT(P1455, " "), 4))</f>
        <v>2014</v>
      </c>
      <c r="R1455" s="1" t="str">
        <f t="shared" si="22"/>
        <v>MINI Cooper Base</v>
      </c>
      <c r="S1455" s="1" t="str" cm="1">
        <f t="array" ref="S1455">_xlfn.IFS(I1455 &gt;= 40, "High", I1455&gt;=20, "Medium", I1455&lt;20, "Low")</f>
        <v>Medium</v>
      </c>
      <c r="T1455" s="1" t="str" cm="1">
        <f t="array" ref="T1455">_xlfn.IFS(O1455&lt;18200, "Low", O1455&lt;=50000, "Medium", O1455&gt;50000, "High")</f>
        <v>Low</v>
      </c>
    </row>
    <row r="1456" spans="1:20" x14ac:dyDescent="0.25">
      <c r="A1456" s="2">
        <v>2012</v>
      </c>
      <c r="B1456" s="1" t="s">
        <v>608</v>
      </c>
      <c r="C1456" s="1" t="s">
        <v>673</v>
      </c>
      <c r="D1456" s="1" t="s">
        <v>2069</v>
      </c>
      <c r="E1456" s="1" t="s">
        <v>32</v>
      </c>
      <c r="F1456" s="1" t="s">
        <v>20</v>
      </c>
      <c r="G1456" s="1" t="s">
        <v>2208</v>
      </c>
      <c r="H1456" s="1" t="s">
        <v>22</v>
      </c>
      <c r="I1456" s="1">
        <v>41</v>
      </c>
      <c r="J1456" s="1">
        <v>32178</v>
      </c>
      <c r="K1456" s="1" t="s">
        <v>24</v>
      </c>
      <c r="L1456" s="1" t="s">
        <v>24</v>
      </c>
      <c r="M1456" s="1" t="s">
        <v>612</v>
      </c>
      <c r="N1456" s="1">
        <v>28500</v>
      </c>
      <c r="O1456" s="12">
        <v>28500</v>
      </c>
      <c r="P1456" s="3" t="s">
        <v>46</v>
      </c>
      <c r="Q1456" s="1" cm="1">
        <f t="array" ref="Q1456">VALUE(INDEX(_xlfn.TEXTSPLIT(P1456, " "), 4))</f>
        <v>2014</v>
      </c>
      <c r="R1456" s="1" t="str">
        <f t="shared" si="22"/>
        <v>Mercedes-Benz E-Class E350 Luxury</v>
      </c>
      <c r="S1456" s="1" t="str" cm="1">
        <f t="array" ref="S1456">_xlfn.IFS(I1456 &gt;= 40, "High", I1456&gt;=20, "Medium", I1456&lt;20, "Low")</f>
        <v>High</v>
      </c>
      <c r="T1456" s="1" t="str" cm="1">
        <f t="array" ref="T1456">_xlfn.IFS(O1456&lt;18200, "Low", O1456&lt;=50000, "Medium", O1456&gt;50000, "High")</f>
        <v>Medium</v>
      </c>
    </row>
    <row r="1457" spans="1:20" x14ac:dyDescent="0.25">
      <c r="A1457" s="2">
        <v>2012</v>
      </c>
      <c r="B1457" s="1" t="s">
        <v>681</v>
      </c>
      <c r="C1457" s="1" t="s">
        <v>1371</v>
      </c>
      <c r="D1457" s="1" t="s">
        <v>936</v>
      </c>
      <c r="E1457" s="1" t="s">
        <v>227</v>
      </c>
      <c r="F1457" s="1" t="s">
        <v>20</v>
      </c>
      <c r="G1457" s="1" t="s">
        <v>2209</v>
      </c>
      <c r="H1457" s="1" t="s">
        <v>22</v>
      </c>
      <c r="I1457" s="1">
        <v>46</v>
      </c>
      <c r="J1457" s="1">
        <v>19781</v>
      </c>
      <c r="K1457" s="1" t="s">
        <v>34</v>
      </c>
      <c r="L1457" s="1" t="s">
        <v>101</v>
      </c>
      <c r="M1457" s="1" t="s">
        <v>686</v>
      </c>
      <c r="N1457" s="1">
        <v>16100</v>
      </c>
      <c r="O1457" s="12">
        <v>16500</v>
      </c>
      <c r="P1457" s="3" t="s">
        <v>46</v>
      </c>
      <c r="Q1457" s="1" cm="1">
        <f t="array" ref="Q1457">VALUE(INDEX(_xlfn.TEXTSPLIT(P1457, " "), 4))</f>
        <v>2014</v>
      </c>
      <c r="R1457" s="1" t="str">
        <f t="shared" si="22"/>
        <v>MINI Cooper Coupe S</v>
      </c>
      <c r="S1457" s="1" t="str" cm="1">
        <f t="array" ref="S1457">_xlfn.IFS(I1457 &gt;= 40, "High", I1457&gt;=20, "Medium", I1457&lt;20, "Low")</f>
        <v>High</v>
      </c>
      <c r="T1457" s="1" t="str" cm="1">
        <f t="array" ref="T1457">_xlfn.IFS(O1457&lt;18200, "Low", O1457&lt;=50000, "Medium", O1457&gt;50000, "High")</f>
        <v>Low</v>
      </c>
    </row>
    <row r="1458" spans="1:20" x14ac:dyDescent="0.25">
      <c r="A1458" s="2">
        <v>2012</v>
      </c>
      <c r="B1458" s="1" t="s">
        <v>632</v>
      </c>
      <c r="C1458" s="1" t="s">
        <v>677</v>
      </c>
      <c r="D1458" s="1" t="s">
        <v>2210</v>
      </c>
      <c r="E1458" s="1" t="s">
        <v>227</v>
      </c>
      <c r="F1458" s="1" t="s">
        <v>20</v>
      </c>
      <c r="G1458" s="1" t="s">
        <v>2211</v>
      </c>
      <c r="H1458" s="1" t="s">
        <v>22</v>
      </c>
      <c r="I1458" s="1">
        <v>24</v>
      </c>
      <c r="J1458" s="1">
        <v>33113</v>
      </c>
      <c r="K1458" s="1" t="s">
        <v>34</v>
      </c>
      <c r="L1458" s="1" t="s">
        <v>24</v>
      </c>
      <c r="M1458" s="1" t="s">
        <v>555</v>
      </c>
      <c r="N1458" s="1">
        <v>12250</v>
      </c>
      <c r="O1458" s="12">
        <v>14500</v>
      </c>
      <c r="P1458" s="3" t="s">
        <v>26</v>
      </c>
      <c r="Q1458" s="1" cm="1">
        <f t="array" ref="Q1458">VALUE(INDEX(_xlfn.TEXTSPLIT(P1458, " "), 4))</f>
        <v>2014</v>
      </c>
      <c r="R1458" s="1" t="str">
        <f t="shared" si="22"/>
        <v>Mazda Mazda3 s Touring</v>
      </c>
      <c r="S1458" s="1" t="str" cm="1">
        <f t="array" ref="S1458">_xlfn.IFS(I1458 &gt;= 40, "High", I1458&gt;=20, "Medium", I1458&lt;20, "Low")</f>
        <v>Medium</v>
      </c>
      <c r="T1458" s="1" t="str" cm="1">
        <f t="array" ref="T1458">_xlfn.IFS(O1458&lt;18200, "Low", O1458&lt;=50000, "Medium", O1458&gt;50000, "High")</f>
        <v>Low</v>
      </c>
    </row>
    <row r="1459" spans="1:20" x14ac:dyDescent="0.25">
      <c r="A1459" s="2">
        <v>2012</v>
      </c>
      <c r="B1459" s="1" t="s">
        <v>318</v>
      </c>
      <c r="C1459" s="1" t="s">
        <v>319</v>
      </c>
      <c r="D1459" s="1" t="s">
        <v>1965</v>
      </c>
      <c r="E1459" s="1" t="s">
        <v>319</v>
      </c>
      <c r="F1459" s="1" t="s">
        <v>20</v>
      </c>
      <c r="G1459" s="1" t="s">
        <v>2212</v>
      </c>
      <c r="H1459" s="1" t="s">
        <v>22</v>
      </c>
      <c r="I1459" s="1">
        <v>41</v>
      </c>
      <c r="J1459" s="1">
        <v>49037</v>
      </c>
      <c r="K1459" s="1" t="s">
        <v>34</v>
      </c>
      <c r="L1459" s="1" t="s">
        <v>24</v>
      </c>
      <c r="M1459" s="1" t="s">
        <v>322</v>
      </c>
      <c r="N1459" s="1">
        <v>20100</v>
      </c>
      <c r="O1459" s="12">
        <v>20750</v>
      </c>
      <c r="P1459" s="3" t="s">
        <v>251</v>
      </c>
      <c r="Q1459" s="1" cm="1">
        <f t="array" ref="Q1459">VALUE(INDEX(_xlfn.TEXTSPLIT(P1459, " "), 4))</f>
        <v>2014</v>
      </c>
      <c r="R1459" s="1" t="str">
        <f t="shared" si="22"/>
        <v>Infiniti G Coupe G37</v>
      </c>
      <c r="S1459" s="1" t="str" cm="1">
        <f t="array" ref="S1459">_xlfn.IFS(I1459 &gt;= 40, "High", I1459&gt;=20, "Medium", I1459&lt;20, "Low")</f>
        <v>High</v>
      </c>
      <c r="T1459" s="1" t="str" cm="1">
        <f t="array" ref="T1459">_xlfn.IFS(O1459&lt;18200, "Low", O1459&lt;=50000, "Medium", O1459&gt;50000, "High")</f>
        <v>Medium</v>
      </c>
    </row>
    <row r="1460" spans="1:20" x14ac:dyDescent="0.25">
      <c r="A1460" s="2">
        <v>2012</v>
      </c>
      <c r="B1460" s="1" t="s">
        <v>318</v>
      </c>
      <c r="C1460" s="1" t="s">
        <v>323</v>
      </c>
      <c r="D1460" s="1" t="s">
        <v>324</v>
      </c>
      <c r="E1460" s="1" t="s">
        <v>323</v>
      </c>
      <c r="F1460" s="1" t="s">
        <v>20</v>
      </c>
      <c r="G1460" s="1" t="s">
        <v>2213</v>
      </c>
      <c r="H1460" s="1" t="s">
        <v>22</v>
      </c>
      <c r="I1460" s="1">
        <v>44</v>
      </c>
      <c r="J1460" s="1">
        <v>31659</v>
      </c>
      <c r="K1460" s="1" t="s">
        <v>23</v>
      </c>
      <c r="L1460" s="1" t="s">
        <v>34</v>
      </c>
      <c r="M1460" s="1" t="s">
        <v>322</v>
      </c>
      <c r="N1460" s="1">
        <v>21600</v>
      </c>
      <c r="O1460" s="12">
        <v>20750</v>
      </c>
      <c r="P1460" s="3" t="s">
        <v>46</v>
      </c>
      <c r="Q1460" s="1" cm="1">
        <f t="array" ref="Q1460">VALUE(INDEX(_xlfn.TEXTSPLIT(P1460, " "), 4))</f>
        <v>2014</v>
      </c>
      <c r="R1460" s="1" t="str">
        <f t="shared" si="22"/>
        <v>Infiniti G Sedan G37 Journey</v>
      </c>
      <c r="S1460" s="1" t="str" cm="1">
        <f t="array" ref="S1460">_xlfn.IFS(I1460 &gt;= 40, "High", I1460&gt;=20, "Medium", I1460&lt;20, "Low")</f>
        <v>High</v>
      </c>
      <c r="T1460" s="1" t="str" cm="1">
        <f t="array" ref="T1460">_xlfn.IFS(O1460&lt;18200, "Low", O1460&lt;=50000, "Medium", O1460&gt;50000, "High")</f>
        <v>Medium</v>
      </c>
    </row>
    <row r="1461" spans="1:20" x14ac:dyDescent="0.25">
      <c r="A1461" s="2">
        <v>2012</v>
      </c>
      <c r="B1461" s="1" t="s">
        <v>817</v>
      </c>
      <c r="C1461" s="1" t="s">
        <v>2065</v>
      </c>
      <c r="D1461" s="1" t="s">
        <v>2214</v>
      </c>
      <c r="E1461" s="1" t="s">
        <v>32</v>
      </c>
      <c r="F1461" s="1" t="s">
        <v>20</v>
      </c>
      <c r="G1461" s="1" t="s">
        <v>2215</v>
      </c>
      <c r="H1461" s="1" t="s">
        <v>22</v>
      </c>
      <c r="I1461" s="1">
        <v>38</v>
      </c>
      <c r="J1461" s="1">
        <v>63818</v>
      </c>
      <c r="K1461" s="1" t="s">
        <v>24</v>
      </c>
      <c r="L1461" s="1" t="s">
        <v>24</v>
      </c>
      <c r="M1461" s="1" t="s">
        <v>555</v>
      </c>
      <c r="N1461" s="1">
        <v>39900</v>
      </c>
      <c r="O1461" s="12">
        <v>37000</v>
      </c>
      <c r="P1461" s="3" t="s">
        <v>36</v>
      </c>
      <c r="Q1461" s="1" cm="1">
        <f t="array" ref="Q1461">VALUE(INDEX(_xlfn.TEXTSPLIT(P1461, " "), 4))</f>
        <v>2015</v>
      </c>
      <c r="R1461" s="1" t="str">
        <f t="shared" si="22"/>
        <v>Jaguar XJ Supercharged</v>
      </c>
      <c r="S1461" s="1" t="str" cm="1">
        <f t="array" ref="S1461">_xlfn.IFS(I1461 &gt;= 40, "High", I1461&gt;=20, "Medium", I1461&lt;20, "Low")</f>
        <v>Medium</v>
      </c>
      <c r="T1461" s="1" t="str" cm="1">
        <f t="array" ref="T1461">_xlfn.IFS(O1461&lt;18200, "Low", O1461&lt;=50000, "Medium", O1461&gt;50000, "High")</f>
        <v>Medium</v>
      </c>
    </row>
    <row r="1462" spans="1:20" x14ac:dyDescent="0.25">
      <c r="A1462" s="2">
        <v>2012</v>
      </c>
      <c r="B1462" s="1" t="s">
        <v>202</v>
      </c>
      <c r="C1462" s="1" t="s">
        <v>203</v>
      </c>
      <c r="D1462" s="1" t="s">
        <v>54</v>
      </c>
      <c r="E1462" s="1" t="s">
        <v>19</v>
      </c>
      <c r="F1462" s="1" t="s">
        <v>20</v>
      </c>
      <c r="G1462" s="1" t="s">
        <v>2216</v>
      </c>
      <c r="H1462" s="1" t="s">
        <v>22</v>
      </c>
      <c r="I1462" s="1">
        <v>42</v>
      </c>
      <c r="J1462" s="1">
        <v>33845</v>
      </c>
      <c r="K1462" s="1" t="s">
        <v>91</v>
      </c>
      <c r="L1462" s="1" t="s">
        <v>34</v>
      </c>
      <c r="M1462" s="1" t="s">
        <v>79</v>
      </c>
      <c r="N1462" s="1">
        <v>27600</v>
      </c>
      <c r="O1462" s="12">
        <v>29750</v>
      </c>
      <c r="P1462" s="3" t="s">
        <v>26</v>
      </c>
      <c r="Q1462" s="1" cm="1">
        <f t="array" ref="Q1462">VALUE(INDEX(_xlfn.TEXTSPLIT(P1462, " "), 4))</f>
        <v>2014</v>
      </c>
      <c r="R1462" s="1" t="str">
        <f t="shared" si="22"/>
        <v>Lexus RX 350 Base</v>
      </c>
      <c r="S1462" s="1" t="str" cm="1">
        <f t="array" ref="S1462">_xlfn.IFS(I1462 &gt;= 40, "High", I1462&gt;=20, "Medium", I1462&lt;20, "Low")</f>
        <v>High</v>
      </c>
      <c r="T1462" s="1" t="str" cm="1">
        <f t="array" ref="T1462">_xlfn.IFS(O1462&lt;18200, "Low", O1462&lt;=50000, "Medium", O1462&gt;50000, "High")</f>
        <v>Medium</v>
      </c>
    </row>
    <row r="1463" spans="1:20" x14ac:dyDescent="0.25">
      <c r="A1463" s="2">
        <v>2012</v>
      </c>
      <c r="B1463" s="1" t="s">
        <v>318</v>
      </c>
      <c r="C1463" s="1" t="s">
        <v>319</v>
      </c>
      <c r="D1463" s="1" t="s">
        <v>1965</v>
      </c>
      <c r="E1463" s="1" t="s">
        <v>319</v>
      </c>
      <c r="F1463" s="1" t="s">
        <v>20</v>
      </c>
      <c r="G1463" s="1" t="s">
        <v>2217</v>
      </c>
      <c r="H1463" s="1" t="s">
        <v>22</v>
      </c>
      <c r="I1463" s="1">
        <v>38</v>
      </c>
      <c r="J1463" s="1">
        <v>43336</v>
      </c>
      <c r="K1463" s="1" t="s">
        <v>24</v>
      </c>
      <c r="L1463" s="1" t="s">
        <v>24</v>
      </c>
      <c r="M1463" s="1" t="s">
        <v>322</v>
      </c>
      <c r="N1463" s="1">
        <v>20600</v>
      </c>
      <c r="O1463" s="12">
        <v>19500</v>
      </c>
      <c r="P1463" s="3" t="s">
        <v>251</v>
      </c>
      <c r="Q1463" s="1" cm="1">
        <f t="array" ref="Q1463">VALUE(INDEX(_xlfn.TEXTSPLIT(P1463, " "), 4))</f>
        <v>2014</v>
      </c>
      <c r="R1463" s="1" t="str">
        <f t="shared" si="22"/>
        <v>Infiniti G Coupe G37</v>
      </c>
      <c r="S1463" s="1" t="str" cm="1">
        <f t="array" ref="S1463">_xlfn.IFS(I1463 &gt;= 40, "High", I1463&gt;=20, "Medium", I1463&lt;20, "Low")</f>
        <v>Medium</v>
      </c>
      <c r="T1463" s="1" t="str" cm="1">
        <f t="array" ref="T1463">_xlfn.IFS(O1463&lt;18200, "Low", O1463&lt;=50000, "Medium", O1463&gt;50000, "High")</f>
        <v>Medium</v>
      </c>
    </row>
    <row r="1464" spans="1:20" x14ac:dyDescent="0.25">
      <c r="A1464" s="2">
        <v>2012</v>
      </c>
      <c r="B1464" s="1" t="s">
        <v>318</v>
      </c>
      <c r="C1464" s="1" t="s">
        <v>648</v>
      </c>
      <c r="D1464" s="1" t="s">
        <v>649</v>
      </c>
      <c r="E1464" s="1" t="s">
        <v>32</v>
      </c>
      <c r="F1464" s="1" t="s">
        <v>20</v>
      </c>
      <c r="G1464" s="1" t="s">
        <v>2218</v>
      </c>
      <c r="H1464" s="1" t="s">
        <v>22</v>
      </c>
      <c r="I1464" s="1">
        <v>29</v>
      </c>
      <c r="J1464" s="1">
        <v>47527</v>
      </c>
      <c r="K1464" s="1" t="s">
        <v>34</v>
      </c>
      <c r="L1464" s="1" t="s">
        <v>82</v>
      </c>
      <c r="M1464" s="1" t="s">
        <v>1561</v>
      </c>
      <c r="N1464" s="1">
        <v>24800</v>
      </c>
      <c r="O1464" s="12">
        <v>23750</v>
      </c>
      <c r="P1464" s="3" t="s">
        <v>26</v>
      </c>
      <c r="Q1464" s="1" cm="1">
        <f t="array" ref="Q1464">VALUE(INDEX(_xlfn.TEXTSPLIT(P1464, " "), 4))</f>
        <v>2014</v>
      </c>
      <c r="R1464" s="1" t="str">
        <f t="shared" si="22"/>
        <v>Infiniti M M37</v>
      </c>
      <c r="S1464" s="1" t="str" cm="1">
        <f t="array" ref="S1464">_xlfn.IFS(I1464 &gt;= 40, "High", I1464&gt;=20, "Medium", I1464&lt;20, "Low")</f>
        <v>Medium</v>
      </c>
      <c r="T1464" s="1" t="str" cm="1">
        <f t="array" ref="T1464">_xlfn.IFS(O1464&lt;18200, "Low", O1464&lt;=50000, "Medium", O1464&gt;50000, "High")</f>
        <v>Medium</v>
      </c>
    </row>
    <row r="1465" spans="1:20" x14ac:dyDescent="0.25">
      <c r="A1465" s="2">
        <v>2012</v>
      </c>
      <c r="B1465" s="1" t="s">
        <v>318</v>
      </c>
      <c r="C1465" s="1" t="s">
        <v>323</v>
      </c>
      <c r="D1465" s="1" t="s">
        <v>324</v>
      </c>
      <c r="E1465" s="1" t="s">
        <v>323</v>
      </c>
      <c r="F1465" s="1" t="s">
        <v>20</v>
      </c>
      <c r="G1465" s="1" t="s">
        <v>2219</v>
      </c>
      <c r="H1465" s="1" t="s">
        <v>22</v>
      </c>
      <c r="I1465" s="1">
        <v>41</v>
      </c>
      <c r="J1465" s="1">
        <v>17678</v>
      </c>
      <c r="K1465" s="1" t="s">
        <v>24</v>
      </c>
      <c r="L1465" s="1" t="s">
        <v>24</v>
      </c>
      <c r="M1465" s="1" t="s">
        <v>322</v>
      </c>
      <c r="N1465" s="1">
        <v>23100</v>
      </c>
      <c r="O1465" s="12">
        <v>22000</v>
      </c>
      <c r="P1465" s="3" t="s">
        <v>46</v>
      </c>
      <c r="Q1465" s="1" cm="1">
        <f t="array" ref="Q1465">VALUE(INDEX(_xlfn.TEXTSPLIT(P1465, " "), 4))</f>
        <v>2014</v>
      </c>
      <c r="R1465" s="1" t="str">
        <f t="shared" si="22"/>
        <v>Infiniti G Sedan G37 Journey</v>
      </c>
      <c r="S1465" s="1" t="str" cm="1">
        <f t="array" ref="S1465">_xlfn.IFS(I1465 &gt;= 40, "High", I1465&gt;=20, "Medium", I1465&lt;20, "Low")</f>
        <v>High</v>
      </c>
      <c r="T1465" s="1" t="str" cm="1">
        <f t="array" ref="T1465">_xlfn.IFS(O1465&lt;18200, "Low", O1465&lt;=50000, "Medium", O1465&gt;50000, "High")</f>
        <v>Medium</v>
      </c>
    </row>
    <row r="1466" spans="1:20" x14ac:dyDescent="0.25">
      <c r="A1466" s="2">
        <v>2012</v>
      </c>
      <c r="B1466" s="1" t="s">
        <v>16</v>
      </c>
      <c r="C1466" s="1" t="s">
        <v>2220</v>
      </c>
      <c r="D1466" s="1" t="s">
        <v>18</v>
      </c>
      <c r="E1466" s="1" t="s">
        <v>738</v>
      </c>
      <c r="F1466" s="1" t="s">
        <v>20</v>
      </c>
      <c r="G1466" s="1" t="s">
        <v>2221</v>
      </c>
      <c r="H1466" s="1" t="s">
        <v>22</v>
      </c>
      <c r="I1466" s="1">
        <v>3</v>
      </c>
      <c r="J1466" s="1">
        <v>66523</v>
      </c>
      <c r="K1466" s="1" t="s">
        <v>34</v>
      </c>
      <c r="L1466" s="1" t="s">
        <v>34</v>
      </c>
      <c r="M1466" s="1" t="s">
        <v>431</v>
      </c>
      <c r="N1466" s="1">
        <v>9000</v>
      </c>
      <c r="O1466" s="12">
        <v>9000</v>
      </c>
      <c r="P1466" s="3" t="s">
        <v>57</v>
      </c>
      <c r="Q1466" s="1" cm="1">
        <f t="array" ref="Q1466">VALUE(INDEX(_xlfn.TEXTSPLIT(P1466, " "), 4))</f>
        <v>2014</v>
      </c>
      <c r="R1466" s="1" t="str">
        <f t="shared" si="22"/>
        <v>Kia Sedona LX</v>
      </c>
      <c r="S1466" s="1" t="str" cm="1">
        <f t="array" ref="S1466">_xlfn.IFS(I1466 &gt;= 40, "High", I1466&gt;=20, "Medium", I1466&lt;20, "Low")</f>
        <v>Low</v>
      </c>
      <c r="T1466" s="1" t="str" cm="1">
        <f t="array" ref="T1466">_xlfn.IFS(O1466&lt;18200, "Low", O1466&lt;=50000, "Medium", O1466&gt;50000, "High")</f>
        <v>Low</v>
      </c>
    </row>
    <row r="1467" spans="1:20" x14ac:dyDescent="0.25">
      <c r="A1467" s="2">
        <v>2012</v>
      </c>
      <c r="B1467" s="1" t="s">
        <v>318</v>
      </c>
      <c r="C1467" s="1" t="s">
        <v>648</v>
      </c>
      <c r="D1467" s="1" t="s">
        <v>649</v>
      </c>
      <c r="E1467" s="1" t="s">
        <v>32</v>
      </c>
      <c r="F1467" s="1" t="s">
        <v>20</v>
      </c>
      <c r="G1467" s="1" t="s">
        <v>2222</v>
      </c>
      <c r="H1467" s="1" t="s">
        <v>22</v>
      </c>
      <c r="I1467" s="1">
        <v>31</v>
      </c>
      <c r="J1467" s="1">
        <v>43774</v>
      </c>
      <c r="K1467" s="1" t="s">
        <v>23</v>
      </c>
      <c r="L1467" s="1" t="s">
        <v>28</v>
      </c>
      <c r="M1467" s="1" t="s">
        <v>322</v>
      </c>
      <c r="N1467" s="1">
        <v>25400</v>
      </c>
      <c r="O1467" s="12">
        <v>27000</v>
      </c>
      <c r="P1467" s="3" t="s">
        <v>46</v>
      </c>
      <c r="Q1467" s="1" cm="1">
        <f t="array" ref="Q1467">VALUE(INDEX(_xlfn.TEXTSPLIT(P1467, " "), 4))</f>
        <v>2014</v>
      </c>
      <c r="R1467" s="1" t="str">
        <f t="shared" si="22"/>
        <v>Infiniti M M37</v>
      </c>
      <c r="S1467" s="1" t="str" cm="1">
        <f t="array" ref="S1467">_xlfn.IFS(I1467 &gt;= 40, "High", I1467&gt;=20, "Medium", I1467&lt;20, "Low")</f>
        <v>Medium</v>
      </c>
      <c r="T1467" s="1" t="str" cm="1">
        <f t="array" ref="T1467">_xlfn.IFS(O1467&lt;18200, "Low", O1467&lt;=50000, "Medium", O1467&gt;50000, "High")</f>
        <v>Medium</v>
      </c>
    </row>
    <row r="1468" spans="1:20" x14ac:dyDescent="0.25">
      <c r="A1468" s="2">
        <v>2012</v>
      </c>
      <c r="B1468" s="1" t="s">
        <v>608</v>
      </c>
      <c r="C1468" s="1" t="s">
        <v>673</v>
      </c>
      <c r="D1468" s="1" t="s">
        <v>905</v>
      </c>
      <c r="E1468" s="1" t="s">
        <v>71</v>
      </c>
      <c r="F1468" s="1" t="s">
        <v>20</v>
      </c>
      <c r="G1468" s="1" t="s">
        <v>2223</v>
      </c>
      <c r="H1468" s="1" t="s">
        <v>22</v>
      </c>
      <c r="I1468" s="1">
        <v>21</v>
      </c>
      <c r="J1468" s="1">
        <v>29315</v>
      </c>
      <c r="K1468" s="1" t="s">
        <v>34</v>
      </c>
      <c r="L1468" s="1" t="s">
        <v>24</v>
      </c>
      <c r="M1468" s="1" t="s">
        <v>56</v>
      </c>
      <c r="N1468" s="1">
        <v>33800</v>
      </c>
      <c r="O1468" s="12">
        <v>28500</v>
      </c>
      <c r="P1468" s="3" t="s">
        <v>459</v>
      </c>
      <c r="Q1468" s="1" cm="1">
        <f t="array" ref="Q1468">VALUE(INDEX(_xlfn.TEXTSPLIT(P1468, " "), 4))</f>
        <v>2014</v>
      </c>
      <c r="R1468" s="1" t="str">
        <f t="shared" si="22"/>
        <v>Mercedes-Benz E-Class E350</v>
      </c>
      <c r="S1468" s="1" t="str" cm="1">
        <f t="array" ref="S1468">_xlfn.IFS(I1468 &gt;= 40, "High", I1468&gt;=20, "Medium", I1468&lt;20, "Low")</f>
        <v>Medium</v>
      </c>
      <c r="T1468" s="1" t="str" cm="1">
        <f t="array" ref="T1468">_xlfn.IFS(O1468&lt;18200, "Low", O1468&lt;=50000, "Medium", O1468&gt;50000, "High")</f>
        <v>Medium</v>
      </c>
    </row>
    <row r="1469" spans="1:20" x14ac:dyDescent="0.25">
      <c r="A1469" s="2">
        <v>2012</v>
      </c>
      <c r="B1469" s="1" t="s">
        <v>318</v>
      </c>
      <c r="C1469" s="1" t="s">
        <v>323</v>
      </c>
      <c r="D1469" s="1" t="s">
        <v>324</v>
      </c>
      <c r="E1469" s="1" t="s">
        <v>323</v>
      </c>
      <c r="F1469" s="1" t="s">
        <v>20</v>
      </c>
      <c r="G1469" s="1" t="s">
        <v>2224</v>
      </c>
      <c r="H1469" s="1" t="s">
        <v>22</v>
      </c>
      <c r="I1469" s="1">
        <v>35</v>
      </c>
      <c r="J1469" s="1">
        <v>25586</v>
      </c>
      <c r="K1469" s="1" t="s">
        <v>24</v>
      </c>
      <c r="L1469" s="1" t="s">
        <v>24</v>
      </c>
      <c r="M1469" s="1" t="s">
        <v>322</v>
      </c>
      <c r="N1469" s="1">
        <v>22200</v>
      </c>
      <c r="O1469" s="12">
        <v>22500</v>
      </c>
      <c r="P1469" s="3" t="s">
        <v>46</v>
      </c>
      <c r="Q1469" s="1" cm="1">
        <f t="array" ref="Q1469">VALUE(INDEX(_xlfn.TEXTSPLIT(P1469, " "), 4))</f>
        <v>2014</v>
      </c>
      <c r="R1469" s="1" t="str">
        <f t="shared" si="22"/>
        <v>Infiniti G Sedan G37 Journey</v>
      </c>
      <c r="S1469" s="1" t="str" cm="1">
        <f t="array" ref="S1469">_xlfn.IFS(I1469 &gt;= 40, "High", I1469&gt;=20, "Medium", I1469&lt;20, "Low")</f>
        <v>Medium</v>
      </c>
      <c r="T1469" s="1" t="str" cm="1">
        <f t="array" ref="T1469">_xlfn.IFS(O1469&lt;18200, "Low", O1469&lt;=50000, "Medium", O1469&gt;50000, "High")</f>
        <v>Medium</v>
      </c>
    </row>
    <row r="1470" spans="1:20" x14ac:dyDescent="0.25">
      <c r="A1470" s="2">
        <v>2012</v>
      </c>
      <c r="B1470" s="1" t="s">
        <v>318</v>
      </c>
      <c r="C1470" s="1" t="s">
        <v>319</v>
      </c>
      <c r="D1470" s="1" t="s">
        <v>1965</v>
      </c>
      <c r="E1470" s="1" t="s">
        <v>319</v>
      </c>
      <c r="F1470" s="1" t="s">
        <v>20</v>
      </c>
      <c r="G1470" s="1" t="s">
        <v>2225</v>
      </c>
      <c r="H1470" s="1" t="s">
        <v>22</v>
      </c>
      <c r="I1470" s="1">
        <v>42</v>
      </c>
      <c r="J1470" s="1">
        <v>44470</v>
      </c>
      <c r="K1470" s="1" t="s">
        <v>24</v>
      </c>
      <c r="L1470" s="1" t="s">
        <v>24</v>
      </c>
      <c r="M1470" s="1" t="s">
        <v>322</v>
      </c>
      <c r="N1470" s="1">
        <v>20300</v>
      </c>
      <c r="O1470" s="12">
        <v>22500</v>
      </c>
      <c r="P1470" s="3" t="s">
        <v>46</v>
      </c>
      <c r="Q1470" s="1" cm="1">
        <f t="array" ref="Q1470">VALUE(INDEX(_xlfn.TEXTSPLIT(P1470, " "), 4))</f>
        <v>2014</v>
      </c>
      <c r="R1470" s="1" t="str">
        <f t="shared" si="22"/>
        <v>Infiniti G Coupe G37</v>
      </c>
      <c r="S1470" s="1" t="str" cm="1">
        <f t="array" ref="S1470">_xlfn.IFS(I1470 &gt;= 40, "High", I1470&gt;=20, "Medium", I1470&lt;20, "Low")</f>
        <v>High</v>
      </c>
      <c r="T1470" s="1" t="str" cm="1">
        <f t="array" ref="T1470">_xlfn.IFS(O1470&lt;18200, "Low", O1470&lt;=50000, "Medium", O1470&gt;50000, "High")</f>
        <v>Medium</v>
      </c>
    </row>
    <row r="1471" spans="1:20" x14ac:dyDescent="0.25">
      <c r="A1471" s="2">
        <v>2012</v>
      </c>
      <c r="B1471" s="1" t="s">
        <v>681</v>
      </c>
      <c r="C1471" s="1" t="s">
        <v>684</v>
      </c>
      <c r="D1471" s="1" t="s">
        <v>54</v>
      </c>
      <c r="E1471" s="1" t="s">
        <v>227</v>
      </c>
      <c r="F1471" s="1" t="s">
        <v>214</v>
      </c>
      <c r="G1471" s="1" t="s">
        <v>2226</v>
      </c>
      <c r="H1471" s="1" t="s">
        <v>22</v>
      </c>
      <c r="I1471" s="1">
        <v>36</v>
      </c>
      <c r="J1471" s="1">
        <v>79616</v>
      </c>
      <c r="K1471" s="1" t="s">
        <v>34</v>
      </c>
      <c r="L1471" s="1" t="s">
        <v>24</v>
      </c>
      <c r="M1471" s="1" t="s">
        <v>2227</v>
      </c>
      <c r="N1471" s="1">
        <v>11400</v>
      </c>
      <c r="O1471" s="12">
        <v>10250</v>
      </c>
      <c r="P1471" s="3" t="s">
        <v>26</v>
      </c>
      <c r="Q1471" s="1" cm="1">
        <f t="array" ref="Q1471">VALUE(INDEX(_xlfn.TEXTSPLIT(P1471, " "), 4))</f>
        <v>2014</v>
      </c>
      <c r="R1471" s="1" t="str">
        <f t="shared" si="22"/>
        <v>MINI Cooper Base</v>
      </c>
      <c r="S1471" s="1" t="str" cm="1">
        <f t="array" ref="S1471">_xlfn.IFS(I1471 &gt;= 40, "High", I1471&gt;=20, "Medium", I1471&lt;20, "Low")</f>
        <v>Medium</v>
      </c>
      <c r="T1471" s="1" t="str" cm="1">
        <f t="array" ref="T1471">_xlfn.IFS(O1471&lt;18200, "Low", O1471&lt;=50000, "Medium", O1471&gt;50000, "High")</f>
        <v>Low</v>
      </c>
    </row>
    <row r="1472" spans="1:20" x14ac:dyDescent="0.25">
      <c r="A1472" s="2">
        <v>2012</v>
      </c>
      <c r="B1472" s="1" t="s">
        <v>202</v>
      </c>
      <c r="C1472" s="1" t="s">
        <v>2074</v>
      </c>
      <c r="D1472" s="1" t="s">
        <v>54</v>
      </c>
      <c r="E1472" s="1" t="s">
        <v>32</v>
      </c>
      <c r="F1472" s="1" t="s">
        <v>20</v>
      </c>
      <c r="G1472" s="1" t="s">
        <v>2228</v>
      </c>
      <c r="H1472" s="1" t="s">
        <v>22</v>
      </c>
      <c r="I1472" s="1">
        <v>36</v>
      </c>
      <c r="J1472" s="1">
        <v>13661</v>
      </c>
      <c r="K1472" s="1" t="s">
        <v>24</v>
      </c>
      <c r="L1472" s="1" t="s">
        <v>24</v>
      </c>
      <c r="M1472" s="1" t="s">
        <v>205</v>
      </c>
      <c r="N1472" s="1">
        <v>22800</v>
      </c>
      <c r="O1472" s="12">
        <v>23000</v>
      </c>
      <c r="P1472" s="3" t="s">
        <v>57</v>
      </c>
      <c r="Q1472" s="1" cm="1">
        <f t="array" ref="Q1472">VALUE(INDEX(_xlfn.TEXTSPLIT(P1472, " "), 4))</f>
        <v>2014</v>
      </c>
      <c r="R1472" s="1" t="str">
        <f t="shared" si="22"/>
        <v>Lexus IS 250 Base</v>
      </c>
      <c r="S1472" s="1" t="str" cm="1">
        <f t="array" ref="S1472">_xlfn.IFS(I1472 &gt;= 40, "High", I1472&gt;=20, "Medium", I1472&lt;20, "Low")</f>
        <v>Medium</v>
      </c>
      <c r="T1472" s="1" t="str" cm="1">
        <f t="array" ref="T1472">_xlfn.IFS(O1472&lt;18200, "Low", O1472&lt;=50000, "Medium", O1472&gt;50000, "High")</f>
        <v>Medium</v>
      </c>
    </row>
    <row r="1473" spans="1:20" x14ac:dyDescent="0.25">
      <c r="A1473" s="2">
        <v>2012</v>
      </c>
      <c r="B1473" s="1" t="s">
        <v>681</v>
      </c>
      <c r="C1473" s="1" t="s">
        <v>684</v>
      </c>
      <c r="D1473" s="1" t="s">
        <v>54</v>
      </c>
      <c r="E1473" s="1" t="s">
        <v>227</v>
      </c>
      <c r="F1473" s="1" t="s">
        <v>20</v>
      </c>
      <c r="G1473" s="1" t="s">
        <v>2229</v>
      </c>
      <c r="H1473" s="1" t="s">
        <v>22</v>
      </c>
      <c r="I1473" s="1">
        <v>43</v>
      </c>
      <c r="J1473" s="1">
        <v>8536</v>
      </c>
      <c r="K1473" s="1" t="s">
        <v>23</v>
      </c>
      <c r="L1473" s="1" t="s">
        <v>24</v>
      </c>
      <c r="M1473" s="1" t="s">
        <v>686</v>
      </c>
      <c r="N1473" s="1">
        <v>15700</v>
      </c>
      <c r="O1473" s="12">
        <v>15500</v>
      </c>
      <c r="P1473" s="3" t="s">
        <v>46</v>
      </c>
      <c r="Q1473" s="1" cm="1">
        <f t="array" ref="Q1473">VALUE(INDEX(_xlfn.TEXTSPLIT(P1473, " "), 4))</f>
        <v>2014</v>
      </c>
      <c r="R1473" s="1" t="str">
        <f t="shared" si="22"/>
        <v>MINI Cooper Base</v>
      </c>
      <c r="S1473" s="1" t="str" cm="1">
        <f t="array" ref="S1473">_xlfn.IFS(I1473 &gt;= 40, "High", I1473&gt;=20, "Medium", I1473&lt;20, "Low")</f>
        <v>High</v>
      </c>
      <c r="T1473" s="1" t="str" cm="1">
        <f t="array" ref="T1473">_xlfn.IFS(O1473&lt;18200, "Low", O1473&lt;=50000, "Medium", O1473&gt;50000, "High")</f>
        <v>Low</v>
      </c>
    </row>
    <row r="1474" spans="1:20" x14ac:dyDescent="0.25">
      <c r="A1474" s="2">
        <v>2012</v>
      </c>
      <c r="B1474" s="1" t="s">
        <v>202</v>
      </c>
      <c r="C1474" s="1" t="s">
        <v>2074</v>
      </c>
      <c r="D1474" s="1" t="s">
        <v>54</v>
      </c>
      <c r="E1474" s="1" t="s">
        <v>32</v>
      </c>
      <c r="F1474" s="1" t="s">
        <v>20</v>
      </c>
      <c r="G1474" s="1" t="s">
        <v>2230</v>
      </c>
      <c r="H1474" s="1" t="s">
        <v>22</v>
      </c>
      <c r="I1474" s="1">
        <v>37</v>
      </c>
      <c r="J1474" s="1">
        <v>33997</v>
      </c>
      <c r="K1474" s="1" t="s">
        <v>132</v>
      </c>
      <c r="L1474" s="1" t="s">
        <v>28</v>
      </c>
      <c r="M1474" s="1" t="s">
        <v>205</v>
      </c>
      <c r="N1474" s="1">
        <v>21900</v>
      </c>
      <c r="O1474" s="12">
        <v>23500</v>
      </c>
      <c r="P1474" s="3" t="s">
        <v>57</v>
      </c>
      <c r="Q1474" s="1" cm="1">
        <f t="array" ref="Q1474">VALUE(INDEX(_xlfn.TEXTSPLIT(P1474, " "), 4))</f>
        <v>2014</v>
      </c>
      <c r="R1474" s="1" t="str">
        <f t="shared" si="22"/>
        <v>Lexus IS 250 Base</v>
      </c>
      <c r="S1474" s="1" t="str" cm="1">
        <f t="array" ref="S1474">_xlfn.IFS(I1474 &gt;= 40, "High", I1474&gt;=20, "Medium", I1474&lt;20, "Low")</f>
        <v>Medium</v>
      </c>
      <c r="T1474" s="1" t="str" cm="1">
        <f t="array" ref="T1474">_xlfn.IFS(O1474&lt;18200, "Low", O1474&lt;=50000, "Medium", O1474&gt;50000, "High")</f>
        <v>Medium</v>
      </c>
    </row>
    <row r="1475" spans="1:20" x14ac:dyDescent="0.25">
      <c r="A1475" s="2">
        <v>2012</v>
      </c>
      <c r="B1475" s="1" t="s">
        <v>16</v>
      </c>
      <c r="C1475" s="1" t="s">
        <v>655</v>
      </c>
      <c r="D1475" s="1" t="s">
        <v>54</v>
      </c>
      <c r="E1475" s="1" t="s">
        <v>130</v>
      </c>
      <c r="F1475" s="1" t="s">
        <v>20</v>
      </c>
      <c r="G1475" s="1" t="s">
        <v>2231</v>
      </c>
      <c r="H1475" s="1" t="s">
        <v>22</v>
      </c>
      <c r="I1475" s="1">
        <v>35</v>
      </c>
      <c r="J1475" s="1">
        <v>51215</v>
      </c>
      <c r="K1475" s="1" t="s">
        <v>91</v>
      </c>
      <c r="L1475" s="1" t="s">
        <v>24</v>
      </c>
      <c r="M1475" s="1" t="s">
        <v>83</v>
      </c>
      <c r="N1475" s="1">
        <v>8150</v>
      </c>
      <c r="O1475" s="12">
        <v>9300</v>
      </c>
      <c r="P1475" s="3" t="s">
        <v>84</v>
      </c>
      <c r="Q1475" s="1" cm="1">
        <f t="array" ref="Q1475">VALUE(INDEX(_xlfn.TEXTSPLIT(P1475, " "), 4))</f>
        <v>2014</v>
      </c>
      <c r="R1475" s="1" t="str">
        <f t="shared" ref="R1475:R1538" si="23">_xlfn.TEXTJOIN(" ", TRUE, B1475, C1475, D1475)</f>
        <v>Kia Soul Base</v>
      </c>
      <c r="S1475" s="1" t="str" cm="1">
        <f t="array" ref="S1475">_xlfn.IFS(I1475 &gt;= 40, "High", I1475&gt;=20, "Medium", I1475&lt;20, "Low")</f>
        <v>Medium</v>
      </c>
      <c r="T1475" s="1" t="str" cm="1">
        <f t="array" ref="T1475">_xlfn.IFS(O1475&lt;18200, "Low", O1475&lt;=50000, "Medium", O1475&gt;50000, "High")</f>
        <v>Low</v>
      </c>
    </row>
    <row r="1476" spans="1:20" x14ac:dyDescent="0.25">
      <c r="A1476" s="2">
        <v>2012</v>
      </c>
      <c r="B1476" s="1" t="s">
        <v>600</v>
      </c>
      <c r="C1476" s="1" t="s">
        <v>601</v>
      </c>
      <c r="D1476" s="1" t="s">
        <v>784</v>
      </c>
      <c r="E1476" s="1" t="s">
        <v>19</v>
      </c>
      <c r="F1476" s="1" t="s">
        <v>20</v>
      </c>
      <c r="G1476" s="1" t="s">
        <v>2232</v>
      </c>
      <c r="H1476" s="1" t="s">
        <v>22</v>
      </c>
      <c r="I1476" s="1">
        <v>3</v>
      </c>
      <c r="J1476" s="1">
        <v>42701</v>
      </c>
      <c r="K1476" s="1" t="s">
        <v>73</v>
      </c>
      <c r="L1476" s="1" t="s">
        <v>24</v>
      </c>
      <c r="M1476" s="1" t="s">
        <v>56</v>
      </c>
      <c r="N1476" s="1">
        <v>23300</v>
      </c>
      <c r="O1476" s="12">
        <v>22500</v>
      </c>
      <c r="P1476" s="3" t="s">
        <v>853</v>
      </c>
      <c r="Q1476" s="1" cm="1">
        <f t="array" ref="Q1476">VALUE(INDEX(_xlfn.TEXTSPLIT(P1476, " "), 4))</f>
        <v>2015</v>
      </c>
      <c r="R1476" s="1" t="str">
        <f t="shared" si="23"/>
        <v>Jeep Wrangler Unlimited Sport</v>
      </c>
      <c r="S1476" s="1" t="str" cm="1">
        <f t="array" ref="S1476">_xlfn.IFS(I1476 &gt;= 40, "High", I1476&gt;=20, "Medium", I1476&lt;20, "Low")</f>
        <v>Low</v>
      </c>
      <c r="T1476" s="1" t="str" cm="1">
        <f t="array" ref="T1476">_xlfn.IFS(O1476&lt;18200, "Low", O1476&lt;=50000, "Medium", O1476&gt;50000, "High")</f>
        <v>Medium</v>
      </c>
    </row>
    <row r="1477" spans="1:20" x14ac:dyDescent="0.25">
      <c r="A1477" s="2">
        <v>2012</v>
      </c>
      <c r="B1477" s="1" t="s">
        <v>730</v>
      </c>
      <c r="C1477" s="1" t="s">
        <v>900</v>
      </c>
      <c r="D1477" s="1" t="s">
        <v>2166</v>
      </c>
      <c r="E1477" s="1" t="s">
        <v>19</v>
      </c>
      <c r="F1477" s="1" t="s">
        <v>20</v>
      </c>
      <c r="G1477" s="1" t="s">
        <v>2233</v>
      </c>
      <c r="H1477" s="1" t="s">
        <v>22</v>
      </c>
      <c r="I1477" s="1">
        <v>44</v>
      </c>
      <c r="J1477" s="1">
        <v>19547</v>
      </c>
      <c r="K1477" s="1" t="s">
        <v>34</v>
      </c>
      <c r="L1477" s="1" t="s">
        <v>24</v>
      </c>
      <c r="M1477" s="1" t="s">
        <v>555</v>
      </c>
      <c r="N1477" s="1">
        <v>44300</v>
      </c>
      <c r="O1477" s="12">
        <v>46500</v>
      </c>
      <c r="P1477" s="3" t="s">
        <v>46</v>
      </c>
      <c r="Q1477" s="1" cm="1">
        <f t="array" ref="Q1477">VALUE(INDEX(_xlfn.TEXTSPLIT(P1477, " "), 4))</f>
        <v>2014</v>
      </c>
      <c r="R1477" s="1" t="str">
        <f t="shared" si="23"/>
        <v>Land Rover Range Rover Sport HSE</v>
      </c>
      <c r="S1477" s="1" t="str" cm="1">
        <f t="array" ref="S1477">_xlfn.IFS(I1477 &gt;= 40, "High", I1477&gt;=20, "Medium", I1477&lt;20, "Low")</f>
        <v>High</v>
      </c>
      <c r="T1477" s="1" t="str" cm="1">
        <f t="array" ref="T1477">_xlfn.IFS(O1477&lt;18200, "Low", O1477&lt;=50000, "Medium", O1477&gt;50000, "High")</f>
        <v>Medium</v>
      </c>
    </row>
    <row r="1478" spans="1:20" x14ac:dyDescent="0.25">
      <c r="A1478" s="2">
        <v>2012</v>
      </c>
      <c r="B1478" s="1" t="s">
        <v>681</v>
      </c>
      <c r="C1478" s="1" t="s">
        <v>684</v>
      </c>
      <c r="D1478" s="1" t="s">
        <v>54</v>
      </c>
      <c r="E1478" s="1" t="s">
        <v>227</v>
      </c>
      <c r="F1478" s="1" t="s">
        <v>20</v>
      </c>
      <c r="G1478" s="1" t="s">
        <v>2234</v>
      </c>
      <c r="H1478" s="1" t="s">
        <v>22</v>
      </c>
      <c r="I1478" s="1">
        <v>38</v>
      </c>
      <c r="J1478" s="1">
        <v>22094</v>
      </c>
      <c r="K1478" s="1" t="s">
        <v>73</v>
      </c>
      <c r="L1478" s="1" t="s">
        <v>24</v>
      </c>
      <c r="M1478" s="1" t="s">
        <v>686</v>
      </c>
      <c r="N1478" s="1">
        <v>14650</v>
      </c>
      <c r="O1478" s="12">
        <v>14500</v>
      </c>
      <c r="P1478" s="3" t="s">
        <v>46</v>
      </c>
      <c r="Q1478" s="1" cm="1">
        <f t="array" ref="Q1478">VALUE(INDEX(_xlfn.TEXTSPLIT(P1478, " "), 4))</f>
        <v>2014</v>
      </c>
      <c r="R1478" s="1" t="str">
        <f t="shared" si="23"/>
        <v>MINI Cooper Base</v>
      </c>
      <c r="S1478" s="1" t="str" cm="1">
        <f t="array" ref="S1478">_xlfn.IFS(I1478 &gt;= 40, "High", I1478&gt;=20, "Medium", I1478&lt;20, "Low")</f>
        <v>Medium</v>
      </c>
      <c r="T1478" s="1" t="str" cm="1">
        <f t="array" ref="T1478">_xlfn.IFS(O1478&lt;18200, "Low", O1478&lt;=50000, "Medium", O1478&gt;50000, "High")</f>
        <v>Low</v>
      </c>
    </row>
    <row r="1479" spans="1:20" x14ac:dyDescent="0.25">
      <c r="A1479" s="2">
        <v>2012</v>
      </c>
      <c r="B1479" s="1" t="s">
        <v>16</v>
      </c>
      <c r="C1479" s="1" t="s">
        <v>80</v>
      </c>
      <c r="D1479" s="1" t="s">
        <v>623</v>
      </c>
      <c r="E1479" s="1" t="s">
        <v>32</v>
      </c>
      <c r="F1479" s="1" t="s">
        <v>20</v>
      </c>
      <c r="G1479" s="1" t="s">
        <v>2235</v>
      </c>
      <c r="H1479" s="1" t="s">
        <v>22</v>
      </c>
      <c r="I1479" s="1">
        <v>46</v>
      </c>
      <c r="J1479" s="1">
        <v>42315</v>
      </c>
      <c r="K1479" s="1" t="s">
        <v>34</v>
      </c>
      <c r="L1479" s="1" t="s">
        <v>24</v>
      </c>
      <c r="M1479" s="1" t="s">
        <v>25</v>
      </c>
      <c r="N1479" s="1">
        <v>17150</v>
      </c>
      <c r="O1479" s="12">
        <v>18250</v>
      </c>
      <c r="P1479" s="3" t="s">
        <v>26</v>
      </c>
      <c r="Q1479" s="1" cm="1">
        <f t="array" ref="Q1479">VALUE(INDEX(_xlfn.TEXTSPLIT(P1479, " "), 4))</f>
        <v>2014</v>
      </c>
      <c r="R1479" s="1" t="str">
        <f t="shared" si="23"/>
        <v>Kia Optima SX</v>
      </c>
      <c r="S1479" s="1" t="str" cm="1">
        <f t="array" ref="S1479">_xlfn.IFS(I1479 &gt;= 40, "High", I1479&gt;=20, "Medium", I1479&lt;20, "Low")</f>
        <v>High</v>
      </c>
      <c r="T1479" s="1" t="str" cm="1">
        <f t="array" ref="T1479">_xlfn.IFS(O1479&lt;18200, "Low", O1479&lt;=50000, "Medium", O1479&gt;50000, "High")</f>
        <v>Medium</v>
      </c>
    </row>
    <row r="1480" spans="1:20" x14ac:dyDescent="0.25">
      <c r="A1480" s="2">
        <v>2012</v>
      </c>
      <c r="B1480" s="1" t="s">
        <v>318</v>
      </c>
      <c r="C1480" s="1" t="s">
        <v>648</v>
      </c>
      <c r="D1480" s="1" t="s">
        <v>649</v>
      </c>
      <c r="E1480" s="1" t="s">
        <v>32</v>
      </c>
      <c r="F1480" s="1" t="s">
        <v>20</v>
      </c>
      <c r="G1480" s="1" t="s">
        <v>2236</v>
      </c>
      <c r="H1480" s="1" t="s">
        <v>22</v>
      </c>
      <c r="I1480" s="1">
        <v>43</v>
      </c>
      <c r="J1480" s="1">
        <v>18639</v>
      </c>
      <c r="K1480" s="1" t="s">
        <v>91</v>
      </c>
      <c r="L1480" s="1" t="s">
        <v>24</v>
      </c>
      <c r="M1480" s="1" t="s">
        <v>322</v>
      </c>
      <c r="N1480" s="1">
        <v>29500</v>
      </c>
      <c r="O1480" s="12">
        <v>27500</v>
      </c>
      <c r="P1480" s="3" t="s">
        <v>46</v>
      </c>
      <c r="Q1480" s="1" cm="1">
        <f t="array" ref="Q1480">VALUE(INDEX(_xlfn.TEXTSPLIT(P1480, " "), 4))</f>
        <v>2014</v>
      </c>
      <c r="R1480" s="1" t="str">
        <f t="shared" si="23"/>
        <v>Infiniti M M37</v>
      </c>
      <c r="S1480" s="1" t="str" cm="1">
        <f t="array" ref="S1480">_xlfn.IFS(I1480 &gt;= 40, "High", I1480&gt;=20, "Medium", I1480&lt;20, "Low")</f>
        <v>High</v>
      </c>
      <c r="T1480" s="1" t="str" cm="1">
        <f t="array" ref="T1480">_xlfn.IFS(O1480&lt;18200, "Low", O1480&lt;=50000, "Medium", O1480&gt;50000, "High")</f>
        <v>Medium</v>
      </c>
    </row>
    <row r="1481" spans="1:20" x14ac:dyDescent="0.25">
      <c r="A1481" s="2">
        <v>2012</v>
      </c>
      <c r="B1481" s="1" t="s">
        <v>681</v>
      </c>
      <c r="C1481" s="1" t="s">
        <v>684</v>
      </c>
      <c r="D1481" s="1" t="s">
        <v>54</v>
      </c>
      <c r="E1481" s="1" t="s">
        <v>227</v>
      </c>
      <c r="F1481" s="1" t="s">
        <v>20</v>
      </c>
      <c r="G1481" s="1" t="s">
        <v>2237</v>
      </c>
      <c r="H1481" s="1" t="s">
        <v>22</v>
      </c>
      <c r="I1481" s="1">
        <v>4</v>
      </c>
      <c r="J1481" s="1">
        <v>28155</v>
      </c>
      <c r="K1481" s="1" t="s">
        <v>94</v>
      </c>
      <c r="L1481" s="1" t="s">
        <v>101</v>
      </c>
      <c r="M1481" s="1" t="s">
        <v>686</v>
      </c>
      <c r="N1481" s="1">
        <v>14150</v>
      </c>
      <c r="O1481" s="12">
        <v>15000</v>
      </c>
      <c r="P1481" s="3" t="s">
        <v>46</v>
      </c>
      <c r="Q1481" s="1" cm="1">
        <f t="array" ref="Q1481">VALUE(INDEX(_xlfn.TEXTSPLIT(P1481, " "), 4))</f>
        <v>2014</v>
      </c>
      <c r="R1481" s="1" t="str">
        <f t="shared" si="23"/>
        <v>MINI Cooper Base</v>
      </c>
      <c r="S1481" s="1" t="str" cm="1">
        <f t="array" ref="S1481">_xlfn.IFS(I1481 &gt;= 40, "High", I1481&gt;=20, "Medium", I1481&lt;20, "Low")</f>
        <v>Low</v>
      </c>
      <c r="T1481" s="1" t="str" cm="1">
        <f t="array" ref="T1481">_xlfn.IFS(O1481&lt;18200, "Low", O1481&lt;=50000, "Medium", O1481&gt;50000, "High")</f>
        <v>Low</v>
      </c>
    </row>
    <row r="1482" spans="1:20" x14ac:dyDescent="0.25">
      <c r="A1482" s="2">
        <v>2012</v>
      </c>
      <c r="B1482" s="1" t="s">
        <v>632</v>
      </c>
      <c r="C1482" s="1" t="s">
        <v>677</v>
      </c>
      <c r="D1482" s="1" t="s">
        <v>709</v>
      </c>
      <c r="E1482" s="1" t="s">
        <v>227</v>
      </c>
      <c r="F1482" s="1" t="s">
        <v>20</v>
      </c>
      <c r="G1482" s="1" t="s">
        <v>2238</v>
      </c>
      <c r="H1482" s="1" t="s">
        <v>22</v>
      </c>
      <c r="I1482" s="1">
        <v>46</v>
      </c>
      <c r="J1482" s="1">
        <v>26072</v>
      </c>
      <c r="K1482" s="1" t="s">
        <v>34</v>
      </c>
      <c r="L1482" s="1" t="s">
        <v>24</v>
      </c>
      <c r="M1482" s="1" t="s">
        <v>555</v>
      </c>
      <c r="N1482" s="1">
        <v>12550</v>
      </c>
      <c r="O1482" s="12">
        <v>14750</v>
      </c>
      <c r="P1482" s="3" t="s">
        <v>26</v>
      </c>
      <c r="Q1482" s="1" cm="1">
        <f t="array" ref="Q1482">VALUE(INDEX(_xlfn.TEXTSPLIT(P1482, " "), 4))</f>
        <v>2014</v>
      </c>
      <c r="R1482" s="1" t="str">
        <f t="shared" si="23"/>
        <v>Mazda Mazda3 i Touring</v>
      </c>
      <c r="S1482" s="1" t="str" cm="1">
        <f t="array" ref="S1482">_xlfn.IFS(I1482 &gt;= 40, "High", I1482&gt;=20, "Medium", I1482&lt;20, "Low")</f>
        <v>High</v>
      </c>
      <c r="T1482" s="1" t="str" cm="1">
        <f t="array" ref="T1482">_xlfn.IFS(O1482&lt;18200, "Low", O1482&lt;=50000, "Medium", O1482&gt;50000, "High")</f>
        <v>Low</v>
      </c>
    </row>
    <row r="1483" spans="1:20" x14ac:dyDescent="0.25">
      <c r="A1483" s="2">
        <v>2012</v>
      </c>
      <c r="B1483" s="1" t="s">
        <v>16</v>
      </c>
      <c r="C1483" s="1" t="s">
        <v>80</v>
      </c>
      <c r="D1483" s="1" t="s">
        <v>1671</v>
      </c>
      <c r="E1483" s="1" t="s">
        <v>32</v>
      </c>
      <c r="F1483" s="1" t="s">
        <v>20</v>
      </c>
      <c r="G1483" s="1" t="s">
        <v>2239</v>
      </c>
      <c r="H1483" s="1" t="s">
        <v>22</v>
      </c>
      <c r="I1483" s="1">
        <v>42</v>
      </c>
      <c r="J1483" s="1">
        <v>26375</v>
      </c>
      <c r="K1483" s="1" t="s">
        <v>23</v>
      </c>
      <c r="L1483" s="1" t="s">
        <v>34</v>
      </c>
      <c r="M1483" s="1" t="s">
        <v>1695</v>
      </c>
      <c r="N1483" s="1">
        <v>15350</v>
      </c>
      <c r="O1483" s="12">
        <v>15400</v>
      </c>
      <c r="P1483" s="3" t="s">
        <v>57</v>
      </c>
      <c r="Q1483" s="1" cm="1">
        <f t="array" ref="Q1483">VALUE(INDEX(_xlfn.TEXTSPLIT(P1483, " "), 4))</f>
        <v>2014</v>
      </c>
      <c r="R1483" s="1" t="str">
        <f t="shared" si="23"/>
        <v>Kia Optima Hybrid</v>
      </c>
      <c r="S1483" s="1" t="str" cm="1">
        <f t="array" ref="S1483">_xlfn.IFS(I1483 &gt;= 40, "High", I1483&gt;=20, "Medium", I1483&lt;20, "Low")</f>
        <v>High</v>
      </c>
      <c r="T1483" s="1" t="str" cm="1">
        <f t="array" ref="T1483">_xlfn.IFS(O1483&lt;18200, "Low", O1483&lt;=50000, "Medium", O1483&gt;50000, "High")</f>
        <v>Low</v>
      </c>
    </row>
    <row r="1484" spans="1:20" x14ac:dyDescent="0.25">
      <c r="A1484" s="2">
        <v>2012</v>
      </c>
      <c r="B1484" s="1" t="s">
        <v>318</v>
      </c>
      <c r="C1484" s="1" t="s">
        <v>2086</v>
      </c>
      <c r="D1484" s="1" t="s">
        <v>2087</v>
      </c>
      <c r="E1484" s="1" t="s">
        <v>19</v>
      </c>
      <c r="F1484" s="1" t="s">
        <v>20</v>
      </c>
      <c r="G1484" s="1" t="s">
        <v>2240</v>
      </c>
      <c r="H1484" s="1" t="s">
        <v>22</v>
      </c>
      <c r="I1484" s="1">
        <v>44</v>
      </c>
      <c r="J1484" s="1">
        <v>34994</v>
      </c>
      <c r="K1484" s="1" t="s">
        <v>34</v>
      </c>
      <c r="L1484" s="1" t="s">
        <v>24</v>
      </c>
      <c r="M1484" s="1" t="s">
        <v>260</v>
      </c>
      <c r="N1484" s="1">
        <v>43600</v>
      </c>
      <c r="O1484" s="12">
        <v>42000</v>
      </c>
      <c r="P1484" s="3" t="s">
        <v>46</v>
      </c>
      <c r="Q1484" s="1" cm="1">
        <f t="array" ref="Q1484">VALUE(INDEX(_xlfn.TEXTSPLIT(P1484, " "), 4))</f>
        <v>2014</v>
      </c>
      <c r="R1484" s="1" t="str">
        <f t="shared" si="23"/>
        <v>Infiniti QX QX56</v>
      </c>
      <c r="S1484" s="1" t="str" cm="1">
        <f t="array" ref="S1484">_xlfn.IFS(I1484 &gt;= 40, "High", I1484&gt;=20, "Medium", I1484&lt;20, "Low")</f>
        <v>High</v>
      </c>
      <c r="T1484" s="1" t="str" cm="1">
        <f t="array" ref="T1484">_xlfn.IFS(O1484&lt;18200, "Low", O1484&lt;=50000, "Medium", O1484&gt;50000, "High")</f>
        <v>Medium</v>
      </c>
    </row>
    <row r="1485" spans="1:20" x14ac:dyDescent="0.25">
      <c r="A1485" s="2">
        <v>2012</v>
      </c>
      <c r="B1485" s="1" t="s">
        <v>318</v>
      </c>
      <c r="C1485" s="1" t="s">
        <v>323</v>
      </c>
      <c r="D1485" s="1" t="s">
        <v>324</v>
      </c>
      <c r="E1485" s="1" t="s">
        <v>323</v>
      </c>
      <c r="F1485" s="1" t="s">
        <v>20</v>
      </c>
      <c r="G1485" s="1" t="s">
        <v>2241</v>
      </c>
      <c r="H1485" s="1" t="s">
        <v>22</v>
      </c>
      <c r="I1485" s="1">
        <v>34</v>
      </c>
      <c r="J1485" s="1">
        <v>24873</v>
      </c>
      <c r="K1485" s="1" t="s">
        <v>34</v>
      </c>
      <c r="L1485" s="1" t="s">
        <v>24</v>
      </c>
      <c r="M1485" s="1" t="s">
        <v>322</v>
      </c>
      <c r="N1485" s="1">
        <v>22000</v>
      </c>
      <c r="O1485" s="12">
        <v>20000</v>
      </c>
      <c r="P1485" s="3" t="s">
        <v>251</v>
      </c>
      <c r="Q1485" s="1" cm="1">
        <f t="array" ref="Q1485">VALUE(INDEX(_xlfn.TEXTSPLIT(P1485, " "), 4))</f>
        <v>2014</v>
      </c>
      <c r="R1485" s="1" t="str">
        <f t="shared" si="23"/>
        <v>Infiniti G Sedan G37 Journey</v>
      </c>
      <c r="S1485" s="1" t="str" cm="1">
        <f t="array" ref="S1485">_xlfn.IFS(I1485 &gt;= 40, "High", I1485&gt;=20, "Medium", I1485&lt;20, "Low")</f>
        <v>Medium</v>
      </c>
      <c r="T1485" s="1" t="str" cm="1">
        <f t="array" ref="T1485">_xlfn.IFS(O1485&lt;18200, "Low", O1485&lt;=50000, "Medium", O1485&gt;50000, "High")</f>
        <v>Medium</v>
      </c>
    </row>
    <row r="1486" spans="1:20" x14ac:dyDescent="0.25">
      <c r="A1486" s="2">
        <v>2012</v>
      </c>
      <c r="B1486" s="1" t="s">
        <v>16</v>
      </c>
      <c r="C1486" s="1" t="s">
        <v>80</v>
      </c>
      <c r="D1486" s="1" t="s">
        <v>18</v>
      </c>
      <c r="E1486" s="1" t="s">
        <v>32</v>
      </c>
      <c r="F1486" s="1" t="s">
        <v>20</v>
      </c>
      <c r="G1486" s="1" t="s">
        <v>2242</v>
      </c>
      <c r="H1486" s="1" t="s">
        <v>22</v>
      </c>
      <c r="I1486" s="1">
        <v>45</v>
      </c>
      <c r="J1486" s="1">
        <v>39404</v>
      </c>
      <c r="K1486" s="1" t="s">
        <v>91</v>
      </c>
      <c r="L1486" s="1" t="s">
        <v>34</v>
      </c>
      <c r="M1486" s="1" t="s">
        <v>659</v>
      </c>
      <c r="N1486" s="1">
        <v>11700</v>
      </c>
      <c r="O1486" s="12">
        <v>10250</v>
      </c>
      <c r="P1486" s="3" t="s">
        <v>26</v>
      </c>
      <c r="Q1486" s="1" cm="1">
        <f t="array" ref="Q1486">VALUE(INDEX(_xlfn.TEXTSPLIT(P1486, " "), 4))</f>
        <v>2014</v>
      </c>
      <c r="R1486" s="1" t="str">
        <f t="shared" si="23"/>
        <v>Kia Optima LX</v>
      </c>
      <c r="S1486" s="1" t="str" cm="1">
        <f t="array" ref="S1486">_xlfn.IFS(I1486 &gt;= 40, "High", I1486&gt;=20, "Medium", I1486&lt;20, "Low")</f>
        <v>High</v>
      </c>
      <c r="T1486" s="1" t="str" cm="1">
        <f t="array" ref="T1486">_xlfn.IFS(O1486&lt;18200, "Low", O1486&lt;=50000, "Medium", O1486&gt;50000, "High")</f>
        <v>Low</v>
      </c>
    </row>
    <row r="1487" spans="1:20" x14ac:dyDescent="0.25">
      <c r="A1487" s="2">
        <v>2012</v>
      </c>
      <c r="B1487" s="1" t="s">
        <v>608</v>
      </c>
      <c r="C1487" s="1" t="s">
        <v>620</v>
      </c>
      <c r="D1487" s="1" t="s">
        <v>640</v>
      </c>
      <c r="E1487" s="1" t="s">
        <v>32</v>
      </c>
      <c r="F1487" s="1" t="s">
        <v>20</v>
      </c>
      <c r="G1487" s="1" t="s">
        <v>2243</v>
      </c>
      <c r="H1487" s="1" t="s">
        <v>22</v>
      </c>
      <c r="I1487" s="1">
        <v>42</v>
      </c>
      <c r="J1487" s="1">
        <v>33942</v>
      </c>
      <c r="K1487" s="1" t="s">
        <v>23</v>
      </c>
      <c r="L1487" s="1" t="s">
        <v>34</v>
      </c>
      <c r="M1487" s="1" t="s">
        <v>822</v>
      </c>
      <c r="N1487" s="1">
        <v>21600</v>
      </c>
      <c r="O1487" s="12">
        <v>21000</v>
      </c>
      <c r="P1487" s="3" t="s">
        <v>26</v>
      </c>
      <c r="Q1487" s="1" cm="1">
        <f t="array" ref="Q1487">VALUE(INDEX(_xlfn.TEXTSPLIT(P1487, " "), 4))</f>
        <v>2014</v>
      </c>
      <c r="R1487" s="1" t="str">
        <f t="shared" si="23"/>
        <v>Mercedes-Benz C-Class C250 Sport</v>
      </c>
      <c r="S1487" s="1" t="str" cm="1">
        <f t="array" ref="S1487">_xlfn.IFS(I1487 &gt;= 40, "High", I1487&gt;=20, "Medium", I1487&lt;20, "Low")</f>
        <v>High</v>
      </c>
      <c r="T1487" s="1" t="str" cm="1">
        <f t="array" ref="T1487">_xlfn.IFS(O1487&lt;18200, "Low", O1487&lt;=50000, "Medium", O1487&gt;50000, "High")</f>
        <v>Medium</v>
      </c>
    </row>
    <row r="1488" spans="1:20" x14ac:dyDescent="0.25">
      <c r="A1488" s="2">
        <v>2012</v>
      </c>
      <c r="B1488" s="1" t="s">
        <v>318</v>
      </c>
      <c r="C1488" s="1" t="s">
        <v>319</v>
      </c>
      <c r="D1488" s="1" t="s">
        <v>1965</v>
      </c>
      <c r="E1488" s="1" t="s">
        <v>319</v>
      </c>
      <c r="F1488" s="1" t="s">
        <v>20</v>
      </c>
      <c r="G1488" s="1" t="s">
        <v>2244</v>
      </c>
      <c r="H1488" s="1" t="s">
        <v>22</v>
      </c>
      <c r="I1488" s="1">
        <v>29</v>
      </c>
      <c r="J1488" s="1">
        <v>29700</v>
      </c>
      <c r="K1488" s="1" t="s">
        <v>24</v>
      </c>
      <c r="L1488" s="1" t="s">
        <v>24</v>
      </c>
      <c r="M1488" s="1" t="s">
        <v>322</v>
      </c>
      <c r="N1488" s="1">
        <v>22000</v>
      </c>
      <c r="O1488" s="12">
        <v>21000</v>
      </c>
      <c r="P1488" s="3" t="s">
        <v>251</v>
      </c>
      <c r="Q1488" s="1" cm="1">
        <f t="array" ref="Q1488">VALUE(INDEX(_xlfn.TEXTSPLIT(P1488, " "), 4))</f>
        <v>2014</v>
      </c>
      <c r="R1488" s="1" t="str">
        <f t="shared" si="23"/>
        <v>Infiniti G Coupe G37</v>
      </c>
      <c r="S1488" s="1" t="str" cm="1">
        <f t="array" ref="S1488">_xlfn.IFS(I1488 &gt;= 40, "High", I1488&gt;=20, "Medium", I1488&lt;20, "Low")</f>
        <v>Medium</v>
      </c>
      <c r="T1488" s="1" t="str" cm="1">
        <f t="array" ref="T1488">_xlfn.IFS(O1488&lt;18200, "Low", O1488&lt;=50000, "Medium", O1488&gt;50000, "High")</f>
        <v>Medium</v>
      </c>
    </row>
    <row r="1489" spans="1:20" x14ac:dyDescent="0.25">
      <c r="A1489" s="2">
        <v>2012</v>
      </c>
      <c r="B1489" s="1" t="s">
        <v>318</v>
      </c>
      <c r="C1489" s="1" t="s">
        <v>323</v>
      </c>
      <c r="D1489" s="1" t="s">
        <v>324</v>
      </c>
      <c r="E1489" s="1" t="s">
        <v>323</v>
      </c>
      <c r="F1489" s="1" t="s">
        <v>20</v>
      </c>
      <c r="G1489" s="1" t="s">
        <v>2245</v>
      </c>
      <c r="H1489" s="1" t="s">
        <v>22</v>
      </c>
      <c r="I1489" s="1">
        <v>34</v>
      </c>
      <c r="J1489" s="1">
        <v>21609</v>
      </c>
      <c r="K1489" s="1" t="s">
        <v>24</v>
      </c>
      <c r="L1489" s="1" t="s">
        <v>24</v>
      </c>
      <c r="M1489" s="1" t="s">
        <v>322</v>
      </c>
      <c r="N1489" s="1">
        <v>22700</v>
      </c>
      <c r="O1489" s="12">
        <v>22000</v>
      </c>
      <c r="P1489" s="3" t="s">
        <v>46</v>
      </c>
      <c r="Q1489" s="1" cm="1">
        <f t="array" ref="Q1489">VALUE(INDEX(_xlfn.TEXTSPLIT(P1489, " "), 4))</f>
        <v>2014</v>
      </c>
      <c r="R1489" s="1" t="str">
        <f t="shared" si="23"/>
        <v>Infiniti G Sedan G37 Journey</v>
      </c>
      <c r="S1489" s="1" t="str" cm="1">
        <f t="array" ref="S1489">_xlfn.IFS(I1489 &gt;= 40, "High", I1489&gt;=20, "Medium", I1489&lt;20, "Low")</f>
        <v>Medium</v>
      </c>
      <c r="T1489" s="1" t="str" cm="1">
        <f t="array" ref="T1489">_xlfn.IFS(O1489&lt;18200, "Low", O1489&lt;=50000, "Medium", O1489&gt;50000, "High")</f>
        <v>Medium</v>
      </c>
    </row>
    <row r="1490" spans="1:20" x14ac:dyDescent="0.25">
      <c r="A1490" s="2">
        <v>2012</v>
      </c>
      <c r="B1490" s="1" t="s">
        <v>318</v>
      </c>
      <c r="C1490" s="1" t="s">
        <v>323</v>
      </c>
      <c r="D1490" s="1" t="s">
        <v>324</v>
      </c>
      <c r="E1490" s="1" t="s">
        <v>323</v>
      </c>
      <c r="F1490" s="1" t="s">
        <v>20</v>
      </c>
      <c r="G1490" s="1" t="s">
        <v>2246</v>
      </c>
      <c r="H1490" s="1" t="s">
        <v>22</v>
      </c>
      <c r="I1490" s="1">
        <v>38</v>
      </c>
      <c r="J1490" s="1">
        <v>44583</v>
      </c>
      <c r="K1490" s="1" t="s">
        <v>34</v>
      </c>
      <c r="L1490" s="1" t="s">
        <v>24</v>
      </c>
      <c r="M1490" s="1" t="s">
        <v>322</v>
      </c>
      <c r="N1490" s="1">
        <v>20200</v>
      </c>
      <c r="O1490" s="12">
        <v>19000</v>
      </c>
      <c r="P1490" s="3" t="s">
        <v>46</v>
      </c>
      <c r="Q1490" s="1" cm="1">
        <f t="array" ref="Q1490">VALUE(INDEX(_xlfn.TEXTSPLIT(P1490, " "), 4))</f>
        <v>2014</v>
      </c>
      <c r="R1490" s="1" t="str">
        <f t="shared" si="23"/>
        <v>Infiniti G Sedan G37 Journey</v>
      </c>
      <c r="S1490" s="1" t="str" cm="1">
        <f t="array" ref="S1490">_xlfn.IFS(I1490 &gt;= 40, "High", I1490&gt;=20, "Medium", I1490&lt;20, "Low")</f>
        <v>Medium</v>
      </c>
      <c r="T1490" s="1" t="str" cm="1">
        <f t="array" ref="T1490">_xlfn.IFS(O1490&lt;18200, "Low", O1490&lt;=50000, "Medium", O1490&gt;50000, "High")</f>
        <v>Medium</v>
      </c>
    </row>
    <row r="1491" spans="1:20" x14ac:dyDescent="0.25">
      <c r="A1491" s="2">
        <v>2012</v>
      </c>
      <c r="B1491" s="1" t="s">
        <v>600</v>
      </c>
      <c r="C1491" s="1" t="s">
        <v>601</v>
      </c>
      <c r="D1491" s="1" t="s">
        <v>784</v>
      </c>
      <c r="E1491" s="1" t="s">
        <v>19</v>
      </c>
      <c r="F1491" s="1" t="s">
        <v>20</v>
      </c>
      <c r="G1491" s="1" t="s">
        <v>2247</v>
      </c>
      <c r="H1491" s="1" t="s">
        <v>22</v>
      </c>
      <c r="I1491" s="1">
        <v>36</v>
      </c>
      <c r="J1491" s="1">
        <v>64624</v>
      </c>
      <c r="K1491" s="1" t="s">
        <v>73</v>
      </c>
      <c r="L1491" s="1" t="s">
        <v>24</v>
      </c>
      <c r="M1491" s="1" t="s">
        <v>56</v>
      </c>
      <c r="N1491" s="1">
        <v>21700</v>
      </c>
      <c r="O1491" s="12">
        <v>20900</v>
      </c>
      <c r="P1491" s="3" t="s">
        <v>853</v>
      </c>
      <c r="Q1491" s="1" cm="1">
        <f t="array" ref="Q1491">VALUE(INDEX(_xlfn.TEXTSPLIT(P1491, " "), 4))</f>
        <v>2015</v>
      </c>
      <c r="R1491" s="1" t="str">
        <f t="shared" si="23"/>
        <v>Jeep Wrangler Unlimited Sport</v>
      </c>
      <c r="S1491" s="1" t="str" cm="1">
        <f t="array" ref="S1491">_xlfn.IFS(I1491 &gt;= 40, "High", I1491&gt;=20, "Medium", I1491&lt;20, "Low")</f>
        <v>Medium</v>
      </c>
      <c r="T1491" s="1" t="str" cm="1">
        <f t="array" ref="T1491">_xlfn.IFS(O1491&lt;18200, "Low", O1491&lt;=50000, "Medium", O1491&gt;50000, "High")</f>
        <v>Medium</v>
      </c>
    </row>
    <row r="1492" spans="1:20" x14ac:dyDescent="0.25">
      <c r="A1492" s="2">
        <v>2012</v>
      </c>
      <c r="B1492" s="1" t="s">
        <v>318</v>
      </c>
      <c r="C1492" s="1" t="s">
        <v>323</v>
      </c>
      <c r="D1492" s="1" t="s">
        <v>324</v>
      </c>
      <c r="E1492" s="1" t="s">
        <v>323</v>
      </c>
      <c r="F1492" s="1" t="s">
        <v>20</v>
      </c>
      <c r="G1492" s="1" t="s">
        <v>2248</v>
      </c>
      <c r="H1492" s="1" t="s">
        <v>22</v>
      </c>
      <c r="I1492" s="1">
        <v>43</v>
      </c>
      <c r="J1492" s="1">
        <v>27834</v>
      </c>
      <c r="K1492" s="1" t="s">
        <v>24</v>
      </c>
      <c r="L1492" s="1" t="s">
        <v>24</v>
      </c>
      <c r="M1492" s="1" t="s">
        <v>322</v>
      </c>
      <c r="N1492" s="1">
        <v>22000</v>
      </c>
      <c r="O1492" s="12">
        <v>20750</v>
      </c>
      <c r="P1492" s="3" t="s">
        <v>46</v>
      </c>
      <c r="Q1492" s="1" cm="1">
        <f t="array" ref="Q1492">VALUE(INDEX(_xlfn.TEXTSPLIT(P1492, " "), 4))</f>
        <v>2014</v>
      </c>
      <c r="R1492" s="1" t="str">
        <f t="shared" si="23"/>
        <v>Infiniti G Sedan G37 Journey</v>
      </c>
      <c r="S1492" s="1" t="str" cm="1">
        <f t="array" ref="S1492">_xlfn.IFS(I1492 &gt;= 40, "High", I1492&gt;=20, "Medium", I1492&lt;20, "Low")</f>
        <v>High</v>
      </c>
      <c r="T1492" s="1" t="str" cm="1">
        <f t="array" ref="T1492">_xlfn.IFS(O1492&lt;18200, "Low", O1492&lt;=50000, "Medium", O1492&gt;50000, "High")</f>
        <v>Medium</v>
      </c>
    </row>
    <row r="1493" spans="1:20" x14ac:dyDescent="0.25">
      <c r="A1493" s="2">
        <v>2012</v>
      </c>
      <c r="B1493" s="1" t="s">
        <v>681</v>
      </c>
      <c r="C1493" s="1" t="s">
        <v>684</v>
      </c>
      <c r="D1493" s="1" t="s">
        <v>54</v>
      </c>
      <c r="E1493" s="1" t="s">
        <v>227</v>
      </c>
      <c r="F1493" s="1" t="s">
        <v>214</v>
      </c>
      <c r="G1493" s="1" t="s">
        <v>2249</v>
      </c>
      <c r="H1493" s="1" t="s">
        <v>22</v>
      </c>
      <c r="I1493" s="1">
        <v>36</v>
      </c>
      <c r="J1493" s="1">
        <v>25245</v>
      </c>
      <c r="K1493" s="1" t="s">
        <v>91</v>
      </c>
      <c r="L1493" s="1" t="s">
        <v>24</v>
      </c>
      <c r="M1493" s="1" t="s">
        <v>686</v>
      </c>
      <c r="N1493" s="1">
        <v>13450</v>
      </c>
      <c r="O1493" s="12">
        <v>12000</v>
      </c>
      <c r="P1493" s="3" t="s">
        <v>42</v>
      </c>
      <c r="Q1493" s="1" cm="1">
        <f t="array" ref="Q1493">VALUE(INDEX(_xlfn.TEXTSPLIT(P1493, " "), 4))</f>
        <v>2015</v>
      </c>
      <c r="R1493" s="1" t="str">
        <f t="shared" si="23"/>
        <v>MINI Cooper Base</v>
      </c>
      <c r="S1493" s="1" t="str" cm="1">
        <f t="array" ref="S1493">_xlfn.IFS(I1493 &gt;= 40, "High", I1493&gt;=20, "Medium", I1493&lt;20, "Low")</f>
        <v>Medium</v>
      </c>
      <c r="T1493" s="1" t="str" cm="1">
        <f t="array" ref="T1493">_xlfn.IFS(O1493&lt;18200, "Low", O1493&lt;=50000, "Medium", O1493&gt;50000, "High")</f>
        <v>Low</v>
      </c>
    </row>
    <row r="1494" spans="1:20" x14ac:dyDescent="0.25">
      <c r="A1494" s="2">
        <v>2012</v>
      </c>
      <c r="B1494" s="1" t="s">
        <v>681</v>
      </c>
      <c r="C1494" s="1" t="s">
        <v>684</v>
      </c>
      <c r="D1494" s="1" t="s">
        <v>54</v>
      </c>
      <c r="E1494" s="1" t="s">
        <v>227</v>
      </c>
      <c r="F1494" s="1" t="s">
        <v>20</v>
      </c>
      <c r="G1494" s="1" t="s">
        <v>2250</v>
      </c>
      <c r="H1494" s="1" t="s">
        <v>22</v>
      </c>
      <c r="I1494" s="1">
        <v>39</v>
      </c>
      <c r="J1494" s="1">
        <v>14416</v>
      </c>
      <c r="K1494" s="1" t="s">
        <v>94</v>
      </c>
      <c r="L1494" s="1" t="s">
        <v>24</v>
      </c>
      <c r="M1494" s="1" t="s">
        <v>686</v>
      </c>
      <c r="N1494" s="1">
        <v>15250</v>
      </c>
      <c r="O1494" s="12">
        <v>16000</v>
      </c>
      <c r="P1494" s="3" t="s">
        <v>46</v>
      </c>
      <c r="Q1494" s="1" cm="1">
        <f t="array" ref="Q1494">VALUE(INDEX(_xlfn.TEXTSPLIT(P1494, " "), 4))</f>
        <v>2014</v>
      </c>
      <c r="R1494" s="1" t="str">
        <f t="shared" si="23"/>
        <v>MINI Cooper Base</v>
      </c>
      <c r="S1494" s="1" t="str" cm="1">
        <f t="array" ref="S1494">_xlfn.IFS(I1494 &gt;= 40, "High", I1494&gt;=20, "Medium", I1494&lt;20, "Low")</f>
        <v>Medium</v>
      </c>
      <c r="T1494" s="1" t="str" cm="1">
        <f t="array" ref="T1494">_xlfn.IFS(O1494&lt;18200, "Low", O1494&lt;=50000, "Medium", O1494&gt;50000, "High")</f>
        <v>Low</v>
      </c>
    </row>
    <row r="1495" spans="1:20" x14ac:dyDescent="0.25">
      <c r="A1495" s="2">
        <v>2012</v>
      </c>
      <c r="B1495" s="1" t="s">
        <v>318</v>
      </c>
      <c r="C1495" s="1" t="s">
        <v>648</v>
      </c>
      <c r="D1495" s="1" t="s">
        <v>649</v>
      </c>
      <c r="E1495" s="1" t="s">
        <v>32</v>
      </c>
      <c r="F1495" s="1" t="s">
        <v>20</v>
      </c>
      <c r="G1495" s="1" t="s">
        <v>2251</v>
      </c>
      <c r="H1495" s="1" t="s">
        <v>22</v>
      </c>
      <c r="I1495" s="1">
        <v>39</v>
      </c>
      <c r="J1495" s="1">
        <v>39257</v>
      </c>
      <c r="K1495" s="1" t="s">
        <v>34</v>
      </c>
      <c r="L1495" s="1" t="s">
        <v>28</v>
      </c>
      <c r="M1495" s="1" t="s">
        <v>322</v>
      </c>
      <c r="N1495" s="1">
        <v>26200</v>
      </c>
      <c r="O1495" s="12">
        <v>25250</v>
      </c>
      <c r="P1495" s="3" t="s">
        <v>46</v>
      </c>
      <c r="Q1495" s="1" cm="1">
        <f t="array" ref="Q1495">VALUE(INDEX(_xlfn.TEXTSPLIT(P1495, " "), 4))</f>
        <v>2014</v>
      </c>
      <c r="R1495" s="1" t="str">
        <f t="shared" si="23"/>
        <v>Infiniti M M37</v>
      </c>
      <c r="S1495" s="1" t="str" cm="1">
        <f t="array" ref="S1495">_xlfn.IFS(I1495 &gt;= 40, "High", I1495&gt;=20, "Medium", I1495&lt;20, "Low")</f>
        <v>Medium</v>
      </c>
      <c r="T1495" s="1" t="str" cm="1">
        <f t="array" ref="T1495">_xlfn.IFS(O1495&lt;18200, "Low", O1495&lt;=50000, "Medium", O1495&gt;50000, "High")</f>
        <v>Medium</v>
      </c>
    </row>
    <row r="1496" spans="1:20" x14ac:dyDescent="0.25">
      <c r="A1496" s="2">
        <v>2012</v>
      </c>
      <c r="B1496" s="1" t="s">
        <v>817</v>
      </c>
      <c r="C1496" s="1" t="s">
        <v>2065</v>
      </c>
      <c r="D1496" s="1" t="s">
        <v>54</v>
      </c>
      <c r="E1496" s="1" t="s">
        <v>32</v>
      </c>
      <c r="F1496" s="1" t="s">
        <v>20</v>
      </c>
      <c r="G1496" s="1" t="s">
        <v>2252</v>
      </c>
      <c r="H1496" s="1" t="s">
        <v>22</v>
      </c>
      <c r="I1496" s="1">
        <v>25</v>
      </c>
      <c r="J1496" s="1">
        <v>22095</v>
      </c>
      <c r="K1496" s="1" t="s">
        <v>24</v>
      </c>
      <c r="L1496" s="1" t="s">
        <v>24</v>
      </c>
      <c r="M1496" s="1" t="s">
        <v>555</v>
      </c>
      <c r="N1496" s="1">
        <v>39300</v>
      </c>
      <c r="O1496" s="12">
        <v>35000</v>
      </c>
      <c r="P1496" s="3" t="s">
        <v>46</v>
      </c>
      <c r="Q1496" s="1" cm="1">
        <f t="array" ref="Q1496">VALUE(INDEX(_xlfn.TEXTSPLIT(P1496, " "), 4))</f>
        <v>2014</v>
      </c>
      <c r="R1496" s="1" t="str">
        <f t="shared" si="23"/>
        <v>Jaguar XJ Base</v>
      </c>
      <c r="S1496" s="1" t="str" cm="1">
        <f t="array" ref="S1496">_xlfn.IFS(I1496 &gt;= 40, "High", I1496&gt;=20, "Medium", I1496&lt;20, "Low")</f>
        <v>Medium</v>
      </c>
      <c r="T1496" s="1" t="str" cm="1">
        <f t="array" ref="T1496">_xlfn.IFS(O1496&lt;18200, "Low", O1496&lt;=50000, "Medium", O1496&gt;50000, "High")</f>
        <v>Medium</v>
      </c>
    </row>
    <row r="1497" spans="1:20" x14ac:dyDescent="0.25">
      <c r="A1497" s="2">
        <v>2012</v>
      </c>
      <c r="B1497" s="1" t="s">
        <v>202</v>
      </c>
      <c r="C1497" s="1" t="s">
        <v>670</v>
      </c>
      <c r="D1497" s="1" t="s">
        <v>54</v>
      </c>
      <c r="E1497" s="1" t="s">
        <v>32</v>
      </c>
      <c r="F1497" s="1" t="s">
        <v>20</v>
      </c>
      <c r="G1497" s="1" t="s">
        <v>2253</v>
      </c>
      <c r="H1497" s="1" t="s">
        <v>22</v>
      </c>
      <c r="I1497" s="1">
        <v>25</v>
      </c>
      <c r="J1497" s="1">
        <v>8055</v>
      </c>
      <c r="K1497" s="1" t="s">
        <v>384</v>
      </c>
      <c r="L1497" s="1" t="s">
        <v>82</v>
      </c>
      <c r="M1497" s="1" t="s">
        <v>205</v>
      </c>
      <c r="N1497" s="1">
        <v>24700</v>
      </c>
      <c r="O1497" s="12">
        <v>23500</v>
      </c>
      <c r="P1497" s="3" t="s">
        <v>206</v>
      </c>
      <c r="Q1497" s="1" cm="1">
        <f t="array" ref="Q1497">VALUE(INDEX(_xlfn.TEXTSPLIT(P1497, " "), 4))</f>
        <v>2014</v>
      </c>
      <c r="R1497" s="1" t="str">
        <f t="shared" si="23"/>
        <v>Lexus ES 350 Base</v>
      </c>
      <c r="S1497" s="1" t="str" cm="1">
        <f t="array" ref="S1497">_xlfn.IFS(I1497 &gt;= 40, "High", I1497&gt;=20, "Medium", I1497&lt;20, "Low")</f>
        <v>Medium</v>
      </c>
      <c r="T1497" s="1" t="str" cm="1">
        <f t="array" ref="T1497">_xlfn.IFS(O1497&lt;18200, "Low", O1497&lt;=50000, "Medium", O1497&gt;50000, "High")</f>
        <v>Medium</v>
      </c>
    </row>
    <row r="1498" spans="1:20" x14ac:dyDescent="0.25">
      <c r="A1498" s="2">
        <v>2012</v>
      </c>
      <c r="B1498" s="1" t="s">
        <v>817</v>
      </c>
      <c r="C1498" s="1" t="s">
        <v>818</v>
      </c>
      <c r="D1498" s="1" t="s">
        <v>2148</v>
      </c>
      <c r="E1498" s="1" t="s">
        <v>32</v>
      </c>
      <c r="F1498" s="1" t="s">
        <v>20</v>
      </c>
      <c r="G1498" s="1" t="s">
        <v>2254</v>
      </c>
      <c r="H1498" s="1" t="s">
        <v>22</v>
      </c>
      <c r="I1498" s="1">
        <v>35</v>
      </c>
      <c r="J1498" s="1">
        <v>48806</v>
      </c>
      <c r="K1498" s="1" t="s">
        <v>24</v>
      </c>
      <c r="L1498" s="1" t="s">
        <v>24</v>
      </c>
      <c r="M1498" s="1" t="s">
        <v>1297</v>
      </c>
      <c r="N1498" s="1">
        <v>29000</v>
      </c>
      <c r="O1498" s="12">
        <v>28500</v>
      </c>
      <c r="P1498" s="3" t="s">
        <v>26</v>
      </c>
      <c r="Q1498" s="1" cm="1">
        <f t="array" ref="Q1498">VALUE(INDEX(_xlfn.TEXTSPLIT(P1498, " "), 4))</f>
        <v>2014</v>
      </c>
      <c r="R1498" s="1" t="str">
        <f t="shared" si="23"/>
        <v>Jaguar XF Portfolio</v>
      </c>
      <c r="S1498" s="1" t="str" cm="1">
        <f t="array" ref="S1498">_xlfn.IFS(I1498 &gt;= 40, "High", I1498&gt;=20, "Medium", I1498&lt;20, "Low")</f>
        <v>Medium</v>
      </c>
      <c r="T1498" s="1" t="str" cm="1">
        <f t="array" ref="T1498">_xlfn.IFS(O1498&lt;18200, "Low", O1498&lt;=50000, "Medium", O1498&gt;50000, "High")</f>
        <v>Medium</v>
      </c>
    </row>
    <row r="1499" spans="1:20" x14ac:dyDescent="0.25">
      <c r="A1499" s="2">
        <v>2012</v>
      </c>
      <c r="B1499" s="1" t="s">
        <v>632</v>
      </c>
      <c r="C1499" s="1" t="s">
        <v>677</v>
      </c>
      <c r="D1499" s="1" t="s">
        <v>709</v>
      </c>
      <c r="E1499" s="1" t="s">
        <v>32</v>
      </c>
      <c r="F1499" s="1" t="s">
        <v>214</v>
      </c>
      <c r="G1499" s="1" t="s">
        <v>2255</v>
      </c>
      <c r="H1499" s="1" t="s">
        <v>22</v>
      </c>
      <c r="I1499" s="1">
        <v>42</v>
      </c>
      <c r="J1499" s="1">
        <v>28481</v>
      </c>
      <c r="K1499" s="1" t="s">
        <v>23</v>
      </c>
      <c r="L1499" s="1" t="s">
        <v>24</v>
      </c>
      <c r="M1499" s="1" t="s">
        <v>1079</v>
      </c>
      <c r="N1499" s="1">
        <v>10750</v>
      </c>
      <c r="O1499" s="12">
        <v>9600</v>
      </c>
      <c r="P1499" s="3" t="s">
        <v>251</v>
      </c>
      <c r="Q1499" s="1" cm="1">
        <f t="array" ref="Q1499">VALUE(INDEX(_xlfn.TEXTSPLIT(P1499, " "), 4))</f>
        <v>2014</v>
      </c>
      <c r="R1499" s="1" t="str">
        <f t="shared" si="23"/>
        <v>Mazda Mazda3 i Touring</v>
      </c>
      <c r="S1499" s="1" t="str" cm="1">
        <f t="array" ref="S1499">_xlfn.IFS(I1499 &gt;= 40, "High", I1499&gt;=20, "Medium", I1499&lt;20, "Low")</f>
        <v>High</v>
      </c>
      <c r="T1499" s="1" t="str" cm="1">
        <f t="array" ref="T1499">_xlfn.IFS(O1499&lt;18200, "Low", O1499&lt;=50000, "Medium", O1499&gt;50000, "High")</f>
        <v>Low</v>
      </c>
    </row>
    <row r="1500" spans="1:20" x14ac:dyDescent="0.25">
      <c r="A1500" s="2">
        <v>2012</v>
      </c>
      <c r="B1500" s="1" t="s">
        <v>16</v>
      </c>
      <c r="C1500" s="1" t="s">
        <v>655</v>
      </c>
      <c r="D1500" s="1" t="s">
        <v>54</v>
      </c>
      <c r="E1500" s="1" t="s">
        <v>130</v>
      </c>
      <c r="F1500" s="1" t="s">
        <v>20</v>
      </c>
      <c r="G1500" s="1" t="s">
        <v>2256</v>
      </c>
      <c r="H1500" s="1" t="s">
        <v>22</v>
      </c>
      <c r="I1500" s="1">
        <v>48</v>
      </c>
      <c r="J1500" s="1">
        <v>22047</v>
      </c>
      <c r="K1500" s="1" t="s">
        <v>23</v>
      </c>
      <c r="L1500" s="1" t="s">
        <v>24</v>
      </c>
      <c r="M1500" s="1" t="s">
        <v>25</v>
      </c>
      <c r="N1500" s="1">
        <v>10250</v>
      </c>
      <c r="O1500" s="12">
        <v>12100</v>
      </c>
      <c r="P1500" s="3" t="s">
        <v>26</v>
      </c>
      <c r="Q1500" s="1" cm="1">
        <f t="array" ref="Q1500">VALUE(INDEX(_xlfn.TEXTSPLIT(P1500, " "), 4))</f>
        <v>2014</v>
      </c>
      <c r="R1500" s="1" t="str">
        <f t="shared" si="23"/>
        <v>Kia Soul Base</v>
      </c>
      <c r="S1500" s="1" t="str" cm="1">
        <f t="array" ref="S1500">_xlfn.IFS(I1500 &gt;= 40, "High", I1500&gt;=20, "Medium", I1500&lt;20, "Low")</f>
        <v>High</v>
      </c>
      <c r="T1500" s="1" t="str" cm="1">
        <f t="array" ref="T1500">_xlfn.IFS(O1500&lt;18200, "Low", O1500&lt;=50000, "Medium", O1500&gt;50000, "High")</f>
        <v>Low</v>
      </c>
    </row>
    <row r="1501" spans="1:20" x14ac:dyDescent="0.25">
      <c r="A1501" s="2">
        <v>2012</v>
      </c>
      <c r="B1501" s="1" t="s">
        <v>681</v>
      </c>
      <c r="C1501" s="1" t="s">
        <v>684</v>
      </c>
      <c r="D1501" s="1" t="s">
        <v>936</v>
      </c>
      <c r="E1501" s="1" t="s">
        <v>227</v>
      </c>
      <c r="F1501" s="1" t="s">
        <v>20</v>
      </c>
      <c r="G1501" s="1" t="s">
        <v>2257</v>
      </c>
      <c r="H1501" s="1" t="s">
        <v>22</v>
      </c>
      <c r="I1501" s="1">
        <v>41</v>
      </c>
      <c r="J1501" s="1">
        <v>20462</v>
      </c>
      <c r="K1501" s="1" t="s">
        <v>34</v>
      </c>
      <c r="L1501" s="1" t="s">
        <v>101</v>
      </c>
      <c r="M1501" s="1" t="s">
        <v>686</v>
      </c>
      <c r="N1501" s="1">
        <v>17050</v>
      </c>
      <c r="O1501" s="12">
        <v>17000</v>
      </c>
      <c r="P1501" s="3" t="s">
        <v>46</v>
      </c>
      <c r="Q1501" s="1" cm="1">
        <f t="array" ref="Q1501">VALUE(INDEX(_xlfn.TEXTSPLIT(P1501, " "), 4))</f>
        <v>2014</v>
      </c>
      <c r="R1501" s="1" t="str">
        <f t="shared" si="23"/>
        <v>MINI Cooper S</v>
      </c>
      <c r="S1501" s="1" t="str" cm="1">
        <f t="array" ref="S1501">_xlfn.IFS(I1501 &gt;= 40, "High", I1501&gt;=20, "Medium", I1501&lt;20, "Low")</f>
        <v>High</v>
      </c>
      <c r="T1501" s="1" t="str" cm="1">
        <f t="array" ref="T1501">_xlfn.IFS(O1501&lt;18200, "Low", O1501&lt;=50000, "Medium", O1501&gt;50000, "High")</f>
        <v>Low</v>
      </c>
    </row>
    <row r="1502" spans="1:20" x14ac:dyDescent="0.25">
      <c r="A1502" s="2">
        <v>2012</v>
      </c>
      <c r="B1502" s="1" t="s">
        <v>681</v>
      </c>
      <c r="C1502" s="1" t="s">
        <v>684</v>
      </c>
      <c r="D1502" s="1" t="s">
        <v>936</v>
      </c>
      <c r="E1502" s="1" t="s">
        <v>227</v>
      </c>
      <c r="F1502" s="1" t="s">
        <v>214</v>
      </c>
      <c r="G1502" s="1" t="s">
        <v>2258</v>
      </c>
      <c r="H1502" s="1" t="s">
        <v>22</v>
      </c>
      <c r="I1502" s="1">
        <v>39</v>
      </c>
      <c r="J1502" s="1">
        <v>36557</v>
      </c>
      <c r="K1502" s="1" t="s">
        <v>34</v>
      </c>
      <c r="L1502" s="1" t="s">
        <v>101</v>
      </c>
      <c r="M1502" s="1" t="s">
        <v>686</v>
      </c>
      <c r="N1502" s="1">
        <v>15750</v>
      </c>
      <c r="O1502" s="12">
        <v>15750</v>
      </c>
      <c r="P1502" s="3" t="s">
        <v>46</v>
      </c>
      <c r="Q1502" s="1" cm="1">
        <f t="array" ref="Q1502">VALUE(INDEX(_xlfn.TEXTSPLIT(P1502, " "), 4))</f>
        <v>2014</v>
      </c>
      <c r="R1502" s="1" t="str">
        <f t="shared" si="23"/>
        <v>MINI Cooper S</v>
      </c>
      <c r="S1502" s="1" t="str" cm="1">
        <f t="array" ref="S1502">_xlfn.IFS(I1502 &gt;= 40, "High", I1502&gt;=20, "Medium", I1502&lt;20, "Low")</f>
        <v>Medium</v>
      </c>
      <c r="T1502" s="1" t="str" cm="1">
        <f t="array" ref="T1502">_xlfn.IFS(O1502&lt;18200, "Low", O1502&lt;=50000, "Medium", O1502&gt;50000, "High")</f>
        <v>Low</v>
      </c>
    </row>
    <row r="1503" spans="1:20" x14ac:dyDescent="0.25">
      <c r="A1503" s="2">
        <v>2012</v>
      </c>
      <c r="B1503" s="1" t="s">
        <v>803</v>
      </c>
      <c r="C1503" s="1" t="s">
        <v>2101</v>
      </c>
      <c r="D1503" s="1" t="s">
        <v>54</v>
      </c>
      <c r="E1503" s="1" t="s">
        <v>32</v>
      </c>
      <c r="F1503" s="1" t="s">
        <v>20</v>
      </c>
      <c r="G1503" s="1" t="s">
        <v>2259</v>
      </c>
      <c r="H1503" s="1" t="s">
        <v>22</v>
      </c>
      <c r="I1503" s="1">
        <v>35</v>
      </c>
      <c r="J1503" s="1">
        <v>35825</v>
      </c>
      <c r="K1503" s="1" t="s">
        <v>94</v>
      </c>
      <c r="L1503" s="1" t="s">
        <v>24</v>
      </c>
      <c r="M1503" s="1" t="s">
        <v>1606</v>
      </c>
      <c r="N1503" s="1">
        <v>14850</v>
      </c>
      <c r="O1503" s="12">
        <v>14250</v>
      </c>
      <c r="P1503" s="3" t="s">
        <v>97</v>
      </c>
      <c r="Q1503" s="1" cm="1">
        <f t="array" ref="Q1503">VALUE(INDEX(_xlfn.TEXTSPLIT(P1503, " "), 4))</f>
        <v>2014</v>
      </c>
      <c r="R1503" s="1" t="str">
        <f t="shared" si="23"/>
        <v>Lincoln MKZ Base</v>
      </c>
      <c r="S1503" s="1" t="str" cm="1">
        <f t="array" ref="S1503">_xlfn.IFS(I1503 &gt;= 40, "High", I1503&gt;=20, "Medium", I1503&lt;20, "Low")</f>
        <v>Medium</v>
      </c>
      <c r="T1503" s="1" t="str" cm="1">
        <f t="array" ref="T1503">_xlfn.IFS(O1503&lt;18200, "Low", O1503&lt;=50000, "Medium", O1503&gt;50000, "High")</f>
        <v>Low</v>
      </c>
    </row>
    <row r="1504" spans="1:20" x14ac:dyDescent="0.25">
      <c r="A1504" s="2">
        <v>2012</v>
      </c>
      <c r="B1504" s="1" t="s">
        <v>318</v>
      </c>
      <c r="C1504" s="1" t="s">
        <v>323</v>
      </c>
      <c r="D1504" s="1" t="s">
        <v>718</v>
      </c>
      <c r="E1504" s="1" t="s">
        <v>323</v>
      </c>
      <c r="F1504" s="1" t="s">
        <v>20</v>
      </c>
      <c r="G1504" s="1" t="s">
        <v>2260</v>
      </c>
      <c r="H1504" s="1" t="s">
        <v>22</v>
      </c>
      <c r="I1504" s="1">
        <v>47</v>
      </c>
      <c r="J1504" s="1">
        <v>52545</v>
      </c>
      <c r="K1504" s="1" t="s">
        <v>23</v>
      </c>
      <c r="L1504" s="1" t="s">
        <v>34</v>
      </c>
      <c r="M1504" s="1" t="s">
        <v>322</v>
      </c>
      <c r="N1504" s="1">
        <v>19200</v>
      </c>
      <c r="O1504" s="12">
        <v>20500</v>
      </c>
      <c r="P1504" s="3" t="s">
        <v>46</v>
      </c>
      <c r="Q1504" s="1" cm="1">
        <f t="array" ref="Q1504">VALUE(INDEX(_xlfn.TEXTSPLIT(P1504, " "), 4))</f>
        <v>2014</v>
      </c>
      <c r="R1504" s="1" t="str">
        <f t="shared" si="23"/>
        <v>Infiniti G Sedan G37x</v>
      </c>
      <c r="S1504" s="1" t="str" cm="1">
        <f t="array" ref="S1504">_xlfn.IFS(I1504 &gt;= 40, "High", I1504&gt;=20, "Medium", I1504&lt;20, "Low")</f>
        <v>High</v>
      </c>
      <c r="T1504" s="1" t="str" cm="1">
        <f t="array" ref="T1504">_xlfn.IFS(O1504&lt;18200, "Low", O1504&lt;=50000, "Medium", O1504&gt;50000, "High")</f>
        <v>Medium</v>
      </c>
    </row>
    <row r="1505" spans="1:20" x14ac:dyDescent="0.25">
      <c r="A1505" s="2">
        <v>2012</v>
      </c>
      <c r="B1505" s="1" t="s">
        <v>16</v>
      </c>
      <c r="C1505" s="1" t="s">
        <v>80</v>
      </c>
      <c r="D1505" s="1" t="s">
        <v>1671</v>
      </c>
      <c r="E1505" s="1" t="s">
        <v>32</v>
      </c>
      <c r="F1505" s="1" t="s">
        <v>20</v>
      </c>
      <c r="G1505" s="1" t="s">
        <v>2261</v>
      </c>
      <c r="H1505" s="1" t="s">
        <v>22</v>
      </c>
      <c r="I1505" s="1">
        <v>39</v>
      </c>
      <c r="J1505" s="1">
        <v>12267</v>
      </c>
      <c r="K1505" s="1" t="s">
        <v>91</v>
      </c>
      <c r="L1505" s="1" t="s">
        <v>24</v>
      </c>
      <c r="M1505" s="1" t="s">
        <v>25</v>
      </c>
      <c r="N1505" s="1">
        <v>16350</v>
      </c>
      <c r="O1505" s="12">
        <v>17000</v>
      </c>
      <c r="P1505" s="3" t="s">
        <v>26</v>
      </c>
      <c r="Q1505" s="1" cm="1">
        <f t="array" ref="Q1505">VALUE(INDEX(_xlfn.TEXTSPLIT(P1505, " "), 4))</f>
        <v>2014</v>
      </c>
      <c r="R1505" s="1" t="str">
        <f t="shared" si="23"/>
        <v>Kia Optima Hybrid</v>
      </c>
      <c r="S1505" s="1" t="str" cm="1">
        <f t="array" ref="S1505">_xlfn.IFS(I1505 &gt;= 40, "High", I1505&gt;=20, "Medium", I1505&lt;20, "Low")</f>
        <v>Medium</v>
      </c>
      <c r="T1505" s="1" t="str" cm="1">
        <f t="array" ref="T1505">_xlfn.IFS(O1505&lt;18200, "Low", O1505&lt;=50000, "Medium", O1505&gt;50000, "High")</f>
        <v>Low</v>
      </c>
    </row>
    <row r="1506" spans="1:20" x14ac:dyDescent="0.25">
      <c r="A1506" s="2">
        <v>2012</v>
      </c>
      <c r="B1506" s="1" t="s">
        <v>16</v>
      </c>
      <c r="C1506" s="1" t="s">
        <v>80</v>
      </c>
      <c r="D1506" s="1" t="s">
        <v>1671</v>
      </c>
      <c r="E1506" s="1" t="s">
        <v>32</v>
      </c>
      <c r="F1506" s="1" t="s">
        <v>20</v>
      </c>
      <c r="G1506" s="1" t="s">
        <v>2262</v>
      </c>
      <c r="H1506" s="1" t="s">
        <v>22</v>
      </c>
      <c r="I1506" s="1">
        <v>38</v>
      </c>
      <c r="J1506" s="1">
        <v>49523</v>
      </c>
      <c r="K1506" s="1" t="s">
        <v>91</v>
      </c>
      <c r="L1506" s="1" t="s">
        <v>24</v>
      </c>
      <c r="M1506" s="1" t="s">
        <v>83</v>
      </c>
      <c r="N1506" s="1">
        <v>13750</v>
      </c>
      <c r="O1506" s="12">
        <v>14200</v>
      </c>
      <c r="P1506" s="3" t="s">
        <v>84</v>
      </c>
      <c r="Q1506" s="1" cm="1">
        <f t="array" ref="Q1506">VALUE(INDEX(_xlfn.TEXTSPLIT(P1506, " "), 4))</f>
        <v>2014</v>
      </c>
      <c r="R1506" s="1" t="str">
        <f t="shared" si="23"/>
        <v>Kia Optima Hybrid</v>
      </c>
      <c r="S1506" s="1" t="str" cm="1">
        <f t="array" ref="S1506">_xlfn.IFS(I1506 &gt;= 40, "High", I1506&gt;=20, "Medium", I1506&lt;20, "Low")</f>
        <v>Medium</v>
      </c>
      <c r="T1506" s="1" t="str" cm="1">
        <f t="array" ref="T1506">_xlfn.IFS(O1506&lt;18200, "Low", O1506&lt;=50000, "Medium", O1506&gt;50000, "High")</f>
        <v>Low</v>
      </c>
    </row>
    <row r="1507" spans="1:20" x14ac:dyDescent="0.25">
      <c r="A1507" s="2">
        <v>2012</v>
      </c>
      <c r="B1507" s="1" t="s">
        <v>681</v>
      </c>
      <c r="C1507" s="1" t="s">
        <v>1371</v>
      </c>
      <c r="D1507" s="1" t="s">
        <v>54</v>
      </c>
      <c r="E1507" s="1" t="s">
        <v>227</v>
      </c>
      <c r="F1507" s="1" t="s">
        <v>20</v>
      </c>
      <c r="G1507" s="1" t="s">
        <v>2263</v>
      </c>
      <c r="H1507" s="1" t="s">
        <v>22</v>
      </c>
      <c r="I1507" s="1">
        <v>39</v>
      </c>
      <c r="J1507" s="1">
        <v>19744</v>
      </c>
      <c r="K1507" s="1" t="s">
        <v>94</v>
      </c>
      <c r="L1507" s="1" t="s">
        <v>24</v>
      </c>
      <c r="M1507" s="1" t="s">
        <v>686</v>
      </c>
      <c r="N1507" s="1">
        <v>12950</v>
      </c>
      <c r="O1507" s="12">
        <v>14500</v>
      </c>
      <c r="P1507" s="3" t="s">
        <v>46</v>
      </c>
      <c r="Q1507" s="1" cm="1">
        <f t="array" ref="Q1507">VALUE(INDEX(_xlfn.TEXTSPLIT(P1507, " "), 4))</f>
        <v>2014</v>
      </c>
      <c r="R1507" s="1" t="str">
        <f t="shared" si="23"/>
        <v>MINI Cooper Coupe Base</v>
      </c>
      <c r="S1507" s="1" t="str" cm="1">
        <f t="array" ref="S1507">_xlfn.IFS(I1507 &gt;= 40, "High", I1507&gt;=20, "Medium", I1507&lt;20, "Low")</f>
        <v>Medium</v>
      </c>
      <c r="T1507" s="1" t="str" cm="1">
        <f t="array" ref="T1507">_xlfn.IFS(O1507&lt;18200, "Low", O1507&lt;=50000, "Medium", O1507&gt;50000, "High")</f>
        <v>Low</v>
      </c>
    </row>
    <row r="1508" spans="1:20" x14ac:dyDescent="0.25">
      <c r="A1508" s="2">
        <v>2012</v>
      </c>
      <c r="B1508" s="1" t="s">
        <v>16</v>
      </c>
      <c r="C1508" s="1" t="s">
        <v>80</v>
      </c>
      <c r="D1508" s="1" t="s">
        <v>623</v>
      </c>
      <c r="E1508" s="1" t="s">
        <v>32</v>
      </c>
      <c r="F1508" s="1" t="s">
        <v>20</v>
      </c>
      <c r="G1508" s="1" t="s">
        <v>2264</v>
      </c>
      <c r="H1508" s="1" t="s">
        <v>22</v>
      </c>
      <c r="I1508" s="1">
        <v>45</v>
      </c>
      <c r="J1508" s="1">
        <v>32284</v>
      </c>
      <c r="K1508" s="1" t="s">
        <v>24</v>
      </c>
      <c r="L1508" s="1" t="s">
        <v>24</v>
      </c>
      <c r="M1508" s="1" t="s">
        <v>25</v>
      </c>
      <c r="N1508" s="1">
        <v>17650</v>
      </c>
      <c r="O1508" s="12">
        <v>15000</v>
      </c>
      <c r="P1508" s="3" t="s">
        <v>2265</v>
      </c>
      <c r="Q1508" s="1" cm="1">
        <f t="array" ref="Q1508">VALUE(INDEX(_xlfn.TEXTSPLIT(P1508, " "), 4))</f>
        <v>2015</v>
      </c>
      <c r="R1508" s="1" t="str">
        <f t="shared" si="23"/>
        <v>Kia Optima SX</v>
      </c>
      <c r="S1508" s="1" t="str" cm="1">
        <f t="array" ref="S1508">_xlfn.IFS(I1508 &gt;= 40, "High", I1508&gt;=20, "Medium", I1508&lt;20, "Low")</f>
        <v>High</v>
      </c>
      <c r="T1508" s="1" t="str" cm="1">
        <f t="array" ref="T1508">_xlfn.IFS(O1508&lt;18200, "Low", O1508&lt;=50000, "Medium", O1508&gt;50000, "High")</f>
        <v>Low</v>
      </c>
    </row>
    <row r="1509" spans="1:20" x14ac:dyDescent="0.25">
      <c r="A1509" s="2">
        <v>2012</v>
      </c>
      <c r="B1509" s="1" t="s">
        <v>318</v>
      </c>
      <c r="C1509" s="1" t="s">
        <v>319</v>
      </c>
      <c r="D1509" s="1" t="s">
        <v>1965</v>
      </c>
      <c r="E1509" s="1" t="s">
        <v>319</v>
      </c>
      <c r="F1509" s="1" t="s">
        <v>20</v>
      </c>
      <c r="G1509" s="1" t="s">
        <v>2266</v>
      </c>
      <c r="H1509" s="1" t="s">
        <v>22</v>
      </c>
      <c r="I1509" s="1">
        <v>22</v>
      </c>
      <c r="J1509" s="1">
        <v>37322</v>
      </c>
      <c r="K1509" s="1" t="s">
        <v>23</v>
      </c>
      <c r="L1509" s="1" t="s">
        <v>28</v>
      </c>
      <c r="M1509" s="1" t="s">
        <v>322</v>
      </c>
      <c r="N1509" s="1">
        <v>21200</v>
      </c>
      <c r="O1509" s="12">
        <v>19500</v>
      </c>
      <c r="P1509" s="3" t="s">
        <v>26</v>
      </c>
      <c r="Q1509" s="1" cm="1">
        <f t="array" ref="Q1509">VALUE(INDEX(_xlfn.TEXTSPLIT(P1509, " "), 4))</f>
        <v>2014</v>
      </c>
      <c r="R1509" s="1" t="str">
        <f t="shared" si="23"/>
        <v>Infiniti G Coupe G37</v>
      </c>
      <c r="S1509" s="1" t="str" cm="1">
        <f t="array" ref="S1509">_xlfn.IFS(I1509 &gt;= 40, "High", I1509&gt;=20, "Medium", I1509&lt;20, "Low")</f>
        <v>Medium</v>
      </c>
      <c r="T1509" s="1" t="str" cm="1">
        <f t="array" ref="T1509">_xlfn.IFS(O1509&lt;18200, "Low", O1509&lt;=50000, "Medium", O1509&gt;50000, "High")</f>
        <v>Medium</v>
      </c>
    </row>
    <row r="1510" spans="1:20" x14ac:dyDescent="0.25">
      <c r="A1510" s="2">
        <v>2012</v>
      </c>
      <c r="B1510" s="1" t="s">
        <v>681</v>
      </c>
      <c r="C1510" s="1" t="s">
        <v>843</v>
      </c>
      <c r="D1510" s="1" t="s">
        <v>54</v>
      </c>
      <c r="E1510" s="1" t="s">
        <v>130</v>
      </c>
      <c r="F1510" s="1" t="s">
        <v>20</v>
      </c>
      <c r="G1510" s="1" t="s">
        <v>2267</v>
      </c>
      <c r="H1510" s="1" t="s">
        <v>22</v>
      </c>
      <c r="I1510" s="1">
        <v>47</v>
      </c>
      <c r="J1510" s="1">
        <v>15738</v>
      </c>
      <c r="K1510" s="1" t="s">
        <v>28</v>
      </c>
      <c r="L1510" s="1" t="s">
        <v>101</v>
      </c>
      <c r="M1510" s="1" t="s">
        <v>686</v>
      </c>
      <c r="N1510" s="1">
        <v>18550</v>
      </c>
      <c r="O1510" s="12">
        <v>17750</v>
      </c>
      <c r="P1510" s="3" t="s">
        <v>46</v>
      </c>
      <c r="Q1510" s="1" cm="1">
        <f t="array" ref="Q1510">VALUE(INDEX(_xlfn.TEXTSPLIT(P1510, " "), 4))</f>
        <v>2014</v>
      </c>
      <c r="R1510" s="1" t="str">
        <f t="shared" si="23"/>
        <v>MINI Cooper Countryman Base</v>
      </c>
      <c r="S1510" s="1" t="str" cm="1">
        <f t="array" ref="S1510">_xlfn.IFS(I1510 &gt;= 40, "High", I1510&gt;=20, "Medium", I1510&lt;20, "Low")</f>
        <v>High</v>
      </c>
      <c r="T1510" s="1" t="str" cm="1">
        <f t="array" ref="T1510">_xlfn.IFS(O1510&lt;18200, "Low", O1510&lt;=50000, "Medium", O1510&gt;50000, "High")</f>
        <v>Low</v>
      </c>
    </row>
    <row r="1511" spans="1:20" x14ac:dyDescent="0.25">
      <c r="A1511" s="2">
        <v>2012</v>
      </c>
      <c r="B1511" s="1" t="s">
        <v>608</v>
      </c>
      <c r="C1511" s="1" t="s">
        <v>673</v>
      </c>
      <c r="D1511" s="1" t="s">
        <v>2069</v>
      </c>
      <c r="E1511" s="1" t="s">
        <v>32</v>
      </c>
      <c r="F1511" s="1" t="s">
        <v>20</v>
      </c>
      <c r="G1511" s="1" t="s">
        <v>2268</v>
      </c>
      <c r="H1511" s="1" t="s">
        <v>22</v>
      </c>
      <c r="I1511" s="1">
        <v>44</v>
      </c>
      <c r="J1511" s="1">
        <v>31215</v>
      </c>
      <c r="K1511" s="1" t="s">
        <v>34</v>
      </c>
      <c r="L1511" s="1" t="s">
        <v>24</v>
      </c>
      <c r="M1511" s="1" t="s">
        <v>612</v>
      </c>
      <c r="N1511" s="1">
        <v>28700</v>
      </c>
      <c r="O1511" s="12">
        <v>29000</v>
      </c>
      <c r="P1511" s="3" t="s">
        <v>46</v>
      </c>
      <c r="Q1511" s="1" cm="1">
        <f t="array" ref="Q1511">VALUE(INDEX(_xlfn.TEXTSPLIT(P1511, " "), 4))</f>
        <v>2014</v>
      </c>
      <c r="R1511" s="1" t="str">
        <f t="shared" si="23"/>
        <v>Mercedes-Benz E-Class E350 Luxury</v>
      </c>
      <c r="S1511" s="1" t="str" cm="1">
        <f t="array" ref="S1511">_xlfn.IFS(I1511 &gt;= 40, "High", I1511&gt;=20, "Medium", I1511&lt;20, "Low")</f>
        <v>High</v>
      </c>
      <c r="T1511" s="1" t="str" cm="1">
        <f t="array" ref="T1511">_xlfn.IFS(O1511&lt;18200, "Low", O1511&lt;=50000, "Medium", O1511&gt;50000, "High")</f>
        <v>Medium</v>
      </c>
    </row>
    <row r="1512" spans="1:20" x14ac:dyDescent="0.25">
      <c r="A1512" s="2">
        <v>2012</v>
      </c>
      <c r="B1512" s="1" t="s">
        <v>318</v>
      </c>
      <c r="C1512" s="1" t="s">
        <v>648</v>
      </c>
      <c r="D1512" s="1" t="s">
        <v>649</v>
      </c>
      <c r="E1512" s="1" t="s">
        <v>32</v>
      </c>
      <c r="F1512" s="1" t="s">
        <v>20</v>
      </c>
      <c r="G1512" s="1" t="s">
        <v>2269</v>
      </c>
      <c r="H1512" s="1" t="s">
        <v>22</v>
      </c>
      <c r="I1512" s="1">
        <v>42</v>
      </c>
      <c r="J1512" s="1">
        <v>21235</v>
      </c>
      <c r="K1512" s="1" t="s">
        <v>101</v>
      </c>
      <c r="L1512" s="1" t="s">
        <v>24</v>
      </c>
      <c r="M1512" s="1" t="s">
        <v>322</v>
      </c>
      <c r="N1512" s="1">
        <v>27900</v>
      </c>
      <c r="O1512" s="12">
        <v>28000</v>
      </c>
      <c r="P1512" s="3" t="s">
        <v>36</v>
      </c>
      <c r="Q1512" s="1" cm="1">
        <f t="array" ref="Q1512">VALUE(INDEX(_xlfn.TEXTSPLIT(P1512, " "), 4))</f>
        <v>2015</v>
      </c>
      <c r="R1512" s="1" t="str">
        <f t="shared" si="23"/>
        <v>Infiniti M M37</v>
      </c>
      <c r="S1512" s="1" t="str" cm="1">
        <f t="array" ref="S1512">_xlfn.IFS(I1512 &gt;= 40, "High", I1512&gt;=20, "Medium", I1512&lt;20, "Low")</f>
        <v>High</v>
      </c>
      <c r="T1512" s="1" t="str" cm="1">
        <f t="array" ref="T1512">_xlfn.IFS(O1512&lt;18200, "Low", O1512&lt;=50000, "Medium", O1512&gt;50000, "High")</f>
        <v>Medium</v>
      </c>
    </row>
    <row r="1513" spans="1:20" x14ac:dyDescent="0.25">
      <c r="A1513" s="2">
        <v>2012</v>
      </c>
      <c r="B1513" s="1" t="s">
        <v>318</v>
      </c>
      <c r="C1513" s="1" t="s">
        <v>319</v>
      </c>
      <c r="D1513" s="1" t="s">
        <v>1965</v>
      </c>
      <c r="E1513" s="1" t="s">
        <v>319</v>
      </c>
      <c r="F1513" s="1" t="s">
        <v>214</v>
      </c>
      <c r="G1513" s="1" t="s">
        <v>2270</v>
      </c>
      <c r="H1513" s="1" t="s">
        <v>22</v>
      </c>
      <c r="I1513" s="1">
        <v>34</v>
      </c>
      <c r="J1513" s="1">
        <v>28778</v>
      </c>
      <c r="K1513" s="1" t="s">
        <v>23</v>
      </c>
      <c r="L1513" s="1" t="s">
        <v>24</v>
      </c>
      <c r="M1513" s="1" t="s">
        <v>322</v>
      </c>
      <c r="N1513" s="1">
        <v>24200</v>
      </c>
      <c r="O1513" s="12">
        <v>23750</v>
      </c>
      <c r="P1513" s="3" t="s">
        <v>173</v>
      </c>
      <c r="Q1513" s="1" cm="1">
        <f t="array" ref="Q1513">VALUE(INDEX(_xlfn.TEXTSPLIT(P1513, " "), 4))</f>
        <v>2015</v>
      </c>
      <c r="R1513" s="1" t="str">
        <f t="shared" si="23"/>
        <v>Infiniti G Coupe G37</v>
      </c>
      <c r="S1513" s="1" t="str" cm="1">
        <f t="array" ref="S1513">_xlfn.IFS(I1513 &gt;= 40, "High", I1513&gt;=20, "Medium", I1513&lt;20, "Low")</f>
        <v>Medium</v>
      </c>
      <c r="T1513" s="1" t="str" cm="1">
        <f t="array" ref="T1513">_xlfn.IFS(O1513&lt;18200, "Low", O1513&lt;=50000, "Medium", O1513&gt;50000, "High")</f>
        <v>Medium</v>
      </c>
    </row>
    <row r="1514" spans="1:20" x14ac:dyDescent="0.25">
      <c r="A1514" s="2">
        <v>2012</v>
      </c>
      <c r="B1514" s="1" t="s">
        <v>202</v>
      </c>
      <c r="C1514" s="1" t="s">
        <v>2074</v>
      </c>
      <c r="D1514" s="1" t="s">
        <v>54</v>
      </c>
      <c r="E1514" s="1" t="s">
        <v>32</v>
      </c>
      <c r="F1514" s="1" t="s">
        <v>20</v>
      </c>
      <c r="G1514" s="1" t="s">
        <v>2271</v>
      </c>
      <c r="H1514" s="1" t="s">
        <v>22</v>
      </c>
      <c r="I1514" s="1">
        <v>37</v>
      </c>
      <c r="J1514" s="1">
        <v>52392</v>
      </c>
      <c r="K1514" s="1" t="s">
        <v>24</v>
      </c>
      <c r="L1514" s="1" t="s">
        <v>24</v>
      </c>
      <c r="M1514" s="1" t="s">
        <v>555</v>
      </c>
      <c r="N1514" s="1">
        <v>21200</v>
      </c>
      <c r="O1514" s="12">
        <v>21250</v>
      </c>
      <c r="P1514" s="3" t="s">
        <v>46</v>
      </c>
      <c r="Q1514" s="1" cm="1">
        <f t="array" ref="Q1514">VALUE(INDEX(_xlfn.TEXTSPLIT(P1514, " "), 4))</f>
        <v>2014</v>
      </c>
      <c r="R1514" s="1" t="str">
        <f t="shared" si="23"/>
        <v>Lexus IS 250 Base</v>
      </c>
      <c r="S1514" s="1" t="str" cm="1">
        <f t="array" ref="S1514">_xlfn.IFS(I1514 &gt;= 40, "High", I1514&gt;=20, "Medium", I1514&lt;20, "Low")</f>
        <v>Medium</v>
      </c>
      <c r="T1514" s="1" t="str" cm="1">
        <f t="array" ref="T1514">_xlfn.IFS(O1514&lt;18200, "Low", O1514&lt;=50000, "Medium", O1514&gt;50000, "High")</f>
        <v>Medium</v>
      </c>
    </row>
    <row r="1515" spans="1:20" x14ac:dyDescent="0.25">
      <c r="A1515" s="2">
        <v>2012</v>
      </c>
      <c r="B1515" s="1" t="s">
        <v>318</v>
      </c>
      <c r="C1515" s="1" t="s">
        <v>319</v>
      </c>
      <c r="D1515" s="1" t="s">
        <v>1965</v>
      </c>
      <c r="E1515" s="1" t="s">
        <v>319</v>
      </c>
      <c r="F1515" s="1" t="s">
        <v>214</v>
      </c>
      <c r="G1515" s="1" t="s">
        <v>2272</v>
      </c>
      <c r="H1515" s="1" t="s">
        <v>22</v>
      </c>
      <c r="I1515" s="1">
        <v>4</v>
      </c>
      <c r="J1515" s="1">
        <v>9633</v>
      </c>
      <c r="K1515" s="1" t="s">
        <v>24</v>
      </c>
      <c r="L1515" s="1" t="s">
        <v>24</v>
      </c>
      <c r="M1515" s="1" t="s">
        <v>322</v>
      </c>
      <c r="N1515" s="1">
        <v>25900</v>
      </c>
      <c r="O1515" s="12">
        <v>27500</v>
      </c>
      <c r="P1515" s="3" t="s">
        <v>46</v>
      </c>
      <c r="Q1515" s="1" cm="1">
        <f t="array" ref="Q1515">VALUE(INDEX(_xlfn.TEXTSPLIT(P1515, " "), 4))</f>
        <v>2014</v>
      </c>
      <c r="R1515" s="1" t="str">
        <f t="shared" si="23"/>
        <v>Infiniti G Coupe G37</v>
      </c>
      <c r="S1515" s="1" t="str" cm="1">
        <f t="array" ref="S1515">_xlfn.IFS(I1515 &gt;= 40, "High", I1515&gt;=20, "Medium", I1515&lt;20, "Low")</f>
        <v>Low</v>
      </c>
      <c r="T1515" s="1" t="str" cm="1">
        <f t="array" ref="T1515">_xlfn.IFS(O1515&lt;18200, "Low", O1515&lt;=50000, "Medium", O1515&gt;50000, "High")</f>
        <v>Medium</v>
      </c>
    </row>
    <row r="1516" spans="1:20" x14ac:dyDescent="0.25">
      <c r="A1516" s="2">
        <v>2012</v>
      </c>
      <c r="B1516" s="1"/>
      <c r="C1516" s="1"/>
      <c r="D1516" s="1"/>
      <c r="E1516" s="1"/>
      <c r="F1516" s="1" t="s">
        <v>20</v>
      </c>
      <c r="G1516" s="1" t="s">
        <v>2273</v>
      </c>
      <c r="H1516" s="1" t="s">
        <v>22</v>
      </c>
      <c r="I1516" s="1">
        <v>29</v>
      </c>
      <c r="J1516" s="1">
        <v>60828</v>
      </c>
      <c r="K1516" s="1" t="s">
        <v>24</v>
      </c>
      <c r="L1516" s="1" t="s">
        <v>24</v>
      </c>
      <c r="M1516" s="1" t="s">
        <v>555</v>
      </c>
      <c r="N1516" s="1">
        <v>47600</v>
      </c>
      <c r="O1516" s="12">
        <v>40500</v>
      </c>
      <c r="P1516" s="3" t="s">
        <v>36</v>
      </c>
      <c r="Q1516" s="1" cm="1">
        <f t="array" ref="Q1516">VALUE(INDEX(_xlfn.TEXTSPLIT(P1516, " "), 4))</f>
        <v>2015</v>
      </c>
      <c r="R1516" s="1" t="str">
        <f t="shared" si="23"/>
        <v/>
      </c>
      <c r="S1516" s="1" t="str" cm="1">
        <f t="array" ref="S1516">_xlfn.IFS(I1516 &gt;= 40, "High", I1516&gt;=20, "Medium", I1516&lt;20, "Low")</f>
        <v>Medium</v>
      </c>
      <c r="T1516" s="1" t="str" cm="1">
        <f t="array" ref="T1516">_xlfn.IFS(O1516&lt;18200, "Low", O1516&lt;=50000, "Medium", O1516&gt;50000, "High")</f>
        <v>Medium</v>
      </c>
    </row>
    <row r="1517" spans="1:20" x14ac:dyDescent="0.25">
      <c r="A1517" s="2">
        <v>2012</v>
      </c>
      <c r="B1517" s="1" t="s">
        <v>632</v>
      </c>
      <c r="C1517" s="1" t="s">
        <v>737</v>
      </c>
      <c r="D1517" s="1" t="s">
        <v>368</v>
      </c>
      <c r="E1517" s="1" t="s">
        <v>738</v>
      </c>
      <c r="F1517" s="1" t="s">
        <v>20</v>
      </c>
      <c r="G1517" s="1" t="s">
        <v>2274</v>
      </c>
      <c r="H1517" s="1" t="s">
        <v>22</v>
      </c>
      <c r="I1517" s="1">
        <v>27</v>
      </c>
      <c r="J1517" s="1">
        <v>71064</v>
      </c>
      <c r="K1517" s="1" t="s">
        <v>34</v>
      </c>
      <c r="L1517" s="1" t="s">
        <v>24</v>
      </c>
      <c r="M1517" s="1" t="s">
        <v>635</v>
      </c>
      <c r="N1517" s="1">
        <v>8250</v>
      </c>
      <c r="O1517" s="12">
        <v>10800</v>
      </c>
      <c r="P1517" s="3" t="s">
        <v>68</v>
      </c>
      <c r="Q1517" s="1" cm="1">
        <f t="array" ref="Q1517">VALUE(INDEX(_xlfn.TEXTSPLIT(P1517, " "), 4))</f>
        <v>2014</v>
      </c>
      <c r="R1517" s="1" t="str">
        <f t="shared" si="23"/>
        <v>Mazda Mazda5 Sport</v>
      </c>
      <c r="S1517" s="1" t="str" cm="1">
        <f t="array" ref="S1517">_xlfn.IFS(I1517 &gt;= 40, "High", I1517&gt;=20, "Medium", I1517&lt;20, "Low")</f>
        <v>Medium</v>
      </c>
      <c r="T1517" s="1" t="str" cm="1">
        <f t="array" ref="T1517">_xlfn.IFS(O1517&lt;18200, "Low", O1517&lt;=50000, "Medium", O1517&gt;50000, "High")</f>
        <v>Low</v>
      </c>
    </row>
    <row r="1518" spans="1:20" x14ac:dyDescent="0.25">
      <c r="A1518" s="2">
        <v>2012</v>
      </c>
      <c r="B1518" s="1" t="s">
        <v>16</v>
      </c>
      <c r="C1518" s="1" t="s">
        <v>655</v>
      </c>
      <c r="D1518" s="1" t="s">
        <v>54</v>
      </c>
      <c r="E1518" s="1" t="s">
        <v>130</v>
      </c>
      <c r="F1518" s="1" t="s">
        <v>20</v>
      </c>
      <c r="G1518" s="1" t="s">
        <v>2275</v>
      </c>
      <c r="H1518" s="1" t="s">
        <v>22</v>
      </c>
      <c r="I1518" s="1">
        <v>1</v>
      </c>
      <c r="J1518" s="1">
        <v>27086</v>
      </c>
      <c r="K1518" s="1" t="s">
        <v>24</v>
      </c>
      <c r="L1518" s="1" t="s">
        <v>24</v>
      </c>
      <c r="M1518" s="1" t="s">
        <v>83</v>
      </c>
      <c r="N1518" s="1">
        <v>10150</v>
      </c>
      <c r="O1518" s="12">
        <v>3600</v>
      </c>
      <c r="P1518" s="3" t="s">
        <v>256</v>
      </c>
      <c r="Q1518" s="1" cm="1">
        <f t="array" ref="Q1518">VALUE(INDEX(_xlfn.TEXTSPLIT(P1518, " "), 4))</f>
        <v>2015</v>
      </c>
      <c r="R1518" s="1" t="str">
        <f t="shared" si="23"/>
        <v>Kia Soul Base</v>
      </c>
      <c r="S1518" s="1" t="str" cm="1">
        <f t="array" ref="S1518">_xlfn.IFS(I1518 &gt;= 40, "High", I1518&gt;=20, "Medium", I1518&lt;20, "Low")</f>
        <v>Low</v>
      </c>
      <c r="T1518" s="1" t="str" cm="1">
        <f t="array" ref="T1518">_xlfn.IFS(O1518&lt;18200, "Low", O1518&lt;=50000, "Medium", O1518&gt;50000, "High")</f>
        <v>Low</v>
      </c>
    </row>
    <row r="1519" spans="1:20" x14ac:dyDescent="0.25">
      <c r="A1519" s="2">
        <v>2012</v>
      </c>
      <c r="B1519" s="1" t="s">
        <v>202</v>
      </c>
      <c r="C1519" s="1" t="s">
        <v>670</v>
      </c>
      <c r="D1519" s="1" t="s">
        <v>54</v>
      </c>
      <c r="E1519" s="1" t="s">
        <v>32</v>
      </c>
      <c r="F1519" s="1" t="s">
        <v>20</v>
      </c>
      <c r="G1519" s="1" t="s">
        <v>2276</v>
      </c>
      <c r="H1519" s="1" t="s">
        <v>22</v>
      </c>
      <c r="I1519" s="1">
        <v>39</v>
      </c>
      <c r="J1519" s="1">
        <v>31675</v>
      </c>
      <c r="K1519" s="1" t="s">
        <v>91</v>
      </c>
      <c r="L1519" s="1" t="s">
        <v>24</v>
      </c>
      <c r="M1519" s="1" t="s">
        <v>205</v>
      </c>
      <c r="N1519" s="1">
        <v>22800</v>
      </c>
      <c r="O1519" s="12">
        <v>24100</v>
      </c>
      <c r="P1519" s="3" t="s">
        <v>57</v>
      </c>
      <c r="Q1519" s="1" cm="1">
        <f t="array" ref="Q1519">VALUE(INDEX(_xlfn.TEXTSPLIT(P1519, " "), 4))</f>
        <v>2014</v>
      </c>
      <c r="R1519" s="1" t="str">
        <f t="shared" si="23"/>
        <v>Lexus ES 350 Base</v>
      </c>
      <c r="S1519" s="1" t="str" cm="1">
        <f t="array" ref="S1519">_xlfn.IFS(I1519 &gt;= 40, "High", I1519&gt;=20, "Medium", I1519&lt;20, "Low")</f>
        <v>Medium</v>
      </c>
      <c r="T1519" s="1" t="str" cm="1">
        <f t="array" ref="T1519">_xlfn.IFS(O1519&lt;18200, "Low", O1519&lt;=50000, "Medium", O1519&gt;50000, "High")</f>
        <v>Medium</v>
      </c>
    </row>
    <row r="1520" spans="1:20" x14ac:dyDescent="0.25">
      <c r="A1520" s="2">
        <v>2012</v>
      </c>
      <c r="B1520" s="1" t="s">
        <v>202</v>
      </c>
      <c r="C1520" s="1" t="s">
        <v>2074</v>
      </c>
      <c r="D1520" s="1" t="s">
        <v>54</v>
      </c>
      <c r="E1520" s="1" t="s">
        <v>32</v>
      </c>
      <c r="F1520" s="1" t="s">
        <v>20</v>
      </c>
      <c r="G1520" s="1" t="s">
        <v>2277</v>
      </c>
      <c r="H1520" s="1" t="s">
        <v>22</v>
      </c>
      <c r="I1520" s="1">
        <v>36</v>
      </c>
      <c r="J1520" s="1">
        <v>23023</v>
      </c>
      <c r="K1520" s="1" t="s">
        <v>94</v>
      </c>
      <c r="L1520" s="1" t="s">
        <v>28</v>
      </c>
      <c r="M1520" s="1" t="s">
        <v>205</v>
      </c>
      <c r="N1520" s="1">
        <v>22400</v>
      </c>
      <c r="O1520" s="12">
        <v>21500</v>
      </c>
      <c r="P1520" s="3" t="s">
        <v>1108</v>
      </c>
      <c r="Q1520" s="1" cm="1">
        <f t="array" ref="Q1520">VALUE(INDEX(_xlfn.TEXTSPLIT(P1520, " "), 4))</f>
        <v>2014</v>
      </c>
      <c r="R1520" s="1" t="str">
        <f t="shared" si="23"/>
        <v>Lexus IS 250 Base</v>
      </c>
      <c r="S1520" s="1" t="str" cm="1">
        <f t="array" ref="S1520">_xlfn.IFS(I1520 &gt;= 40, "High", I1520&gt;=20, "Medium", I1520&lt;20, "Low")</f>
        <v>Medium</v>
      </c>
      <c r="T1520" s="1" t="str" cm="1">
        <f t="array" ref="T1520">_xlfn.IFS(O1520&lt;18200, "Low", O1520&lt;=50000, "Medium", O1520&gt;50000, "High")</f>
        <v>Medium</v>
      </c>
    </row>
    <row r="1521" spans="1:20" x14ac:dyDescent="0.25">
      <c r="A1521" s="2">
        <v>2012</v>
      </c>
      <c r="B1521" s="1" t="s">
        <v>318</v>
      </c>
      <c r="C1521" s="1" t="s">
        <v>323</v>
      </c>
      <c r="D1521" s="1" t="s">
        <v>324</v>
      </c>
      <c r="E1521" s="1" t="s">
        <v>323</v>
      </c>
      <c r="F1521" s="1" t="s">
        <v>20</v>
      </c>
      <c r="G1521" s="1" t="s">
        <v>2278</v>
      </c>
      <c r="H1521" s="1" t="s">
        <v>22</v>
      </c>
      <c r="I1521" s="1">
        <v>42</v>
      </c>
      <c r="J1521" s="1">
        <v>31852</v>
      </c>
      <c r="K1521" s="1" t="s">
        <v>101</v>
      </c>
      <c r="L1521" s="1" t="s">
        <v>24</v>
      </c>
      <c r="M1521" s="1" t="s">
        <v>322</v>
      </c>
      <c r="N1521" s="1">
        <v>21600</v>
      </c>
      <c r="O1521" s="12">
        <v>21250</v>
      </c>
      <c r="P1521" s="3" t="s">
        <v>46</v>
      </c>
      <c r="Q1521" s="1" cm="1">
        <f t="array" ref="Q1521">VALUE(INDEX(_xlfn.TEXTSPLIT(P1521, " "), 4))</f>
        <v>2014</v>
      </c>
      <c r="R1521" s="1" t="str">
        <f t="shared" si="23"/>
        <v>Infiniti G Sedan G37 Journey</v>
      </c>
      <c r="S1521" s="1" t="str" cm="1">
        <f t="array" ref="S1521">_xlfn.IFS(I1521 &gt;= 40, "High", I1521&gt;=20, "Medium", I1521&lt;20, "Low")</f>
        <v>High</v>
      </c>
      <c r="T1521" s="1" t="str" cm="1">
        <f t="array" ref="T1521">_xlfn.IFS(O1521&lt;18200, "Low", O1521&lt;=50000, "Medium", O1521&gt;50000, "High")</f>
        <v>Medium</v>
      </c>
    </row>
    <row r="1522" spans="1:20" x14ac:dyDescent="0.25">
      <c r="A1522" s="2">
        <v>2012</v>
      </c>
      <c r="B1522" s="1" t="s">
        <v>318</v>
      </c>
      <c r="C1522" s="1" t="s">
        <v>648</v>
      </c>
      <c r="D1522" s="1" t="s">
        <v>2279</v>
      </c>
      <c r="E1522" s="1" t="s">
        <v>32</v>
      </c>
      <c r="F1522" s="1" t="s">
        <v>20</v>
      </c>
      <c r="G1522" s="1" t="s">
        <v>2280</v>
      </c>
      <c r="H1522" s="1" t="s">
        <v>22</v>
      </c>
      <c r="I1522" s="1">
        <v>43</v>
      </c>
      <c r="J1522" s="1">
        <v>36721</v>
      </c>
      <c r="K1522" s="1" t="s">
        <v>34</v>
      </c>
      <c r="L1522" s="1" t="s">
        <v>24</v>
      </c>
      <c r="M1522" s="1" t="s">
        <v>322</v>
      </c>
      <c r="N1522" s="1">
        <v>25700</v>
      </c>
      <c r="O1522" s="12">
        <v>27250</v>
      </c>
      <c r="P1522" s="3" t="s">
        <v>173</v>
      </c>
      <c r="Q1522" s="1" cm="1">
        <f t="array" ref="Q1522">VALUE(INDEX(_xlfn.TEXTSPLIT(P1522, " "), 4))</f>
        <v>2015</v>
      </c>
      <c r="R1522" s="1" t="str">
        <f t="shared" si="23"/>
        <v>Infiniti M M37x</v>
      </c>
      <c r="S1522" s="1" t="str" cm="1">
        <f t="array" ref="S1522">_xlfn.IFS(I1522 &gt;= 40, "High", I1522&gt;=20, "Medium", I1522&lt;20, "Low")</f>
        <v>High</v>
      </c>
      <c r="T1522" s="1" t="str" cm="1">
        <f t="array" ref="T1522">_xlfn.IFS(O1522&lt;18200, "Low", O1522&lt;=50000, "Medium", O1522&gt;50000, "High")</f>
        <v>Medium</v>
      </c>
    </row>
    <row r="1523" spans="1:20" x14ac:dyDescent="0.25">
      <c r="A1523" s="2">
        <v>2012</v>
      </c>
      <c r="B1523" s="1" t="s">
        <v>318</v>
      </c>
      <c r="C1523" s="1" t="s">
        <v>323</v>
      </c>
      <c r="D1523" s="1" t="s">
        <v>324</v>
      </c>
      <c r="E1523" s="1" t="s">
        <v>323</v>
      </c>
      <c r="F1523" s="1" t="s">
        <v>20</v>
      </c>
      <c r="G1523" s="1" t="s">
        <v>2281</v>
      </c>
      <c r="H1523" s="1" t="s">
        <v>22</v>
      </c>
      <c r="I1523" s="1">
        <v>39</v>
      </c>
      <c r="J1523" s="1">
        <v>23842</v>
      </c>
      <c r="K1523" s="1" t="s">
        <v>23</v>
      </c>
      <c r="L1523" s="1" t="s">
        <v>24</v>
      </c>
      <c r="M1523" s="1" t="s">
        <v>322</v>
      </c>
      <c r="N1523" s="1">
        <v>22400</v>
      </c>
      <c r="O1523" s="12">
        <v>23250</v>
      </c>
      <c r="P1523" s="3" t="s">
        <v>46</v>
      </c>
      <c r="Q1523" s="1" cm="1">
        <f t="array" ref="Q1523">VALUE(INDEX(_xlfn.TEXTSPLIT(P1523, " "), 4))</f>
        <v>2014</v>
      </c>
      <c r="R1523" s="1" t="str">
        <f t="shared" si="23"/>
        <v>Infiniti G Sedan G37 Journey</v>
      </c>
      <c r="S1523" s="1" t="str" cm="1">
        <f t="array" ref="S1523">_xlfn.IFS(I1523 &gt;= 40, "High", I1523&gt;=20, "Medium", I1523&lt;20, "Low")</f>
        <v>Medium</v>
      </c>
      <c r="T1523" s="1" t="str" cm="1">
        <f t="array" ref="T1523">_xlfn.IFS(O1523&lt;18200, "Low", O1523&lt;=50000, "Medium", O1523&gt;50000, "High")</f>
        <v>Medium</v>
      </c>
    </row>
    <row r="1524" spans="1:20" x14ac:dyDescent="0.25">
      <c r="A1524" s="2">
        <v>2012</v>
      </c>
      <c r="B1524" s="1" t="s">
        <v>16</v>
      </c>
      <c r="C1524" s="1" t="s">
        <v>17</v>
      </c>
      <c r="D1524" s="1" t="s">
        <v>623</v>
      </c>
      <c r="E1524" s="1" t="s">
        <v>19</v>
      </c>
      <c r="F1524" s="1" t="s">
        <v>20</v>
      </c>
      <c r="G1524" s="1" t="s">
        <v>2282</v>
      </c>
      <c r="H1524" s="1" t="s">
        <v>22</v>
      </c>
      <c r="I1524" s="1">
        <v>39</v>
      </c>
      <c r="J1524" s="1">
        <v>57480</v>
      </c>
      <c r="K1524" s="1" t="s">
        <v>23</v>
      </c>
      <c r="L1524" s="1" t="s">
        <v>24</v>
      </c>
      <c r="M1524" s="1" t="s">
        <v>83</v>
      </c>
      <c r="N1524" s="1">
        <v>18300</v>
      </c>
      <c r="O1524" s="12">
        <v>19400</v>
      </c>
      <c r="P1524" s="3" t="s">
        <v>84</v>
      </c>
      <c r="Q1524" s="1" cm="1">
        <f t="array" ref="Q1524">VALUE(INDEX(_xlfn.TEXTSPLIT(P1524, " "), 4))</f>
        <v>2014</v>
      </c>
      <c r="R1524" s="1" t="str">
        <f t="shared" si="23"/>
        <v>Kia Sorento SX</v>
      </c>
      <c r="S1524" s="1" t="str" cm="1">
        <f t="array" ref="S1524">_xlfn.IFS(I1524 &gt;= 40, "High", I1524&gt;=20, "Medium", I1524&lt;20, "Low")</f>
        <v>Medium</v>
      </c>
      <c r="T1524" s="1" t="str" cm="1">
        <f t="array" ref="T1524">_xlfn.IFS(O1524&lt;18200, "Low", O1524&lt;=50000, "Medium", O1524&gt;50000, "High")</f>
        <v>Medium</v>
      </c>
    </row>
    <row r="1525" spans="1:20" x14ac:dyDescent="0.25">
      <c r="A1525" s="2">
        <v>2012</v>
      </c>
      <c r="B1525" s="1" t="s">
        <v>318</v>
      </c>
      <c r="C1525" s="1" t="s">
        <v>323</v>
      </c>
      <c r="D1525" s="1" t="s">
        <v>324</v>
      </c>
      <c r="E1525" s="1" t="s">
        <v>323</v>
      </c>
      <c r="F1525" s="1" t="s">
        <v>20</v>
      </c>
      <c r="G1525" s="1" t="s">
        <v>2283</v>
      </c>
      <c r="H1525" s="1" t="s">
        <v>22</v>
      </c>
      <c r="I1525" s="1">
        <v>23</v>
      </c>
      <c r="J1525" s="1">
        <v>43860</v>
      </c>
      <c r="K1525" s="1" t="s">
        <v>94</v>
      </c>
      <c r="L1525" s="1" t="s">
        <v>24</v>
      </c>
      <c r="M1525" s="1" t="s">
        <v>322</v>
      </c>
      <c r="N1525" s="1">
        <v>20300</v>
      </c>
      <c r="O1525" s="12">
        <v>16750</v>
      </c>
      <c r="P1525" s="3" t="s">
        <v>26</v>
      </c>
      <c r="Q1525" s="1" cm="1">
        <f t="array" ref="Q1525">VALUE(INDEX(_xlfn.TEXTSPLIT(P1525, " "), 4))</f>
        <v>2014</v>
      </c>
      <c r="R1525" s="1" t="str">
        <f t="shared" si="23"/>
        <v>Infiniti G Sedan G37 Journey</v>
      </c>
      <c r="S1525" s="1" t="str" cm="1">
        <f t="array" ref="S1525">_xlfn.IFS(I1525 &gt;= 40, "High", I1525&gt;=20, "Medium", I1525&lt;20, "Low")</f>
        <v>Medium</v>
      </c>
      <c r="T1525" s="1" t="str" cm="1">
        <f t="array" ref="T1525">_xlfn.IFS(O1525&lt;18200, "Low", O1525&lt;=50000, "Medium", O1525&gt;50000, "High")</f>
        <v>Low</v>
      </c>
    </row>
    <row r="1526" spans="1:20" x14ac:dyDescent="0.25">
      <c r="A1526" s="2">
        <v>2012</v>
      </c>
      <c r="B1526" s="1" t="s">
        <v>318</v>
      </c>
      <c r="C1526" s="1" t="s">
        <v>323</v>
      </c>
      <c r="D1526" s="1" t="s">
        <v>324</v>
      </c>
      <c r="E1526" s="1" t="s">
        <v>323</v>
      </c>
      <c r="F1526" s="1" t="s">
        <v>20</v>
      </c>
      <c r="G1526" s="1" t="s">
        <v>2284</v>
      </c>
      <c r="H1526" s="1" t="s">
        <v>22</v>
      </c>
      <c r="I1526" s="1">
        <v>42</v>
      </c>
      <c r="J1526" s="1">
        <v>44905</v>
      </c>
      <c r="K1526" s="1" t="s">
        <v>24</v>
      </c>
      <c r="L1526" s="1" t="s">
        <v>24</v>
      </c>
      <c r="M1526" s="1" t="s">
        <v>322</v>
      </c>
      <c r="N1526" s="1">
        <v>20200</v>
      </c>
      <c r="O1526" s="12">
        <v>23000</v>
      </c>
      <c r="P1526" s="3" t="s">
        <v>57</v>
      </c>
      <c r="Q1526" s="1" cm="1">
        <f t="array" ref="Q1526">VALUE(INDEX(_xlfn.TEXTSPLIT(P1526, " "), 4))</f>
        <v>2014</v>
      </c>
      <c r="R1526" s="1" t="str">
        <f t="shared" si="23"/>
        <v>Infiniti G Sedan G37 Journey</v>
      </c>
      <c r="S1526" s="1" t="str" cm="1">
        <f t="array" ref="S1526">_xlfn.IFS(I1526 &gt;= 40, "High", I1526&gt;=20, "Medium", I1526&lt;20, "Low")</f>
        <v>High</v>
      </c>
      <c r="T1526" s="1" t="str" cm="1">
        <f t="array" ref="T1526">_xlfn.IFS(O1526&lt;18200, "Low", O1526&lt;=50000, "Medium", O1526&gt;50000, "High")</f>
        <v>Medium</v>
      </c>
    </row>
    <row r="1527" spans="1:20" x14ac:dyDescent="0.25">
      <c r="A1527" s="2">
        <v>2012</v>
      </c>
      <c r="B1527" s="1" t="s">
        <v>600</v>
      </c>
      <c r="C1527" s="1" t="s">
        <v>2071</v>
      </c>
      <c r="D1527" s="1" t="s">
        <v>368</v>
      </c>
      <c r="E1527" s="1" t="s">
        <v>19</v>
      </c>
      <c r="F1527" s="1" t="s">
        <v>20</v>
      </c>
      <c r="G1527" s="1" t="s">
        <v>2285</v>
      </c>
      <c r="H1527" s="1" t="s">
        <v>22</v>
      </c>
      <c r="I1527" s="1">
        <v>35</v>
      </c>
      <c r="J1527" s="1">
        <v>36431</v>
      </c>
      <c r="K1527" s="1" t="s">
        <v>91</v>
      </c>
      <c r="L1527" s="1" t="s">
        <v>24</v>
      </c>
      <c r="M1527" s="1" t="s">
        <v>431</v>
      </c>
      <c r="N1527" s="1">
        <v>14450</v>
      </c>
      <c r="O1527" s="12">
        <v>14100</v>
      </c>
      <c r="P1527" s="3" t="s">
        <v>270</v>
      </c>
      <c r="Q1527" s="1" cm="1">
        <f t="array" ref="Q1527">VALUE(INDEX(_xlfn.TEXTSPLIT(P1527, " "), 4))</f>
        <v>2014</v>
      </c>
      <c r="R1527" s="1" t="str">
        <f t="shared" si="23"/>
        <v>Jeep Liberty Sport</v>
      </c>
      <c r="S1527" s="1" t="str" cm="1">
        <f t="array" ref="S1527">_xlfn.IFS(I1527 &gt;= 40, "High", I1527&gt;=20, "Medium", I1527&lt;20, "Low")</f>
        <v>Medium</v>
      </c>
      <c r="T1527" s="1" t="str" cm="1">
        <f t="array" ref="T1527">_xlfn.IFS(O1527&lt;18200, "Low", O1527&lt;=50000, "Medium", O1527&gt;50000, "High")</f>
        <v>Low</v>
      </c>
    </row>
    <row r="1528" spans="1:20" x14ac:dyDescent="0.25">
      <c r="A1528" s="2">
        <v>2012</v>
      </c>
      <c r="B1528" s="1" t="s">
        <v>318</v>
      </c>
      <c r="C1528" s="1" t="s">
        <v>323</v>
      </c>
      <c r="D1528" s="1" t="s">
        <v>324</v>
      </c>
      <c r="E1528" s="1" t="s">
        <v>323</v>
      </c>
      <c r="F1528" s="1" t="s">
        <v>20</v>
      </c>
      <c r="G1528" s="1" t="s">
        <v>2286</v>
      </c>
      <c r="H1528" s="1" t="s">
        <v>22</v>
      </c>
      <c r="I1528" s="1">
        <v>44</v>
      </c>
      <c r="J1528" s="1">
        <v>17031</v>
      </c>
      <c r="K1528" s="1" t="s">
        <v>94</v>
      </c>
      <c r="L1528" s="1" t="s">
        <v>24</v>
      </c>
      <c r="M1528" s="1" t="s">
        <v>322</v>
      </c>
      <c r="N1528" s="1">
        <v>23200</v>
      </c>
      <c r="O1528" s="12">
        <v>21000</v>
      </c>
      <c r="P1528" s="3" t="s">
        <v>46</v>
      </c>
      <c r="Q1528" s="1" cm="1">
        <f t="array" ref="Q1528">VALUE(INDEX(_xlfn.TEXTSPLIT(P1528, " "), 4))</f>
        <v>2014</v>
      </c>
      <c r="R1528" s="1" t="str">
        <f t="shared" si="23"/>
        <v>Infiniti G Sedan G37 Journey</v>
      </c>
      <c r="S1528" s="1" t="str" cm="1">
        <f t="array" ref="S1528">_xlfn.IFS(I1528 &gt;= 40, "High", I1528&gt;=20, "Medium", I1528&lt;20, "Low")</f>
        <v>High</v>
      </c>
      <c r="T1528" s="1" t="str" cm="1">
        <f t="array" ref="T1528">_xlfn.IFS(O1528&lt;18200, "Low", O1528&lt;=50000, "Medium", O1528&gt;50000, "High")</f>
        <v>Medium</v>
      </c>
    </row>
    <row r="1529" spans="1:20" x14ac:dyDescent="0.25">
      <c r="A1529" s="2">
        <v>2012</v>
      </c>
      <c r="B1529" s="1" t="s">
        <v>318</v>
      </c>
      <c r="C1529" s="1" t="s">
        <v>323</v>
      </c>
      <c r="D1529" s="1" t="s">
        <v>324</v>
      </c>
      <c r="E1529" s="1" t="s">
        <v>323</v>
      </c>
      <c r="F1529" s="1" t="s">
        <v>20</v>
      </c>
      <c r="G1529" s="1" t="s">
        <v>2287</v>
      </c>
      <c r="H1529" s="1" t="s">
        <v>22</v>
      </c>
      <c r="I1529" s="1">
        <v>42</v>
      </c>
      <c r="J1529" s="1">
        <v>29871</v>
      </c>
      <c r="K1529" s="1" t="s">
        <v>94</v>
      </c>
      <c r="L1529" s="1" t="s">
        <v>24</v>
      </c>
      <c r="M1529" s="1" t="s">
        <v>322</v>
      </c>
      <c r="N1529" s="1">
        <v>21800</v>
      </c>
      <c r="O1529" s="12">
        <v>21750</v>
      </c>
      <c r="P1529" s="3" t="s">
        <v>46</v>
      </c>
      <c r="Q1529" s="1" cm="1">
        <f t="array" ref="Q1529">VALUE(INDEX(_xlfn.TEXTSPLIT(P1529, " "), 4))</f>
        <v>2014</v>
      </c>
      <c r="R1529" s="1" t="str">
        <f t="shared" si="23"/>
        <v>Infiniti G Sedan G37 Journey</v>
      </c>
      <c r="S1529" s="1" t="str" cm="1">
        <f t="array" ref="S1529">_xlfn.IFS(I1529 &gt;= 40, "High", I1529&gt;=20, "Medium", I1529&lt;20, "Low")</f>
        <v>High</v>
      </c>
      <c r="T1529" s="1" t="str" cm="1">
        <f t="array" ref="T1529">_xlfn.IFS(O1529&lt;18200, "Low", O1529&lt;=50000, "Medium", O1529&gt;50000, "High")</f>
        <v>Medium</v>
      </c>
    </row>
    <row r="1530" spans="1:20" x14ac:dyDescent="0.25">
      <c r="A1530" s="2">
        <v>2012</v>
      </c>
      <c r="B1530" s="1" t="s">
        <v>318</v>
      </c>
      <c r="C1530" s="1" t="s">
        <v>648</v>
      </c>
      <c r="D1530" s="1" t="s">
        <v>2279</v>
      </c>
      <c r="E1530" s="1" t="s">
        <v>32</v>
      </c>
      <c r="F1530" s="1" t="s">
        <v>20</v>
      </c>
      <c r="G1530" s="1" t="s">
        <v>2288</v>
      </c>
      <c r="H1530" s="1" t="s">
        <v>22</v>
      </c>
      <c r="I1530" s="1">
        <v>38</v>
      </c>
      <c r="J1530" s="1">
        <v>35421</v>
      </c>
      <c r="K1530" s="1" t="s">
        <v>24</v>
      </c>
      <c r="L1530" s="1" t="s">
        <v>24</v>
      </c>
      <c r="M1530" s="1" t="s">
        <v>322</v>
      </c>
      <c r="N1530" s="1">
        <v>26300</v>
      </c>
      <c r="O1530" s="12">
        <v>27750</v>
      </c>
      <c r="P1530" s="3" t="s">
        <v>46</v>
      </c>
      <c r="Q1530" s="1" cm="1">
        <f t="array" ref="Q1530">VALUE(INDEX(_xlfn.TEXTSPLIT(P1530, " "), 4))</f>
        <v>2014</v>
      </c>
      <c r="R1530" s="1" t="str">
        <f t="shared" si="23"/>
        <v>Infiniti M M37x</v>
      </c>
      <c r="S1530" s="1" t="str" cm="1">
        <f t="array" ref="S1530">_xlfn.IFS(I1530 &gt;= 40, "High", I1530&gt;=20, "Medium", I1530&lt;20, "Low")</f>
        <v>Medium</v>
      </c>
      <c r="T1530" s="1" t="str" cm="1">
        <f t="array" ref="T1530">_xlfn.IFS(O1530&lt;18200, "Low", O1530&lt;=50000, "Medium", O1530&gt;50000, "High")</f>
        <v>Medium</v>
      </c>
    </row>
    <row r="1531" spans="1:20" x14ac:dyDescent="0.25">
      <c r="A1531" s="2">
        <v>2012</v>
      </c>
      <c r="B1531" s="1" t="s">
        <v>681</v>
      </c>
      <c r="C1531" s="1" t="s">
        <v>684</v>
      </c>
      <c r="D1531" s="1" t="s">
        <v>54</v>
      </c>
      <c r="E1531" s="1" t="s">
        <v>227</v>
      </c>
      <c r="F1531" s="1" t="s">
        <v>20</v>
      </c>
      <c r="G1531" s="1" t="s">
        <v>2289</v>
      </c>
      <c r="H1531" s="1" t="s">
        <v>22</v>
      </c>
      <c r="I1531" s="1">
        <v>3</v>
      </c>
      <c r="J1531" s="1">
        <v>21054</v>
      </c>
      <c r="K1531" s="1" t="s">
        <v>73</v>
      </c>
      <c r="L1531" s="1" t="s">
        <v>101</v>
      </c>
      <c r="M1531" s="1" t="s">
        <v>686</v>
      </c>
      <c r="N1531" s="1">
        <v>14150</v>
      </c>
      <c r="O1531" s="12">
        <v>13750</v>
      </c>
      <c r="P1531" s="3" t="s">
        <v>36</v>
      </c>
      <c r="Q1531" s="1" cm="1">
        <f t="array" ref="Q1531">VALUE(INDEX(_xlfn.TEXTSPLIT(P1531, " "), 4))</f>
        <v>2015</v>
      </c>
      <c r="R1531" s="1" t="str">
        <f t="shared" si="23"/>
        <v>MINI Cooper Base</v>
      </c>
      <c r="S1531" s="1" t="str" cm="1">
        <f t="array" ref="S1531">_xlfn.IFS(I1531 &gt;= 40, "High", I1531&gt;=20, "Medium", I1531&lt;20, "Low")</f>
        <v>Low</v>
      </c>
      <c r="T1531" s="1" t="str" cm="1">
        <f t="array" ref="T1531">_xlfn.IFS(O1531&lt;18200, "Low", O1531&lt;=50000, "Medium", O1531&gt;50000, "High")</f>
        <v>Low</v>
      </c>
    </row>
    <row r="1532" spans="1:20" x14ac:dyDescent="0.25">
      <c r="A1532" s="2">
        <v>2012</v>
      </c>
      <c r="B1532" s="1" t="s">
        <v>318</v>
      </c>
      <c r="C1532" s="1" t="s">
        <v>648</v>
      </c>
      <c r="D1532" s="1" t="s">
        <v>649</v>
      </c>
      <c r="E1532" s="1" t="s">
        <v>32</v>
      </c>
      <c r="F1532" s="1" t="s">
        <v>20</v>
      </c>
      <c r="G1532" s="1" t="s">
        <v>2290</v>
      </c>
      <c r="H1532" s="1" t="s">
        <v>22</v>
      </c>
      <c r="I1532" s="1">
        <v>39</v>
      </c>
      <c r="J1532" s="1">
        <v>31821</v>
      </c>
      <c r="K1532" s="1" t="s">
        <v>24</v>
      </c>
      <c r="L1532" s="1" t="s">
        <v>24</v>
      </c>
      <c r="M1532" s="1" t="s">
        <v>322</v>
      </c>
      <c r="N1532" s="1">
        <v>27400</v>
      </c>
      <c r="O1532" s="12">
        <v>25500</v>
      </c>
      <c r="P1532" s="3" t="s">
        <v>46</v>
      </c>
      <c r="Q1532" s="1" cm="1">
        <f t="array" ref="Q1532">VALUE(INDEX(_xlfn.TEXTSPLIT(P1532, " "), 4))</f>
        <v>2014</v>
      </c>
      <c r="R1532" s="1" t="str">
        <f t="shared" si="23"/>
        <v>Infiniti M M37</v>
      </c>
      <c r="S1532" s="1" t="str" cm="1">
        <f t="array" ref="S1532">_xlfn.IFS(I1532 &gt;= 40, "High", I1532&gt;=20, "Medium", I1532&lt;20, "Low")</f>
        <v>Medium</v>
      </c>
      <c r="T1532" s="1" t="str" cm="1">
        <f t="array" ref="T1532">_xlfn.IFS(O1532&lt;18200, "Low", O1532&lt;=50000, "Medium", O1532&gt;50000, "High")</f>
        <v>Medium</v>
      </c>
    </row>
    <row r="1533" spans="1:20" x14ac:dyDescent="0.25">
      <c r="A1533" s="2">
        <v>2012</v>
      </c>
      <c r="B1533" s="1" t="s">
        <v>318</v>
      </c>
      <c r="C1533" s="1" t="s">
        <v>323</v>
      </c>
      <c r="D1533" s="1" t="s">
        <v>324</v>
      </c>
      <c r="E1533" s="1" t="s">
        <v>323</v>
      </c>
      <c r="F1533" s="1" t="s">
        <v>20</v>
      </c>
      <c r="G1533" s="1" t="s">
        <v>2291</v>
      </c>
      <c r="H1533" s="1" t="s">
        <v>22</v>
      </c>
      <c r="I1533" s="1">
        <v>42</v>
      </c>
      <c r="J1533" s="1">
        <v>42321</v>
      </c>
      <c r="K1533" s="1" t="s">
        <v>24</v>
      </c>
      <c r="L1533" s="1" t="s">
        <v>24</v>
      </c>
      <c r="M1533" s="1" t="s">
        <v>322</v>
      </c>
      <c r="N1533" s="1">
        <v>20400</v>
      </c>
      <c r="O1533" s="12">
        <v>21000</v>
      </c>
      <c r="P1533" s="3" t="s">
        <v>46</v>
      </c>
      <c r="Q1533" s="1" cm="1">
        <f t="array" ref="Q1533">VALUE(INDEX(_xlfn.TEXTSPLIT(P1533, " "), 4))</f>
        <v>2014</v>
      </c>
      <c r="R1533" s="1" t="str">
        <f t="shared" si="23"/>
        <v>Infiniti G Sedan G37 Journey</v>
      </c>
      <c r="S1533" s="1" t="str" cm="1">
        <f t="array" ref="S1533">_xlfn.IFS(I1533 &gt;= 40, "High", I1533&gt;=20, "Medium", I1533&lt;20, "Low")</f>
        <v>High</v>
      </c>
      <c r="T1533" s="1" t="str" cm="1">
        <f t="array" ref="T1533">_xlfn.IFS(O1533&lt;18200, "Low", O1533&lt;=50000, "Medium", O1533&gt;50000, "High")</f>
        <v>Medium</v>
      </c>
    </row>
    <row r="1534" spans="1:20" x14ac:dyDescent="0.25">
      <c r="A1534" s="2">
        <v>2012</v>
      </c>
      <c r="B1534" s="1" t="s">
        <v>318</v>
      </c>
      <c r="C1534" s="1" t="s">
        <v>319</v>
      </c>
      <c r="D1534" s="1" t="s">
        <v>1965</v>
      </c>
      <c r="E1534" s="1" t="s">
        <v>319</v>
      </c>
      <c r="F1534" s="1" t="s">
        <v>20</v>
      </c>
      <c r="G1534" s="1" t="s">
        <v>2292</v>
      </c>
      <c r="H1534" s="1" t="s">
        <v>22</v>
      </c>
      <c r="I1534" s="1">
        <v>39</v>
      </c>
      <c r="J1534" s="1">
        <v>30681</v>
      </c>
      <c r="K1534" s="1" t="s">
        <v>34</v>
      </c>
      <c r="L1534" s="1" t="s">
        <v>24</v>
      </c>
      <c r="M1534" s="1" t="s">
        <v>322</v>
      </c>
      <c r="N1534" s="1">
        <v>21700</v>
      </c>
      <c r="O1534" s="12">
        <v>22750</v>
      </c>
      <c r="P1534" s="3" t="s">
        <v>46</v>
      </c>
      <c r="Q1534" s="1" cm="1">
        <f t="array" ref="Q1534">VALUE(INDEX(_xlfn.TEXTSPLIT(P1534, " "), 4))</f>
        <v>2014</v>
      </c>
      <c r="R1534" s="1" t="str">
        <f t="shared" si="23"/>
        <v>Infiniti G Coupe G37</v>
      </c>
      <c r="S1534" s="1" t="str" cm="1">
        <f t="array" ref="S1534">_xlfn.IFS(I1534 &gt;= 40, "High", I1534&gt;=20, "Medium", I1534&lt;20, "Low")</f>
        <v>Medium</v>
      </c>
      <c r="T1534" s="1" t="str" cm="1">
        <f t="array" ref="T1534">_xlfn.IFS(O1534&lt;18200, "Low", O1534&lt;=50000, "Medium", O1534&gt;50000, "High")</f>
        <v>Medium</v>
      </c>
    </row>
    <row r="1535" spans="1:20" x14ac:dyDescent="0.25">
      <c r="A1535" s="2">
        <v>2012</v>
      </c>
      <c r="B1535" s="1" t="s">
        <v>318</v>
      </c>
      <c r="C1535" s="1" t="s">
        <v>319</v>
      </c>
      <c r="D1535" s="1" t="s">
        <v>1965</v>
      </c>
      <c r="E1535" s="1" t="s">
        <v>319</v>
      </c>
      <c r="F1535" s="1" t="s">
        <v>20</v>
      </c>
      <c r="G1535" s="1" t="s">
        <v>2293</v>
      </c>
      <c r="H1535" s="1" t="s">
        <v>22</v>
      </c>
      <c r="I1535" s="1">
        <v>35</v>
      </c>
      <c r="J1535" s="1">
        <v>33491</v>
      </c>
      <c r="K1535" s="1" t="s">
        <v>34</v>
      </c>
      <c r="L1535" s="1" t="s">
        <v>24</v>
      </c>
      <c r="M1535" s="1" t="s">
        <v>322</v>
      </c>
      <c r="N1535" s="1">
        <v>21600</v>
      </c>
      <c r="O1535" s="12">
        <v>23250</v>
      </c>
      <c r="P1535" s="3" t="s">
        <v>57</v>
      </c>
      <c r="Q1535" s="1" cm="1">
        <f t="array" ref="Q1535">VALUE(INDEX(_xlfn.TEXTSPLIT(P1535, " "), 4))</f>
        <v>2014</v>
      </c>
      <c r="R1535" s="1" t="str">
        <f t="shared" si="23"/>
        <v>Infiniti G Coupe G37</v>
      </c>
      <c r="S1535" s="1" t="str" cm="1">
        <f t="array" ref="S1535">_xlfn.IFS(I1535 &gt;= 40, "High", I1535&gt;=20, "Medium", I1535&lt;20, "Low")</f>
        <v>Medium</v>
      </c>
      <c r="T1535" s="1" t="str" cm="1">
        <f t="array" ref="T1535">_xlfn.IFS(O1535&lt;18200, "Low", O1535&lt;=50000, "Medium", O1535&gt;50000, "High")</f>
        <v>Medium</v>
      </c>
    </row>
    <row r="1536" spans="1:20" x14ac:dyDescent="0.25">
      <c r="A1536" s="2">
        <v>2012</v>
      </c>
      <c r="B1536" s="1" t="s">
        <v>202</v>
      </c>
      <c r="C1536" s="1" t="s">
        <v>2294</v>
      </c>
      <c r="D1536" s="1" t="s">
        <v>54</v>
      </c>
      <c r="E1536" s="1" t="s">
        <v>32</v>
      </c>
      <c r="F1536" s="1" t="s">
        <v>20</v>
      </c>
      <c r="G1536" s="1" t="s">
        <v>2295</v>
      </c>
      <c r="H1536" s="1" t="s">
        <v>22</v>
      </c>
      <c r="I1536" s="1">
        <v>38</v>
      </c>
      <c r="J1536" s="1">
        <v>90943</v>
      </c>
      <c r="K1536" s="1" t="s">
        <v>23</v>
      </c>
      <c r="L1536" s="1" t="s">
        <v>24</v>
      </c>
      <c r="M1536" s="1" t="s">
        <v>1072</v>
      </c>
      <c r="N1536" s="1">
        <v>23800</v>
      </c>
      <c r="O1536" s="12">
        <v>20750</v>
      </c>
      <c r="P1536" s="3" t="s">
        <v>362</v>
      </c>
      <c r="Q1536" s="1" cm="1">
        <f t="array" ref="Q1536">VALUE(INDEX(_xlfn.TEXTSPLIT(P1536, " "), 4))</f>
        <v>2014</v>
      </c>
      <c r="R1536" s="1" t="str">
        <f t="shared" si="23"/>
        <v>Lexus IS 350 Base</v>
      </c>
      <c r="S1536" s="1" t="str" cm="1">
        <f t="array" ref="S1536">_xlfn.IFS(I1536 &gt;= 40, "High", I1536&gt;=20, "Medium", I1536&lt;20, "Low")</f>
        <v>Medium</v>
      </c>
      <c r="T1536" s="1" t="str" cm="1">
        <f t="array" ref="T1536">_xlfn.IFS(O1536&lt;18200, "Low", O1536&lt;=50000, "Medium", O1536&gt;50000, "High")</f>
        <v>Medium</v>
      </c>
    </row>
    <row r="1537" spans="1:20" x14ac:dyDescent="0.25">
      <c r="A1537" s="2">
        <v>2012</v>
      </c>
      <c r="B1537" s="1" t="s">
        <v>632</v>
      </c>
      <c r="C1537" s="1" t="s">
        <v>677</v>
      </c>
      <c r="D1537" s="1" t="s">
        <v>709</v>
      </c>
      <c r="E1537" s="1" t="s">
        <v>32</v>
      </c>
      <c r="F1537" s="1" t="s">
        <v>20</v>
      </c>
      <c r="G1537" s="1" t="s">
        <v>2296</v>
      </c>
      <c r="H1537" s="1" t="s">
        <v>22</v>
      </c>
      <c r="I1537" s="1">
        <v>34</v>
      </c>
      <c r="J1537" s="1">
        <v>41550</v>
      </c>
      <c r="K1537" s="1" t="s">
        <v>24</v>
      </c>
      <c r="L1537" s="1" t="s">
        <v>24</v>
      </c>
      <c r="M1537" s="1" t="s">
        <v>555</v>
      </c>
      <c r="N1537" s="1">
        <v>9775</v>
      </c>
      <c r="O1537" s="12">
        <v>11250</v>
      </c>
      <c r="P1537" s="3" t="s">
        <v>26</v>
      </c>
      <c r="Q1537" s="1" cm="1">
        <f t="array" ref="Q1537">VALUE(INDEX(_xlfn.TEXTSPLIT(P1537, " "), 4))</f>
        <v>2014</v>
      </c>
      <c r="R1537" s="1" t="str">
        <f t="shared" si="23"/>
        <v>Mazda Mazda3 i Touring</v>
      </c>
      <c r="S1537" s="1" t="str" cm="1">
        <f t="array" ref="S1537">_xlfn.IFS(I1537 &gt;= 40, "High", I1537&gt;=20, "Medium", I1537&lt;20, "Low")</f>
        <v>Medium</v>
      </c>
      <c r="T1537" s="1" t="str" cm="1">
        <f t="array" ref="T1537">_xlfn.IFS(O1537&lt;18200, "Low", O1537&lt;=50000, "Medium", O1537&gt;50000, "High")</f>
        <v>Low</v>
      </c>
    </row>
    <row r="1538" spans="1:20" x14ac:dyDescent="0.25">
      <c r="A1538" s="2">
        <v>2012</v>
      </c>
      <c r="B1538" s="1" t="s">
        <v>318</v>
      </c>
      <c r="C1538" s="1" t="s">
        <v>323</v>
      </c>
      <c r="D1538" s="1" t="s">
        <v>324</v>
      </c>
      <c r="E1538" s="1" t="s">
        <v>323</v>
      </c>
      <c r="F1538" s="1" t="s">
        <v>20</v>
      </c>
      <c r="G1538" s="1" t="s">
        <v>2297</v>
      </c>
      <c r="H1538" s="1" t="s">
        <v>22</v>
      </c>
      <c r="I1538" s="1">
        <v>35</v>
      </c>
      <c r="J1538" s="1">
        <v>29586</v>
      </c>
      <c r="K1538" s="1" t="s">
        <v>34</v>
      </c>
      <c r="L1538" s="1" t="s">
        <v>24</v>
      </c>
      <c r="M1538" s="1" t="s">
        <v>322</v>
      </c>
      <c r="N1538" s="1">
        <v>21800</v>
      </c>
      <c r="O1538" s="12">
        <v>22750</v>
      </c>
      <c r="P1538" s="3" t="s">
        <v>46</v>
      </c>
      <c r="Q1538" s="1" cm="1">
        <f t="array" ref="Q1538">VALUE(INDEX(_xlfn.TEXTSPLIT(P1538, " "), 4))</f>
        <v>2014</v>
      </c>
      <c r="R1538" s="1" t="str">
        <f t="shared" si="23"/>
        <v>Infiniti G Sedan G37 Journey</v>
      </c>
      <c r="S1538" s="1" t="str" cm="1">
        <f t="array" ref="S1538">_xlfn.IFS(I1538 &gt;= 40, "High", I1538&gt;=20, "Medium", I1538&lt;20, "Low")</f>
        <v>Medium</v>
      </c>
      <c r="T1538" s="1" t="str" cm="1">
        <f t="array" ref="T1538">_xlfn.IFS(O1538&lt;18200, "Low", O1538&lt;=50000, "Medium", O1538&gt;50000, "High")</f>
        <v>Medium</v>
      </c>
    </row>
    <row r="1539" spans="1:20" x14ac:dyDescent="0.25">
      <c r="A1539" s="2">
        <v>2012</v>
      </c>
      <c r="B1539" s="1" t="s">
        <v>681</v>
      </c>
      <c r="C1539" s="1" t="s">
        <v>684</v>
      </c>
      <c r="D1539" s="1" t="s">
        <v>54</v>
      </c>
      <c r="E1539" s="1" t="s">
        <v>227</v>
      </c>
      <c r="F1539" s="1" t="s">
        <v>20</v>
      </c>
      <c r="G1539" s="1" t="s">
        <v>2298</v>
      </c>
      <c r="H1539" s="1" t="s">
        <v>22</v>
      </c>
      <c r="I1539" s="1">
        <v>36</v>
      </c>
      <c r="J1539" s="1">
        <v>26865</v>
      </c>
      <c r="K1539" s="1" t="s">
        <v>94</v>
      </c>
      <c r="L1539" s="1" t="s">
        <v>101</v>
      </c>
      <c r="M1539" s="1" t="s">
        <v>686</v>
      </c>
      <c r="N1539" s="1">
        <v>13750</v>
      </c>
      <c r="O1539" s="12">
        <v>14250</v>
      </c>
      <c r="P1539" s="3" t="s">
        <v>36</v>
      </c>
      <c r="Q1539" s="1" cm="1">
        <f t="array" ref="Q1539">VALUE(INDEX(_xlfn.TEXTSPLIT(P1539, " "), 4))</f>
        <v>2015</v>
      </c>
      <c r="R1539" s="1" t="str">
        <f t="shared" ref="R1539:R1602" si="24">_xlfn.TEXTJOIN(" ", TRUE, B1539, C1539, D1539)</f>
        <v>MINI Cooper Base</v>
      </c>
      <c r="S1539" s="1" t="str" cm="1">
        <f t="array" ref="S1539">_xlfn.IFS(I1539 &gt;= 40, "High", I1539&gt;=20, "Medium", I1539&lt;20, "Low")</f>
        <v>Medium</v>
      </c>
      <c r="T1539" s="1" t="str" cm="1">
        <f t="array" ref="T1539">_xlfn.IFS(O1539&lt;18200, "Low", O1539&lt;=50000, "Medium", O1539&gt;50000, "High")</f>
        <v>Low</v>
      </c>
    </row>
    <row r="1540" spans="1:20" x14ac:dyDescent="0.25">
      <c r="A1540" s="2">
        <v>2012</v>
      </c>
      <c r="B1540" s="1" t="s">
        <v>608</v>
      </c>
      <c r="C1540" s="1" t="s">
        <v>620</v>
      </c>
      <c r="D1540" s="1" t="s">
        <v>640</v>
      </c>
      <c r="E1540" s="1" t="s">
        <v>32</v>
      </c>
      <c r="F1540" s="1" t="s">
        <v>20</v>
      </c>
      <c r="G1540" s="1" t="s">
        <v>2299</v>
      </c>
      <c r="H1540" s="1" t="s">
        <v>22</v>
      </c>
      <c r="I1540" s="1">
        <v>48</v>
      </c>
      <c r="J1540" s="1">
        <v>32711</v>
      </c>
      <c r="K1540" s="1" t="s">
        <v>23</v>
      </c>
      <c r="L1540" s="1" t="s">
        <v>24</v>
      </c>
      <c r="M1540" s="1" t="s">
        <v>361</v>
      </c>
      <c r="N1540" s="1">
        <v>21800</v>
      </c>
      <c r="O1540" s="12">
        <v>23500</v>
      </c>
      <c r="P1540" s="3" t="s">
        <v>362</v>
      </c>
      <c r="Q1540" s="1" cm="1">
        <f t="array" ref="Q1540">VALUE(INDEX(_xlfn.TEXTSPLIT(P1540, " "), 4))</f>
        <v>2014</v>
      </c>
      <c r="R1540" s="1" t="str">
        <f t="shared" si="24"/>
        <v>Mercedes-Benz C-Class C250 Sport</v>
      </c>
      <c r="S1540" s="1" t="str" cm="1">
        <f t="array" ref="S1540">_xlfn.IFS(I1540 &gt;= 40, "High", I1540&gt;=20, "Medium", I1540&lt;20, "Low")</f>
        <v>High</v>
      </c>
      <c r="T1540" s="1" t="str" cm="1">
        <f t="array" ref="T1540">_xlfn.IFS(O1540&lt;18200, "Low", O1540&lt;=50000, "Medium", O1540&gt;50000, "High")</f>
        <v>Medium</v>
      </c>
    </row>
    <row r="1541" spans="1:20" x14ac:dyDescent="0.25">
      <c r="A1541" s="2">
        <v>2012</v>
      </c>
      <c r="B1541" s="1"/>
      <c r="C1541" s="1"/>
      <c r="D1541" s="1"/>
      <c r="E1541" s="1"/>
      <c r="F1541" s="1" t="s">
        <v>20</v>
      </c>
      <c r="G1541" s="1" t="s">
        <v>2300</v>
      </c>
      <c r="H1541" s="1" t="s">
        <v>22</v>
      </c>
      <c r="I1541" s="1">
        <v>29</v>
      </c>
      <c r="J1541" s="1">
        <v>62786</v>
      </c>
      <c r="K1541" s="1" t="s">
        <v>24</v>
      </c>
      <c r="L1541" s="1" t="s">
        <v>24</v>
      </c>
      <c r="M1541" s="1" t="s">
        <v>555</v>
      </c>
      <c r="N1541" s="1">
        <v>46400</v>
      </c>
      <c r="O1541" s="12">
        <v>42500</v>
      </c>
      <c r="P1541" s="3" t="s">
        <v>135</v>
      </c>
      <c r="Q1541" s="1" cm="1">
        <f t="array" ref="Q1541">VALUE(INDEX(_xlfn.TEXTSPLIT(P1541, " "), 4))</f>
        <v>2015</v>
      </c>
      <c r="R1541" s="1" t="str">
        <f t="shared" si="24"/>
        <v/>
      </c>
      <c r="S1541" s="1" t="str" cm="1">
        <f t="array" ref="S1541">_xlfn.IFS(I1541 &gt;= 40, "High", I1541&gt;=20, "Medium", I1541&lt;20, "Low")</f>
        <v>Medium</v>
      </c>
      <c r="T1541" s="1" t="str" cm="1">
        <f t="array" ref="T1541">_xlfn.IFS(O1541&lt;18200, "Low", O1541&lt;=50000, "Medium", O1541&gt;50000, "High")</f>
        <v>Medium</v>
      </c>
    </row>
    <row r="1542" spans="1:20" x14ac:dyDescent="0.25">
      <c r="A1542" s="2">
        <v>2012</v>
      </c>
      <c r="B1542" s="1" t="s">
        <v>681</v>
      </c>
      <c r="C1542" s="1" t="s">
        <v>684</v>
      </c>
      <c r="D1542" s="1" t="s">
        <v>54</v>
      </c>
      <c r="E1542" s="1" t="s">
        <v>227</v>
      </c>
      <c r="F1542" s="1" t="s">
        <v>214</v>
      </c>
      <c r="G1542" s="1" t="s">
        <v>2301</v>
      </c>
      <c r="H1542" s="1" t="s">
        <v>22</v>
      </c>
      <c r="I1542" s="1">
        <v>39</v>
      </c>
      <c r="J1542" s="1">
        <v>48311</v>
      </c>
      <c r="K1542" s="1" t="s">
        <v>73</v>
      </c>
      <c r="L1542" s="1" t="s">
        <v>101</v>
      </c>
      <c r="M1542" s="1" t="s">
        <v>686</v>
      </c>
      <c r="N1542" s="1">
        <v>12550</v>
      </c>
      <c r="O1542" s="12">
        <v>13000</v>
      </c>
      <c r="P1542" s="3" t="s">
        <v>46</v>
      </c>
      <c r="Q1542" s="1" cm="1">
        <f t="array" ref="Q1542">VALUE(INDEX(_xlfn.TEXTSPLIT(P1542, " "), 4))</f>
        <v>2014</v>
      </c>
      <c r="R1542" s="1" t="str">
        <f t="shared" si="24"/>
        <v>MINI Cooper Base</v>
      </c>
      <c r="S1542" s="1" t="str" cm="1">
        <f t="array" ref="S1542">_xlfn.IFS(I1542 &gt;= 40, "High", I1542&gt;=20, "Medium", I1542&lt;20, "Low")</f>
        <v>Medium</v>
      </c>
      <c r="T1542" s="1" t="str" cm="1">
        <f t="array" ref="T1542">_xlfn.IFS(O1542&lt;18200, "Low", O1542&lt;=50000, "Medium", O1542&gt;50000, "High")</f>
        <v>Low</v>
      </c>
    </row>
    <row r="1543" spans="1:20" x14ac:dyDescent="0.25">
      <c r="A1543" s="2">
        <v>2012</v>
      </c>
      <c r="B1543" s="1" t="s">
        <v>318</v>
      </c>
      <c r="C1543" s="1" t="s">
        <v>648</v>
      </c>
      <c r="D1543" s="1" t="s">
        <v>649</v>
      </c>
      <c r="E1543" s="1" t="s">
        <v>32</v>
      </c>
      <c r="F1543" s="1" t="s">
        <v>20</v>
      </c>
      <c r="G1543" s="1" t="s">
        <v>2302</v>
      </c>
      <c r="H1543" s="1" t="s">
        <v>22</v>
      </c>
      <c r="I1543" s="1">
        <v>42</v>
      </c>
      <c r="J1543" s="1">
        <v>29321</v>
      </c>
      <c r="K1543" s="1" t="s">
        <v>24</v>
      </c>
      <c r="L1543" s="1" t="s">
        <v>24</v>
      </c>
      <c r="M1543" s="1" t="s">
        <v>322</v>
      </c>
      <c r="N1543" s="1">
        <v>26400</v>
      </c>
      <c r="O1543" s="12">
        <v>26000</v>
      </c>
      <c r="P1543" s="3" t="s">
        <v>126</v>
      </c>
      <c r="Q1543" s="1" cm="1">
        <f t="array" ref="Q1543">VALUE(INDEX(_xlfn.TEXTSPLIT(P1543, " "), 4))</f>
        <v>2015</v>
      </c>
      <c r="R1543" s="1" t="str">
        <f t="shared" si="24"/>
        <v>Infiniti M M37</v>
      </c>
      <c r="S1543" s="1" t="str" cm="1">
        <f t="array" ref="S1543">_xlfn.IFS(I1543 &gt;= 40, "High", I1543&gt;=20, "Medium", I1543&lt;20, "Low")</f>
        <v>High</v>
      </c>
      <c r="T1543" s="1" t="str" cm="1">
        <f t="array" ref="T1543">_xlfn.IFS(O1543&lt;18200, "Low", O1543&lt;=50000, "Medium", O1543&gt;50000, "High")</f>
        <v>Medium</v>
      </c>
    </row>
    <row r="1544" spans="1:20" x14ac:dyDescent="0.25">
      <c r="A1544" s="2">
        <v>2012</v>
      </c>
      <c r="B1544" s="1" t="s">
        <v>600</v>
      </c>
      <c r="C1544" s="1" t="s">
        <v>2071</v>
      </c>
      <c r="D1544" s="1" t="s">
        <v>368</v>
      </c>
      <c r="E1544" s="1" t="s">
        <v>19</v>
      </c>
      <c r="F1544" s="1" t="s">
        <v>20</v>
      </c>
      <c r="G1544" s="1" t="s">
        <v>2303</v>
      </c>
      <c r="H1544" s="1" t="s">
        <v>22</v>
      </c>
      <c r="I1544" s="1">
        <v>43</v>
      </c>
      <c r="J1544" s="1">
        <v>29745</v>
      </c>
      <c r="K1544" s="1" t="s">
        <v>91</v>
      </c>
      <c r="L1544" s="1" t="s">
        <v>24</v>
      </c>
      <c r="M1544" s="1" t="s">
        <v>2304</v>
      </c>
      <c r="N1544" s="1">
        <v>14750</v>
      </c>
      <c r="O1544" s="12">
        <v>15750</v>
      </c>
      <c r="P1544" s="3" t="s">
        <v>84</v>
      </c>
      <c r="Q1544" s="1" cm="1">
        <f t="array" ref="Q1544">VALUE(INDEX(_xlfn.TEXTSPLIT(P1544, " "), 4))</f>
        <v>2014</v>
      </c>
      <c r="R1544" s="1" t="str">
        <f t="shared" si="24"/>
        <v>Jeep Liberty Sport</v>
      </c>
      <c r="S1544" s="1" t="str" cm="1">
        <f t="array" ref="S1544">_xlfn.IFS(I1544 &gt;= 40, "High", I1544&gt;=20, "Medium", I1544&lt;20, "Low")</f>
        <v>High</v>
      </c>
      <c r="T1544" s="1" t="str" cm="1">
        <f t="array" ref="T1544">_xlfn.IFS(O1544&lt;18200, "Low", O1544&lt;=50000, "Medium", O1544&gt;50000, "High")</f>
        <v>Low</v>
      </c>
    </row>
    <row r="1545" spans="1:20" x14ac:dyDescent="0.25">
      <c r="A1545" s="2">
        <v>2012</v>
      </c>
      <c r="B1545" s="1" t="s">
        <v>681</v>
      </c>
      <c r="C1545" s="1" t="s">
        <v>684</v>
      </c>
      <c r="D1545" s="1" t="s">
        <v>54</v>
      </c>
      <c r="E1545" s="1" t="s">
        <v>227</v>
      </c>
      <c r="F1545" s="1" t="s">
        <v>20</v>
      </c>
      <c r="G1545" s="1" t="s">
        <v>2305</v>
      </c>
      <c r="H1545" s="1" t="s">
        <v>22</v>
      </c>
      <c r="I1545" s="1">
        <v>37</v>
      </c>
      <c r="J1545" s="1">
        <v>43544</v>
      </c>
      <c r="K1545" s="1" t="s">
        <v>94</v>
      </c>
      <c r="L1545" s="1" t="s">
        <v>101</v>
      </c>
      <c r="M1545" s="1" t="s">
        <v>686</v>
      </c>
      <c r="N1545" s="1">
        <v>12900</v>
      </c>
      <c r="O1545" s="12">
        <v>12300</v>
      </c>
      <c r="P1545" s="3" t="s">
        <v>46</v>
      </c>
      <c r="Q1545" s="1" cm="1">
        <f t="array" ref="Q1545">VALUE(INDEX(_xlfn.TEXTSPLIT(P1545, " "), 4))</f>
        <v>2014</v>
      </c>
      <c r="R1545" s="1" t="str">
        <f t="shared" si="24"/>
        <v>MINI Cooper Base</v>
      </c>
      <c r="S1545" s="1" t="str" cm="1">
        <f t="array" ref="S1545">_xlfn.IFS(I1545 &gt;= 40, "High", I1545&gt;=20, "Medium", I1545&lt;20, "Low")</f>
        <v>Medium</v>
      </c>
      <c r="T1545" s="1" t="str" cm="1">
        <f t="array" ref="T1545">_xlfn.IFS(O1545&lt;18200, "Low", O1545&lt;=50000, "Medium", O1545&gt;50000, "High")</f>
        <v>Low</v>
      </c>
    </row>
    <row r="1546" spans="1:20" x14ac:dyDescent="0.25">
      <c r="A1546" s="2">
        <v>2012</v>
      </c>
      <c r="B1546" s="1" t="s">
        <v>318</v>
      </c>
      <c r="C1546" s="1" t="s">
        <v>648</v>
      </c>
      <c r="D1546" s="1" t="s">
        <v>2279</v>
      </c>
      <c r="E1546" s="1" t="s">
        <v>32</v>
      </c>
      <c r="F1546" s="1" t="s">
        <v>20</v>
      </c>
      <c r="G1546" s="1" t="s">
        <v>2306</v>
      </c>
      <c r="H1546" s="1" t="s">
        <v>22</v>
      </c>
      <c r="I1546" s="1">
        <v>27</v>
      </c>
      <c r="J1546" s="1">
        <v>18725</v>
      </c>
      <c r="K1546" s="1" t="s">
        <v>101</v>
      </c>
      <c r="L1546" s="1" t="s">
        <v>24</v>
      </c>
      <c r="M1546" s="1" t="s">
        <v>322</v>
      </c>
      <c r="N1546" s="1">
        <v>28700</v>
      </c>
      <c r="O1546" s="12">
        <v>29500</v>
      </c>
      <c r="P1546" s="3" t="s">
        <v>57</v>
      </c>
      <c r="Q1546" s="1" cm="1">
        <f t="array" ref="Q1546">VALUE(INDEX(_xlfn.TEXTSPLIT(P1546, " "), 4))</f>
        <v>2014</v>
      </c>
      <c r="R1546" s="1" t="str">
        <f t="shared" si="24"/>
        <v>Infiniti M M37x</v>
      </c>
      <c r="S1546" s="1" t="str" cm="1">
        <f t="array" ref="S1546">_xlfn.IFS(I1546 &gt;= 40, "High", I1546&gt;=20, "Medium", I1546&lt;20, "Low")</f>
        <v>Medium</v>
      </c>
      <c r="T1546" s="1" t="str" cm="1">
        <f t="array" ref="T1546">_xlfn.IFS(O1546&lt;18200, "Low", O1546&lt;=50000, "Medium", O1546&gt;50000, "High")</f>
        <v>Medium</v>
      </c>
    </row>
    <row r="1547" spans="1:20" x14ac:dyDescent="0.25">
      <c r="A1547" s="2">
        <v>2012</v>
      </c>
      <c r="B1547" s="1" t="s">
        <v>817</v>
      </c>
      <c r="C1547" s="1" t="s">
        <v>818</v>
      </c>
      <c r="D1547" s="1" t="s">
        <v>54</v>
      </c>
      <c r="E1547" s="1" t="s">
        <v>32</v>
      </c>
      <c r="F1547" s="1" t="s">
        <v>20</v>
      </c>
      <c r="G1547" s="1" t="s">
        <v>2307</v>
      </c>
      <c r="H1547" s="1" t="s">
        <v>22</v>
      </c>
      <c r="I1547" s="1">
        <v>48</v>
      </c>
      <c r="J1547" s="1">
        <v>28823</v>
      </c>
      <c r="K1547" s="1" t="s">
        <v>23</v>
      </c>
      <c r="L1547" s="1" t="s">
        <v>28</v>
      </c>
      <c r="M1547" s="1" t="s">
        <v>555</v>
      </c>
      <c r="N1547" s="1">
        <v>28500</v>
      </c>
      <c r="O1547" s="12">
        <v>32000</v>
      </c>
      <c r="P1547" s="3" t="s">
        <v>46</v>
      </c>
      <c r="Q1547" s="1" cm="1">
        <f t="array" ref="Q1547">VALUE(INDEX(_xlfn.TEXTSPLIT(P1547, " "), 4))</f>
        <v>2014</v>
      </c>
      <c r="R1547" s="1" t="str">
        <f t="shared" si="24"/>
        <v>Jaguar XF Base</v>
      </c>
      <c r="S1547" s="1" t="str" cm="1">
        <f t="array" ref="S1547">_xlfn.IFS(I1547 &gt;= 40, "High", I1547&gt;=20, "Medium", I1547&lt;20, "Low")</f>
        <v>High</v>
      </c>
      <c r="T1547" s="1" t="str" cm="1">
        <f t="array" ref="T1547">_xlfn.IFS(O1547&lt;18200, "Low", O1547&lt;=50000, "Medium", O1547&gt;50000, "High")</f>
        <v>Medium</v>
      </c>
    </row>
    <row r="1548" spans="1:20" x14ac:dyDescent="0.25">
      <c r="A1548" s="2">
        <v>2012</v>
      </c>
      <c r="B1548" s="1" t="s">
        <v>681</v>
      </c>
      <c r="C1548" s="1" t="s">
        <v>684</v>
      </c>
      <c r="D1548" s="1" t="s">
        <v>54</v>
      </c>
      <c r="E1548" s="1" t="s">
        <v>227</v>
      </c>
      <c r="F1548" s="1" t="s">
        <v>20</v>
      </c>
      <c r="G1548" s="1" t="s">
        <v>2308</v>
      </c>
      <c r="H1548" s="1" t="s">
        <v>22</v>
      </c>
      <c r="I1548" s="1">
        <v>38</v>
      </c>
      <c r="J1548" s="1">
        <v>27277</v>
      </c>
      <c r="K1548" s="1" t="s">
        <v>94</v>
      </c>
      <c r="L1548" s="1" t="s">
        <v>101</v>
      </c>
      <c r="M1548" s="1" t="s">
        <v>686</v>
      </c>
      <c r="N1548" s="1">
        <v>14200</v>
      </c>
      <c r="O1548" s="12">
        <v>13500</v>
      </c>
      <c r="P1548" s="3" t="s">
        <v>46</v>
      </c>
      <c r="Q1548" s="1" cm="1">
        <f t="array" ref="Q1548">VALUE(INDEX(_xlfn.TEXTSPLIT(P1548, " "), 4))</f>
        <v>2014</v>
      </c>
      <c r="R1548" s="1" t="str">
        <f t="shared" si="24"/>
        <v>MINI Cooper Base</v>
      </c>
      <c r="S1548" s="1" t="str" cm="1">
        <f t="array" ref="S1548">_xlfn.IFS(I1548 &gt;= 40, "High", I1548&gt;=20, "Medium", I1548&lt;20, "Low")</f>
        <v>Medium</v>
      </c>
      <c r="T1548" s="1" t="str" cm="1">
        <f t="array" ref="T1548">_xlfn.IFS(O1548&lt;18200, "Low", O1548&lt;=50000, "Medium", O1548&gt;50000, "High")</f>
        <v>Low</v>
      </c>
    </row>
    <row r="1549" spans="1:20" x14ac:dyDescent="0.25">
      <c r="A1549" s="2">
        <v>2012</v>
      </c>
      <c r="B1549" s="1" t="s">
        <v>608</v>
      </c>
      <c r="C1549" s="1" t="s">
        <v>673</v>
      </c>
      <c r="D1549" s="1" t="s">
        <v>2069</v>
      </c>
      <c r="E1549" s="1" t="s">
        <v>32</v>
      </c>
      <c r="F1549" s="1" t="s">
        <v>20</v>
      </c>
      <c r="G1549" s="1" t="s">
        <v>2309</v>
      </c>
      <c r="H1549" s="1" t="s">
        <v>22</v>
      </c>
      <c r="I1549" s="1">
        <v>41</v>
      </c>
      <c r="J1549" s="1">
        <v>28489</v>
      </c>
      <c r="K1549" s="1" t="s">
        <v>101</v>
      </c>
      <c r="L1549" s="1" t="s">
        <v>1341</v>
      </c>
      <c r="M1549" s="1" t="s">
        <v>612</v>
      </c>
      <c r="N1549" s="1">
        <v>29200</v>
      </c>
      <c r="O1549" s="12">
        <v>29000</v>
      </c>
      <c r="P1549" s="3" t="s">
        <v>46</v>
      </c>
      <c r="Q1549" s="1" cm="1">
        <f t="array" ref="Q1549">VALUE(INDEX(_xlfn.TEXTSPLIT(P1549, " "), 4))</f>
        <v>2014</v>
      </c>
      <c r="R1549" s="1" t="str">
        <f t="shared" si="24"/>
        <v>Mercedes-Benz E-Class E350 Luxury</v>
      </c>
      <c r="S1549" s="1" t="str" cm="1">
        <f t="array" ref="S1549">_xlfn.IFS(I1549 &gt;= 40, "High", I1549&gt;=20, "Medium", I1549&lt;20, "Low")</f>
        <v>High</v>
      </c>
      <c r="T1549" s="1" t="str" cm="1">
        <f t="array" ref="T1549">_xlfn.IFS(O1549&lt;18200, "Low", O1549&lt;=50000, "Medium", O1549&gt;50000, "High")</f>
        <v>Medium</v>
      </c>
    </row>
    <row r="1550" spans="1:20" x14ac:dyDescent="0.25">
      <c r="A1550" s="2">
        <v>2012</v>
      </c>
      <c r="B1550" s="1" t="s">
        <v>600</v>
      </c>
      <c r="C1550" s="1" t="s">
        <v>2310</v>
      </c>
      <c r="D1550" s="1" t="s">
        <v>368</v>
      </c>
      <c r="E1550" s="1" t="s">
        <v>19</v>
      </c>
      <c r="F1550" s="1" t="s">
        <v>20</v>
      </c>
      <c r="G1550" s="1" t="s">
        <v>2311</v>
      </c>
      <c r="H1550" s="1" t="s">
        <v>22</v>
      </c>
      <c r="I1550" s="1">
        <v>37</v>
      </c>
      <c r="J1550" s="1">
        <v>142823</v>
      </c>
      <c r="K1550" s="1" t="s">
        <v>23</v>
      </c>
      <c r="L1550" s="1" t="s">
        <v>24</v>
      </c>
      <c r="M1550" s="1" t="s">
        <v>2312</v>
      </c>
      <c r="N1550" s="1">
        <v>7950</v>
      </c>
      <c r="O1550" s="12">
        <v>5900</v>
      </c>
      <c r="P1550" s="3" t="s">
        <v>110</v>
      </c>
      <c r="Q1550" s="1" cm="1">
        <f t="array" ref="Q1550">VALUE(INDEX(_xlfn.TEXTSPLIT(P1550, " "), 4))</f>
        <v>2014</v>
      </c>
      <c r="R1550" s="1" t="str">
        <f t="shared" si="24"/>
        <v>Jeep Patriot Sport</v>
      </c>
      <c r="S1550" s="1" t="str" cm="1">
        <f t="array" ref="S1550">_xlfn.IFS(I1550 &gt;= 40, "High", I1550&gt;=20, "Medium", I1550&lt;20, "Low")</f>
        <v>Medium</v>
      </c>
      <c r="T1550" s="1" t="str" cm="1">
        <f t="array" ref="T1550">_xlfn.IFS(O1550&lt;18200, "Low", O1550&lt;=50000, "Medium", O1550&gt;50000, "High")</f>
        <v>Low</v>
      </c>
    </row>
    <row r="1551" spans="1:20" x14ac:dyDescent="0.25">
      <c r="A1551" s="2">
        <v>2012</v>
      </c>
      <c r="B1551" s="1" t="s">
        <v>318</v>
      </c>
      <c r="C1551" s="1" t="s">
        <v>323</v>
      </c>
      <c r="D1551" s="1" t="s">
        <v>324</v>
      </c>
      <c r="E1551" s="1" t="s">
        <v>323</v>
      </c>
      <c r="F1551" s="1" t="s">
        <v>20</v>
      </c>
      <c r="G1551" s="1" t="s">
        <v>2313</v>
      </c>
      <c r="H1551" s="1" t="s">
        <v>22</v>
      </c>
      <c r="I1551" s="1">
        <v>33</v>
      </c>
      <c r="J1551" s="1">
        <v>32906</v>
      </c>
      <c r="K1551" s="1" t="s">
        <v>384</v>
      </c>
      <c r="L1551" s="1" t="s">
        <v>28</v>
      </c>
      <c r="M1551" s="1" t="s">
        <v>322</v>
      </c>
      <c r="N1551" s="1">
        <v>21400</v>
      </c>
      <c r="O1551" s="12">
        <v>21000</v>
      </c>
      <c r="P1551" s="3" t="s">
        <v>46</v>
      </c>
      <c r="Q1551" s="1" cm="1">
        <f t="array" ref="Q1551">VALUE(INDEX(_xlfn.TEXTSPLIT(P1551, " "), 4))</f>
        <v>2014</v>
      </c>
      <c r="R1551" s="1" t="str">
        <f t="shared" si="24"/>
        <v>Infiniti G Sedan G37 Journey</v>
      </c>
      <c r="S1551" s="1" t="str" cm="1">
        <f t="array" ref="S1551">_xlfn.IFS(I1551 &gt;= 40, "High", I1551&gt;=20, "Medium", I1551&lt;20, "Low")</f>
        <v>Medium</v>
      </c>
      <c r="T1551" s="1" t="str" cm="1">
        <f t="array" ref="T1551">_xlfn.IFS(O1551&lt;18200, "Low", O1551&lt;=50000, "Medium", O1551&gt;50000, "High")</f>
        <v>Medium</v>
      </c>
    </row>
    <row r="1552" spans="1:20" x14ac:dyDescent="0.25">
      <c r="A1552" s="2">
        <v>2012</v>
      </c>
      <c r="B1552" s="1" t="s">
        <v>16</v>
      </c>
      <c r="C1552" s="1" t="s">
        <v>694</v>
      </c>
      <c r="D1552" s="1" t="s">
        <v>735</v>
      </c>
      <c r="E1552" s="1" t="s">
        <v>32</v>
      </c>
      <c r="F1552" s="1" t="s">
        <v>20</v>
      </c>
      <c r="G1552" s="1" t="s">
        <v>2314</v>
      </c>
      <c r="H1552" s="1" t="s">
        <v>22</v>
      </c>
      <c r="I1552" s="1">
        <v>26</v>
      </c>
      <c r="J1552" s="1">
        <v>77875</v>
      </c>
      <c r="K1552" s="1" t="s">
        <v>34</v>
      </c>
      <c r="L1552" s="1" t="s">
        <v>34</v>
      </c>
      <c r="M1552" s="1" t="s">
        <v>946</v>
      </c>
      <c r="N1552" s="1">
        <v>7275</v>
      </c>
      <c r="O1552" s="12">
        <v>6500</v>
      </c>
      <c r="P1552" s="3" t="s">
        <v>895</v>
      </c>
      <c r="Q1552" s="1" cm="1">
        <f t="array" ref="Q1552">VALUE(INDEX(_xlfn.TEXTSPLIT(P1552, " "), 4))</f>
        <v>2015</v>
      </c>
      <c r="R1552" s="1" t="str">
        <f t="shared" si="24"/>
        <v>Kia Forte EX</v>
      </c>
      <c r="S1552" s="1" t="str" cm="1">
        <f t="array" ref="S1552">_xlfn.IFS(I1552 &gt;= 40, "High", I1552&gt;=20, "Medium", I1552&lt;20, "Low")</f>
        <v>Medium</v>
      </c>
      <c r="T1552" s="1" t="str" cm="1">
        <f t="array" ref="T1552">_xlfn.IFS(O1552&lt;18200, "Low", O1552&lt;=50000, "Medium", O1552&gt;50000, "High")</f>
        <v>Low</v>
      </c>
    </row>
    <row r="1553" spans="1:20" x14ac:dyDescent="0.25">
      <c r="A1553" s="2">
        <v>2012</v>
      </c>
      <c r="B1553" s="1" t="s">
        <v>608</v>
      </c>
      <c r="C1553" s="1" t="s">
        <v>620</v>
      </c>
      <c r="D1553" s="1" t="s">
        <v>640</v>
      </c>
      <c r="E1553" s="1" t="s">
        <v>32</v>
      </c>
      <c r="F1553" s="1" t="s">
        <v>20</v>
      </c>
      <c r="G1553" s="1" t="s">
        <v>2315</v>
      </c>
      <c r="H1553" s="1" t="s">
        <v>22</v>
      </c>
      <c r="I1553" s="1">
        <v>38</v>
      </c>
      <c r="J1553" s="1">
        <v>34087</v>
      </c>
      <c r="K1553" s="1" t="s">
        <v>101</v>
      </c>
      <c r="L1553" s="1" t="s">
        <v>24</v>
      </c>
      <c r="M1553" s="1" t="s">
        <v>612</v>
      </c>
      <c r="N1553" s="1">
        <v>21700</v>
      </c>
      <c r="O1553" s="12">
        <v>20000</v>
      </c>
      <c r="P1553" s="3" t="s">
        <v>46</v>
      </c>
      <c r="Q1553" s="1" cm="1">
        <f t="array" ref="Q1553">VALUE(INDEX(_xlfn.TEXTSPLIT(P1553, " "), 4))</f>
        <v>2014</v>
      </c>
      <c r="R1553" s="1" t="str">
        <f t="shared" si="24"/>
        <v>Mercedes-Benz C-Class C250 Sport</v>
      </c>
      <c r="S1553" s="1" t="str" cm="1">
        <f t="array" ref="S1553">_xlfn.IFS(I1553 &gt;= 40, "High", I1553&gt;=20, "Medium", I1553&lt;20, "Low")</f>
        <v>Medium</v>
      </c>
      <c r="T1553" s="1" t="str" cm="1">
        <f t="array" ref="T1553">_xlfn.IFS(O1553&lt;18200, "Low", O1553&lt;=50000, "Medium", O1553&gt;50000, "High")</f>
        <v>Medium</v>
      </c>
    </row>
    <row r="1554" spans="1:20" x14ac:dyDescent="0.25">
      <c r="A1554" s="2">
        <v>2012</v>
      </c>
      <c r="B1554" s="1" t="s">
        <v>318</v>
      </c>
      <c r="C1554" s="1" t="s">
        <v>323</v>
      </c>
      <c r="D1554" s="1" t="s">
        <v>324</v>
      </c>
      <c r="E1554" s="1" t="s">
        <v>323</v>
      </c>
      <c r="F1554" s="1" t="s">
        <v>20</v>
      </c>
      <c r="G1554" s="1" t="s">
        <v>2316</v>
      </c>
      <c r="H1554" s="1" t="s">
        <v>22</v>
      </c>
      <c r="I1554" s="1">
        <v>4</v>
      </c>
      <c r="J1554" s="1">
        <v>42171</v>
      </c>
      <c r="K1554" s="1" t="s">
        <v>34</v>
      </c>
      <c r="L1554" s="1" t="s">
        <v>24</v>
      </c>
      <c r="M1554" s="1" t="s">
        <v>1756</v>
      </c>
      <c r="N1554" s="1">
        <v>20400</v>
      </c>
      <c r="O1554" s="12">
        <v>20250</v>
      </c>
      <c r="P1554" s="3" t="s">
        <v>84</v>
      </c>
      <c r="Q1554" s="1" cm="1">
        <f t="array" ref="Q1554">VALUE(INDEX(_xlfn.TEXTSPLIT(P1554, " "), 4))</f>
        <v>2014</v>
      </c>
      <c r="R1554" s="1" t="str">
        <f t="shared" si="24"/>
        <v>Infiniti G Sedan G37 Journey</v>
      </c>
      <c r="S1554" s="1" t="str" cm="1">
        <f t="array" ref="S1554">_xlfn.IFS(I1554 &gt;= 40, "High", I1554&gt;=20, "Medium", I1554&lt;20, "Low")</f>
        <v>Low</v>
      </c>
      <c r="T1554" s="1" t="str" cm="1">
        <f t="array" ref="T1554">_xlfn.IFS(O1554&lt;18200, "Low", O1554&lt;=50000, "Medium", O1554&gt;50000, "High")</f>
        <v>Medium</v>
      </c>
    </row>
    <row r="1555" spans="1:20" x14ac:dyDescent="0.25">
      <c r="A1555" s="2">
        <v>2012</v>
      </c>
      <c r="B1555" s="1" t="s">
        <v>16</v>
      </c>
      <c r="C1555" s="1" t="s">
        <v>2220</v>
      </c>
      <c r="D1555" s="1" t="s">
        <v>18</v>
      </c>
      <c r="E1555" s="1" t="s">
        <v>738</v>
      </c>
      <c r="F1555" s="1"/>
      <c r="G1555" s="1" t="s">
        <v>2317</v>
      </c>
      <c r="H1555" s="1" t="s">
        <v>22</v>
      </c>
      <c r="I1555" s="1">
        <v>39</v>
      </c>
      <c r="J1555" s="1">
        <v>69295</v>
      </c>
      <c r="K1555" s="1" t="s">
        <v>73</v>
      </c>
      <c r="L1555" s="1" t="s">
        <v>28</v>
      </c>
      <c r="M1555" s="1" t="s">
        <v>431</v>
      </c>
      <c r="N1555" s="1">
        <v>8650</v>
      </c>
      <c r="O1555" s="12">
        <v>9300</v>
      </c>
      <c r="P1555" s="3" t="s">
        <v>270</v>
      </c>
      <c r="Q1555" s="1" cm="1">
        <f t="array" ref="Q1555">VALUE(INDEX(_xlfn.TEXTSPLIT(P1555, " "), 4))</f>
        <v>2014</v>
      </c>
      <c r="R1555" s="1" t="str">
        <f t="shared" si="24"/>
        <v>Kia Sedona LX</v>
      </c>
      <c r="S1555" s="1" t="str" cm="1">
        <f t="array" ref="S1555">_xlfn.IFS(I1555 &gt;= 40, "High", I1555&gt;=20, "Medium", I1555&lt;20, "Low")</f>
        <v>Medium</v>
      </c>
      <c r="T1555" s="1" t="str" cm="1">
        <f t="array" ref="T1555">_xlfn.IFS(O1555&lt;18200, "Low", O1555&lt;=50000, "Medium", O1555&gt;50000, "High")</f>
        <v>Low</v>
      </c>
    </row>
    <row r="1556" spans="1:20" x14ac:dyDescent="0.25">
      <c r="A1556" s="2">
        <v>2012</v>
      </c>
      <c r="B1556" s="1" t="s">
        <v>681</v>
      </c>
      <c r="C1556" s="1" t="s">
        <v>684</v>
      </c>
      <c r="D1556" s="1" t="s">
        <v>54</v>
      </c>
      <c r="E1556" s="1" t="s">
        <v>227</v>
      </c>
      <c r="F1556" s="1" t="s">
        <v>20</v>
      </c>
      <c r="G1556" s="1" t="s">
        <v>2318</v>
      </c>
      <c r="H1556" s="1" t="s">
        <v>22</v>
      </c>
      <c r="I1556" s="1">
        <v>45</v>
      </c>
      <c r="J1556" s="1">
        <v>28376</v>
      </c>
      <c r="K1556" s="1" t="s">
        <v>73</v>
      </c>
      <c r="L1556" s="1" t="s">
        <v>24</v>
      </c>
      <c r="M1556" s="1" t="s">
        <v>686</v>
      </c>
      <c r="N1556" s="1">
        <v>14150</v>
      </c>
      <c r="O1556" s="12">
        <v>14000</v>
      </c>
      <c r="P1556" s="3" t="s">
        <v>46</v>
      </c>
      <c r="Q1556" s="1" cm="1">
        <f t="array" ref="Q1556">VALUE(INDEX(_xlfn.TEXTSPLIT(P1556, " "), 4))</f>
        <v>2014</v>
      </c>
      <c r="R1556" s="1" t="str">
        <f t="shared" si="24"/>
        <v>MINI Cooper Base</v>
      </c>
      <c r="S1556" s="1" t="str" cm="1">
        <f t="array" ref="S1556">_xlfn.IFS(I1556 &gt;= 40, "High", I1556&gt;=20, "Medium", I1556&lt;20, "Low")</f>
        <v>High</v>
      </c>
      <c r="T1556" s="1" t="str" cm="1">
        <f t="array" ref="T1556">_xlfn.IFS(O1556&lt;18200, "Low", O1556&lt;=50000, "Medium", O1556&gt;50000, "High")</f>
        <v>Low</v>
      </c>
    </row>
    <row r="1557" spans="1:20" x14ac:dyDescent="0.25">
      <c r="A1557" s="2">
        <v>2012</v>
      </c>
      <c r="B1557" s="1" t="s">
        <v>318</v>
      </c>
      <c r="C1557" s="1" t="s">
        <v>648</v>
      </c>
      <c r="D1557" s="1" t="s">
        <v>649</v>
      </c>
      <c r="E1557" s="1" t="s">
        <v>32</v>
      </c>
      <c r="F1557" s="1" t="s">
        <v>20</v>
      </c>
      <c r="G1557" s="1" t="s">
        <v>2319</v>
      </c>
      <c r="H1557" s="1" t="s">
        <v>22</v>
      </c>
      <c r="I1557" s="1">
        <v>34</v>
      </c>
      <c r="J1557" s="1">
        <v>31389</v>
      </c>
      <c r="K1557" s="1" t="s">
        <v>34</v>
      </c>
      <c r="L1557" s="1" t="s">
        <v>24</v>
      </c>
      <c r="M1557" s="1" t="s">
        <v>322</v>
      </c>
      <c r="N1557" s="1">
        <v>27400</v>
      </c>
      <c r="O1557" s="12">
        <v>25500</v>
      </c>
      <c r="P1557" s="3" t="s">
        <v>46</v>
      </c>
      <c r="Q1557" s="1" cm="1">
        <f t="array" ref="Q1557">VALUE(INDEX(_xlfn.TEXTSPLIT(P1557, " "), 4))</f>
        <v>2014</v>
      </c>
      <c r="R1557" s="1" t="str">
        <f t="shared" si="24"/>
        <v>Infiniti M M37</v>
      </c>
      <c r="S1557" s="1" t="str" cm="1">
        <f t="array" ref="S1557">_xlfn.IFS(I1557 &gt;= 40, "High", I1557&gt;=20, "Medium", I1557&lt;20, "Low")</f>
        <v>Medium</v>
      </c>
      <c r="T1557" s="1" t="str" cm="1">
        <f t="array" ref="T1557">_xlfn.IFS(O1557&lt;18200, "Low", O1557&lt;=50000, "Medium", O1557&gt;50000, "High")</f>
        <v>Medium</v>
      </c>
    </row>
    <row r="1558" spans="1:20" x14ac:dyDescent="0.25">
      <c r="A1558" s="2">
        <v>2012</v>
      </c>
      <c r="B1558" s="1" t="s">
        <v>803</v>
      </c>
      <c r="C1558" s="1" t="s">
        <v>2106</v>
      </c>
      <c r="D1558" s="1" t="s">
        <v>773</v>
      </c>
      <c r="E1558" s="1" t="s">
        <v>19</v>
      </c>
      <c r="F1558" s="1"/>
      <c r="G1558" s="1" t="s">
        <v>2320</v>
      </c>
      <c r="H1558" s="1" t="s">
        <v>22</v>
      </c>
      <c r="I1558" s="1">
        <v>47</v>
      </c>
      <c r="J1558" s="1">
        <v>41598</v>
      </c>
      <c r="K1558" s="1" t="s">
        <v>23</v>
      </c>
      <c r="L1558" s="1" t="s">
        <v>34</v>
      </c>
      <c r="M1558" s="1" t="s">
        <v>1515</v>
      </c>
      <c r="N1558" s="1">
        <v>32400</v>
      </c>
      <c r="O1558" s="12">
        <v>31000</v>
      </c>
      <c r="P1558" s="3" t="s">
        <v>68</v>
      </c>
      <c r="Q1558" s="1" cm="1">
        <f t="array" ref="Q1558">VALUE(INDEX(_xlfn.TEXTSPLIT(P1558, " "), 4))</f>
        <v>2014</v>
      </c>
      <c r="R1558" s="1" t="str">
        <f t="shared" si="24"/>
        <v>Lincoln Navigator L</v>
      </c>
      <c r="S1558" s="1" t="str" cm="1">
        <f t="array" ref="S1558">_xlfn.IFS(I1558 &gt;= 40, "High", I1558&gt;=20, "Medium", I1558&lt;20, "Low")</f>
        <v>High</v>
      </c>
      <c r="T1558" s="1" t="str" cm="1">
        <f t="array" ref="T1558">_xlfn.IFS(O1558&lt;18200, "Low", O1558&lt;=50000, "Medium", O1558&gt;50000, "High")</f>
        <v>Medium</v>
      </c>
    </row>
    <row r="1559" spans="1:20" x14ac:dyDescent="0.25">
      <c r="A1559" s="2">
        <v>2012</v>
      </c>
      <c r="B1559" s="1" t="s">
        <v>730</v>
      </c>
      <c r="C1559" s="1" t="s">
        <v>900</v>
      </c>
      <c r="D1559" s="1" t="s">
        <v>2166</v>
      </c>
      <c r="E1559" s="1" t="s">
        <v>19</v>
      </c>
      <c r="F1559" s="1" t="s">
        <v>20</v>
      </c>
      <c r="G1559" s="1" t="s">
        <v>2321</v>
      </c>
      <c r="H1559" s="1" t="s">
        <v>22</v>
      </c>
      <c r="I1559" s="1">
        <v>45</v>
      </c>
      <c r="J1559" s="1">
        <v>30055</v>
      </c>
      <c r="K1559" s="1" t="s">
        <v>23</v>
      </c>
      <c r="L1559" s="1" t="s">
        <v>82</v>
      </c>
      <c r="M1559" s="1" t="s">
        <v>734</v>
      </c>
      <c r="N1559" s="1">
        <v>42000</v>
      </c>
      <c r="O1559" s="12">
        <v>34500</v>
      </c>
      <c r="P1559" s="3" t="s">
        <v>46</v>
      </c>
      <c r="Q1559" s="1" cm="1">
        <f t="array" ref="Q1559">VALUE(INDEX(_xlfn.TEXTSPLIT(P1559, " "), 4))</f>
        <v>2014</v>
      </c>
      <c r="R1559" s="1" t="str">
        <f t="shared" si="24"/>
        <v>Land Rover Range Rover Sport HSE</v>
      </c>
      <c r="S1559" s="1" t="str" cm="1">
        <f t="array" ref="S1559">_xlfn.IFS(I1559 &gt;= 40, "High", I1559&gt;=20, "Medium", I1559&lt;20, "Low")</f>
        <v>High</v>
      </c>
      <c r="T1559" s="1" t="str" cm="1">
        <f t="array" ref="T1559">_xlfn.IFS(O1559&lt;18200, "Low", O1559&lt;=50000, "Medium", O1559&gt;50000, "High")</f>
        <v>Medium</v>
      </c>
    </row>
    <row r="1560" spans="1:20" x14ac:dyDescent="0.25">
      <c r="A1560" s="2">
        <v>2012</v>
      </c>
      <c r="B1560" s="1" t="s">
        <v>681</v>
      </c>
      <c r="C1560" s="1" t="s">
        <v>684</v>
      </c>
      <c r="D1560" s="1" t="s">
        <v>936</v>
      </c>
      <c r="E1560" s="1" t="s">
        <v>227</v>
      </c>
      <c r="F1560" s="1" t="s">
        <v>214</v>
      </c>
      <c r="G1560" s="1" t="s">
        <v>2322</v>
      </c>
      <c r="H1560" s="1" t="s">
        <v>22</v>
      </c>
      <c r="I1560" s="1">
        <v>43</v>
      </c>
      <c r="J1560" s="1">
        <v>4975</v>
      </c>
      <c r="K1560" s="1" t="s">
        <v>549</v>
      </c>
      <c r="L1560" s="1" t="s">
        <v>101</v>
      </c>
      <c r="M1560" s="1" t="s">
        <v>686</v>
      </c>
      <c r="N1560" s="1">
        <v>18300</v>
      </c>
      <c r="O1560" s="12">
        <v>18250</v>
      </c>
      <c r="P1560" s="3" t="s">
        <v>46</v>
      </c>
      <c r="Q1560" s="1" cm="1">
        <f t="array" ref="Q1560">VALUE(INDEX(_xlfn.TEXTSPLIT(P1560, " "), 4))</f>
        <v>2014</v>
      </c>
      <c r="R1560" s="1" t="str">
        <f t="shared" si="24"/>
        <v>MINI Cooper S</v>
      </c>
      <c r="S1560" s="1" t="str" cm="1">
        <f t="array" ref="S1560">_xlfn.IFS(I1560 &gt;= 40, "High", I1560&gt;=20, "Medium", I1560&lt;20, "Low")</f>
        <v>High</v>
      </c>
      <c r="T1560" s="1" t="str" cm="1">
        <f t="array" ref="T1560">_xlfn.IFS(O1560&lt;18200, "Low", O1560&lt;=50000, "Medium", O1560&gt;50000, "High")</f>
        <v>Medium</v>
      </c>
    </row>
    <row r="1561" spans="1:20" x14ac:dyDescent="0.25">
      <c r="A1561" s="2">
        <v>2012</v>
      </c>
      <c r="B1561" s="1" t="s">
        <v>318</v>
      </c>
      <c r="C1561" s="1" t="s">
        <v>323</v>
      </c>
      <c r="D1561" s="1" t="s">
        <v>324</v>
      </c>
      <c r="E1561" s="1" t="s">
        <v>323</v>
      </c>
      <c r="F1561" s="1" t="s">
        <v>20</v>
      </c>
      <c r="G1561" s="1" t="s">
        <v>2323</v>
      </c>
      <c r="H1561" s="1" t="s">
        <v>22</v>
      </c>
      <c r="I1561" s="1">
        <v>42</v>
      </c>
      <c r="J1561" s="1">
        <v>28412</v>
      </c>
      <c r="K1561" s="1" t="s">
        <v>23</v>
      </c>
      <c r="L1561" s="1" t="s">
        <v>24</v>
      </c>
      <c r="M1561" s="1" t="s">
        <v>635</v>
      </c>
      <c r="N1561" s="1">
        <v>21900</v>
      </c>
      <c r="O1561" s="12">
        <v>21250</v>
      </c>
      <c r="P1561" s="3" t="s">
        <v>68</v>
      </c>
      <c r="Q1561" s="1" cm="1">
        <f t="array" ref="Q1561">VALUE(INDEX(_xlfn.TEXTSPLIT(P1561, " "), 4))</f>
        <v>2014</v>
      </c>
      <c r="R1561" s="1" t="str">
        <f t="shared" si="24"/>
        <v>Infiniti G Sedan G37 Journey</v>
      </c>
      <c r="S1561" s="1" t="str" cm="1">
        <f t="array" ref="S1561">_xlfn.IFS(I1561 &gt;= 40, "High", I1561&gt;=20, "Medium", I1561&lt;20, "Low")</f>
        <v>High</v>
      </c>
      <c r="T1561" s="1" t="str" cm="1">
        <f t="array" ref="T1561">_xlfn.IFS(O1561&lt;18200, "Low", O1561&lt;=50000, "Medium", O1561&gt;50000, "High")</f>
        <v>Medium</v>
      </c>
    </row>
    <row r="1562" spans="1:20" x14ac:dyDescent="0.25">
      <c r="A1562" s="2">
        <v>2012</v>
      </c>
      <c r="B1562" s="1" t="s">
        <v>632</v>
      </c>
      <c r="C1562" s="1" t="s">
        <v>677</v>
      </c>
      <c r="D1562" s="1" t="s">
        <v>744</v>
      </c>
      <c r="E1562" s="1" t="s">
        <v>32</v>
      </c>
      <c r="F1562" s="1" t="s">
        <v>20</v>
      </c>
      <c r="G1562" s="1" t="s">
        <v>2324</v>
      </c>
      <c r="H1562" s="1" t="s">
        <v>22</v>
      </c>
      <c r="I1562" s="1">
        <v>37</v>
      </c>
      <c r="J1562" s="1">
        <v>64821</v>
      </c>
      <c r="K1562" s="1" t="s">
        <v>34</v>
      </c>
      <c r="L1562" s="1" t="s">
        <v>24</v>
      </c>
      <c r="M1562" s="1" t="s">
        <v>555</v>
      </c>
      <c r="N1562" s="1">
        <v>8000</v>
      </c>
      <c r="O1562" s="12">
        <v>9500</v>
      </c>
      <c r="P1562" s="3" t="s">
        <v>26</v>
      </c>
      <c r="Q1562" s="1" cm="1">
        <f t="array" ref="Q1562">VALUE(INDEX(_xlfn.TEXTSPLIT(P1562, " "), 4))</f>
        <v>2014</v>
      </c>
      <c r="R1562" s="1" t="str">
        <f t="shared" si="24"/>
        <v>Mazda Mazda3 i Sport</v>
      </c>
      <c r="S1562" s="1" t="str" cm="1">
        <f t="array" ref="S1562">_xlfn.IFS(I1562 &gt;= 40, "High", I1562&gt;=20, "Medium", I1562&lt;20, "Low")</f>
        <v>Medium</v>
      </c>
      <c r="T1562" s="1" t="str" cm="1">
        <f t="array" ref="T1562">_xlfn.IFS(O1562&lt;18200, "Low", O1562&lt;=50000, "Medium", O1562&gt;50000, "High")</f>
        <v>Low</v>
      </c>
    </row>
    <row r="1563" spans="1:20" x14ac:dyDescent="0.25">
      <c r="A1563" s="2">
        <v>2012</v>
      </c>
      <c r="B1563" s="1" t="s">
        <v>47</v>
      </c>
      <c r="C1563" s="1" t="s">
        <v>48</v>
      </c>
      <c r="D1563" s="1" t="s">
        <v>49</v>
      </c>
      <c r="E1563" s="1" t="s">
        <v>32</v>
      </c>
      <c r="F1563" s="1" t="s">
        <v>20</v>
      </c>
      <c r="G1563" s="1" t="s">
        <v>2325</v>
      </c>
      <c r="H1563" s="1" t="s">
        <v>22</v>
      </c>
      <c r="I1563" s="1">
        <v>25</v>
      </c>
      <c r="J1563" s="1">
        <v>35691</v>
      </c>
      <c r="K1563" s="1" t="s">
        <v>34</v>
      </c>
      <c r="L1563" s="1" t="s">
        <v>24</v>
      </c>
      <c r="M1563" s="1" t="s">
        <v>217</v>
      </c>
      <c r="N1563" s="1">
        <v>12300</v>
      </c>
      <c r="O1563" s="12">
        <v>10500</v>
      </c>
      <c r="P1563" s="3" t="s">
        <v>26</v>
      </c>
      <c r="Q1563" s="1" cm="1">
        <f t="array" ref="Q1563">VALUE(INDEX(_xlfn.TEXTSPLIT(P1563, " "), 4))</f>
        <v>2014</v>
      </c>
      <c r="R1563" s="1" t="str">
        <f t="shared" si="24"/>
        <v>Nissan Altima 2.5 S</v>
      </c>
      <c r="S1563" s="1" t="str" cm="1">
        <f t="array" ref="S1563">_xlfn.IFS(I1563 &gt;= 40, "High", I1563&gt;=20, "Medium", I1563&lt;20, "Low")</f>
        <v>Medium</v>
      </c>
      <c r="T1563" s="1" t="str" cm="1">
        <f t="array" ref="T1563">_xlfn.IFS(O1563&lt;18200, "Low", O1563&lt;=50000, "Medium", O1563&gt;50000, "High")</f>
        <v>Low</v>
      </c>
    </row>
    <row r="1564" spans="1:20" x14ac:dyDescent="0.25">
      <c r="A1564" s="2">
        <v>2012</v>
      </c>
      <c r="B1564" s="1" t="s">
        <v>608</v>
      </c>
      <c r="C1564" s="1" t="s">
        <v>609</v>
      </c>
      <c r="D1564" s="1" t="s">
        <v>610</v>
      </c>
      <c r="E1564" s="1" t="s">
        <v>32</v>
      </c>
      <c r="F1564" s="1" t="s">
        <v>20</v>
      </c>
      <c r="G1564" s="1" t="s">
        <v>2326</v>
      </c>
      <c r="H1564" s="1" t="s">
        <v>22</v>
      </c>
      <c r="I1564" s="1">
        <v>33</v>
      </c>
      <c r="J1564" s="1">
        <v>40158</v>
      </c>
      <c r="K1564" s="1" t="s">
        <v>101</v>
      </c>
      <c r="L1564" s="1" t="s">
        <v>24</v>
      </c>
      <c r="M1564" s="1" t="s">
        <v>612</v>
      </c>
      <c r="N1564" s="1">
        <v>43100</v>
      </c>
      <c r="O1564" s="12">
        <v>40500</v>
      </c>
      <c r="P1564" s="3" t="s">
        <v>42</v>
      </c>
      <c r="Q1564" s="1" cm="1">
        <f t="array" ref="Q1564">VALUE(INDEX(_xlfn.TEXTSPLIT(P1564, " "), 4))</f>
        <v>2015</v>
      </c>
      <c r="R1564" s="1" t="str">
        <f t="shared" si="24"/>
        <v>Mercedes-Benz S-Class S550</v>
      </c>
      <c r="S1564" s="1" t="str" cm="1">
        <f t="array" ref="S1564">_xlfn.IFS(I1564 &gt;= 40, "High", I1564&gt;=20, "Medium", I1564&lt;20, "Low")</f>
        <v>Medium</v>
      </c>
      <c r="T1564" s="1" t="str" cm="1">
        <f t="array" ref="T1564">_xlfn.IFS(O1564&lt;18200, "Low", O1564&lt;=50000, "Medium", O1564&gt;50000, "High")</f>
        <v>Medium</v>
      </c>
    </row>
    <row r="1565" spans="1:20" x14ac:dyDescent="0.25">
      <c r="A1565" s="2">
        <v>2012</v>
      </c>
      <c r="B1565" s="1" t="s">
        <v>2327</v>
      </c>
      <c r="C1565" s="1" t="s">
        <v>2328</v>
      </c>
      <c r="D1565" s="1" t="s">
        <v>2329</v>
      </c>
      <c r="E1565" s="1"/>
      <c r="F1565" s="1" t="s">
        <v>20</v>
      </c>
      <c r="G1565" s="1" t="s">
        <v>2330</v>
      </c>
      <c r="H1565" s="1" t="s">
        <v>22</v>
      </c>
      <c r="I1565" s="1">
        <v>41</v>
      </c>
      <c r="J1565" s="1">
        <v>66882</v>
      </c>
      <c r="K1565" s="1" t="s">
        <v>73</v>
      </c>
      <c r="L1565" s="1" t="s">
        <v>24</v>
      </c>
      <c r="M1565" s="1" t="s">
        <v>431</v>
      </c>
      <c r="N1565" s="1">
        <v>7925</v>
      </c>
      <c r="O1565" s="12">
        <v>8400</v>
      </c>
      <c r="P1565" s="3" t="s">
        <v>26</v>
      </c>
      <c r="Q1565" s="1" cm="1">
        <f t="array" ref="Q1565">VALUE(INDEX(_xlfn.TEXTSPLIT(P1565, " "), 4))</f>
        <v>2014</v>
      </c>
      <c r="R1565" s="1" t="str">
        <f t="shared" si="24"/>
        <v>mitsubishi galant fe</v>
      </c>
      <c r="S1565" s="1" t="str" cm="1">
        <f t="array" ref="S1565">_xlfn.IFS(I1565 &gt;= 40, "High", I1565&gt;=20, "Medium", I1565&lt;20, "Low")</f>
        <v>High</v>
      </c>
      <c r="T1565" s="1" t="str" cm="1">
        <f t="array" ref="T1565">_xlfn.IFS(O1565&lt;18200, "Low", O1565&lt;=50000, "Medium", O1565&gt;50000, "High")</f>
        <v>Low</v>
      </c>
    </row>
    <row r="1566" spans="1:20" x14ac:dyDescent="0.25">
      <c r="A1566" s="2">
        <v>2012</v>
      </c>
      <c r="B1566" s="1" t="s">
        <v>47</v>
      </c>
      <c r="C1566" s="1" t="s">
        <v>940</v>
      </c>
      <c r="D1566" s="1">
        <v>2</v>
      </c>
      <c r="E1566" s="1" t="s">
        <v>32</v>
      </c>
      <c r="F1566" s="1" t="s">
        <v>20</v>
      </c>
      <c r="G1566" s="1" t="s">
        <v>2331</v>
      </c>
      <c r="H1566" s="1" t="s">
        <v>22</v>
      </c>
      <c r="I1566" s="1">
        <v>36</v>
      </c>
      <c r="J1566" s="1">
        <v>33730</v>
      </c>
      <c r="K1566" s="1" t="s">
        <v>24</v>
      </c>
      <c r="L1566" s="1" t="s">
        <v>34</v>
      </c>
      <c r="M1566" s="1" t="s">
        <v>2332</v>
      </c>
      <c r="N1566" s="1">
        <v>9600</v>
      </c>
      <c r="O1566" s="12">
        <v>10400</v>
      </c>
      <c r="P1566" s="3" t="s">
        <v>2333</v>
      </c>
      <c r="Q1566" s="1" cm="1">
        <f t="array" ref="Q1566">VALUE(INDEX(_xlfn.TEXTSPLIT(P1566, " "), 4))</f>
        <v>2015</v>
      </c>
      <c r="R1566" s="1" t="str">
        <f t="shared" si="24"/>
        <v>Nissan Sentra 2</v>
      </c>
      <c r="S1566" s="1" t="str" cm="1">
        <f t="array" ref="S1566">_xlfn.IFS(I1566 &gt;= 40, "High", I1566&gt;=20, "Medium", I1566&lt;20, "Low")</f>
        <v>Medium</v>
      </c>
      <c r="T1566" s="1" t="str" cm="1">
        <f t="array" ref="T1566">_xlfn.IFS(O1566&lt;18200, "Low", O1566&lt;=50000, "Medium", O1566&gt;50000, "High")</f>
        <v>Low</v>
      </c>
    </row>
    <row r="1567" spans="1:20" x14ac:dyDescent="0.25">
      <c r="A1567" s="2">
        <v>2012</v>
      </c>
      <c r="B1567" s="1" t="s">
        <v>608</v>
      </c>
      <c r="C1567" s="1" t="s">
        <v>2186</v>
      </c>
      <c r="D1567" s="1" t="s">
        <v>2187</v>
      </c>
      <c r="E1567" s="1" t="s">
        <v>71</v>
      </c>
      <c r="F1567" s="1" t="s">
        <v>20</v>
      </c>
      <c r="G1567" s="1" t="s">
        <v>2334</v>
      </c>
      <c r="H1567" s="1" t="s">
        <v>22</v>
      </c>
      <c r="I1567" s="1">
        <v>39</v>
      </c>
      <c r="J1567" s="1">
        <v>26776</v>
      </c>
      <c r="K1567" s="1" t="s">
        <v>91</v>
      </c>
      <c r="L1567" s="1" t="s">
        <v>24</v>
      </c>
      <c r="M1567" s="1" t="s">
        <v>2335</v>
      </c>
      <c r="N1567" s="1">
        <v>58400</v>
      </c>
      <c r="O1567" s="12">
        <v>20500</v>
      </c>
      <c r="P1567" s="3" t="s">
        <v>42</v>
      </c>
      <c r="Q1567" s="1" cm="1">
        <f t="array" ref="Q1567">VALUE(INDEX(_xlfn.TEXTSPLIT(P1567, " "), 4))</f>
        <v>2015</v>
      </c>
      <c r="R1567" s="1" t="str">
        <f t="shared" si="24"/>
        <v>Mercedes-Benz SL-Class SL550</v>
      </c>
      <c r="S1567" s="1" t="str" cm="1">
        <f t="array" ref="S1567">_xlfn.IFS(I1567 &gt;= 40, "High", I1567&gt;=20, "Medium", I1567&lt;20, "Low")</f>
        <v>Medium</v>
      </c>
      <c r="T1567" s="1" t="str" cm="1">
        <f t="array" ref="T1567">_xlfn.IFS(O1567&lt;18200, "Low", O1567&lt;=50000, "Medium", O1567&gt;50000, "High")</f>
        <v>Medium</v>
      </c>
    </row>
    <row r="1568" spans="1:20" x14ac:dyDescent="0.25">
      <c r="A1568" s="2">
        <v>2012</v>
      </c>
      <c r="B1568" s="1" t="s">
        <v>47</v>
      </c>
      <c r="C1568" s="1" t="s">
        <v>212</v>
      </c>
      <c r="D1568" s="1" t="s">
        <v>2336</v>
      </c>
      <c r="E1568" s="1" t="s">
        <v>227</v>
      </c>
      <c r="F1568" s="1"/>
      <c r="G1568" s="1" t="s">
        <v>2337</v>
      </c>
      <c r="H1568" s="1" t="s">
        <v>22</v>
      </c>
      <c r="I1568" s="1">
        <v>34</v>
      </c>
      <c r="J1568" s="1">
        <v>42619</v>
      </c>
      <c r="K1568" s="1" t="s">
        <v>91</v>
      </c>
      <c r="L1568" s="1" t="s">
        <v>24</v>
      </c>
      <c r="M1568" s="1" t="s">
        <v>377</v>
      </c>
      <c r="N1568" s="1">
        <v>7875</v>
      </c>
      <c r="O1568" s="12">
        <v>7600</v>
      </c>
      <c r="P1568" s="3" t="s">
        <v>57</v>
      </c>
      <c r="Q1568" s="1" cm="1">
        <f t="array" ref="Q1568">VALUE(INDEX(_xlfn.TEXTSPLIT(P1568, " "), 4))</f>
        <v>2014</v>
      </c>
      <c r="R1568" s="1" t="str">
        <f t="shared" si="24"/>
        <v>Nissan Versa 1.8 S</v>
      </c>
      <c r="S1568" s="1" t="str" cm="1">
        <f t="array" ref="S1568">_xlfn.IFS(I1568 &gt;= 40, "High", I1568&gt;=20, "Medium", I1568&lt;20, "Low")</f>
        <v>Medium</v>
      </c>
      <c r="T1568" s="1" t="str" cm="1">
        <f t="array" ref="T1568">_xlfn.IFS(O1568&lt;18200, "Low", O1568&lt;=50000, "Medium", O1568&gt;50000, "High")</f>
        <v>Low</v>
      </c>
    </row>
    <row r="1569" spans="1:20" x14ac:dyDescent="0.25">
      <c r="A1569" s="2">
        <v>2012</v>
      </c>
      <c r="B1569" s="1" t="s">
        <v>47</v>
      </c>
      <c r="C1569" s="1" t="s">
        <v>959</v>
      </c>
      <c r="D1569" s="1" t="s">
        <v>960</v>
      </c>
      <c r="E1569" s="1" t="s">
        <v>227</v>
      </c>
      <c r="F1569" s="1" t="s">
        <v>20</v>
      </c>
      <c r="G1569" s="1" t="s">
        <v>2338</v>
      </c>
      <c r="H1569" s="1" t="s">
        <v>22</v>
      </c>
      <c r="I1569" s="1">
        <v>46</v>
      </c>
      <c r="J1569" s="1">
        <v>39384</v>
      </c>
      <c r="K1569" s="1" t="s">
        <v>101</v>
      </c>
      <c r="L1569" s="1" t="s">
        <v>28</v>
      </c>
      <c r="M1569" s="1" t="s">
        <v>217</v>
      </c>
      <c r="N1569" s="1">
        <v>10100</v>
      </c>
      <c r="O1569" s="12">
        <v>12000</v>
      </c>
      <c r="P1569" s="3" t="s">
        <v>57</v>
      </c>
      <c r="Q1569" s="1" cm="1">
        <f t="array" ref="Q1569">VALUE(INDEX(_xlfn.TEXTSPLIT(P1569, " "), 4))</f>
        <v>2014</v>
      </c>
      <c r="R1569" s="1" t="str">
        <f t="shared" si="24"/>
        <v>Nissan Leaf SL</v>
      </c>
      <c r="S1569" s="1" t="str" cm="1">
        <f t="array" ref="S1569">_xlfn.IFS(I1569 &gt;= 40, "High", I1569&gt;=20, "Medium", I1569&lt;20, "Low")</f>
        <v>High</v>
      </c>
      <c r="T1569" s="1" t="str" cm="1">
        <f t="array" ref="T1569">_xlfn.IFS(O1569&lt;18200, "Low", O1569&lt;=50000, "Medium", O1569&gt;50000, "High")</f>
        <v>Low</v>
      </c>
    </row>
    <row r="1570" spans="1:20" x14ac:dyDescent="0.25">
      <c r="A1570" s="2">
        <v>2012</v>
      </c>
      <c r="B1570" s="1" t="s">
        <v>47</v>
      </c>
      <c r="C1570" s="1" t="s">
        <v>48</v>
      </c>
      <c r="D1570" s="1" t="s">
        <v>49</v>
      </c>
      <c r="E1570" s="1" t="s">
        <v>32</v>
      </c>
      <c r="F1570" s="1" t="s">
        <v>20</v>
      </c>
      <c r="G1570" s="1" t="s">
        <v>2339</v>
      </c>
      <c r="H1570" s="1" t="s">
        <v>22</v>
      </c>
      <c r="I1570" s="1">
        <v>46</v>
      </c>
      <c r="J1570" s="1">
        <v>37161</v>
      </c>
      <c r="K1570" s="1" t="s">
        <v>384</v>
      </c>
      <c r="L1570" s="1" t="s">
        <v>28</v>
      </c>
      <c r="M1570" s="1" t="s">
        <v>217</v>
      </c>
      <c r="N1570" s="1">
        <v>12200</v>
      </c>
      <c r="O1570" s="12">
        <v>12250</v>
      </c>
      <c r="P1570" s="3" t="s">
        <v>26</v>
      </c>
      <c r="Q1570" s="1" cm="1">
        <f t="array" ref="Q1570">VALUE(INDEX(_xlfn.TEXTSPLIT(P1570, " "), 4))</f>
        <v>2014</v>
      </c>
      <c r="R1570" s="1" t="str">
        <f t="shared" si="24"/>
        <v>Nissan Altima 2.5 S</v>
      </c>
      <c r="S1570" s="1" t="str" cm="1">
        <f t="array" ref="S1570">_xlfn.IFS(I1570 &gt;= 40, "High", I1570&gt;=20, "Medium", I1570&lt;20, "Low")</f>
        <v>High</v>
      </c>
      <c r="T1570" s="1" t="str" cm="1">
        <f t="array" ref="T1570">_xlfn.IFS(O1570&lt;18200, "Low", O1570&lt;=50000, "Medium", O1570&gt;50000, "High")</f>
        <v>Low</v>
      </c>
    </row>
    <row r="1571" spans="1:20" x14ac:dyDescent="0.25">
      <c r="A1571" s="2">
        <v>2012</v>
      </c>
      <c r="B1571" s="1" t="s">
        <v>2340</v>
      </c>
      <c r="C1571" s="1">
        <v>1500</v>
      </c>
      <c r="D1571" s="1" t="s">
        <v>2341</v>
      </c>
      <c r="E1571" s="1" t="s">
        <v>1767</v>
      </c>
      <c r="F1571" s="1"/>
      <c r="G1571" s="1" t="s">
        <v>2342</v>
      </c>
      <c r="H1571" s="1" t="s">
        <v>22</v>
      </c>
      <c r="I1571" s="1"/>
      <c r="J1571" s="1">
        <v>21916</v>
      </c>
      <c r="K1571" s="1" t="s">
        <v>34</v>
      </c>
      <c r="L1571" s="1" t="s">
        <v>101</v>
      </c>
      <c r="M1571" s="1" t="s">
        <v>1297</v>
      </c>
      <c r="N1571" s="1">
        <v>19850</v>
      </c>
      <c r="O1571" s="12">
        <v>22250</v>
      </c>
      <c r="P1571" s="3" t="s">
        <v>26</v>
      </c>
      <c r="Q1571" s="1" cm="1">
        <f t="array" ref="Q1571">VALUE(INDEX(_xlfn.TEXTSPLIT(P1571, " "), 4))</f>
        <v>2014</v>
      </c>
      <c r="R1571" s="1" t="str">
        <f t="shared" si="24"/>
        <v>Ram 1500 R/T</v>
      </c>
      <c r="S1571" s="1" t="str" cm="1">
        <f t="array" ref="S1571">_xlfn.IFS(I1571 &gt;= 40, "High", I1571&gt;=20, "Medium", I1571&lt;20, "Low")</f>
        <v>Low</v>
      </c>
      <c r="T1571" s="1" t="str" cm="1">
        <f t="array" ref="T1571">_xlfn.IFS(O1571&lt;18200, "Low", O1571&lt;=50000, "Medium", O1571&gt;50000, "High")</f>
        <v>Medium</v>
      </c>
    </row>
    <row r="1572" spans="1:20" x14ac:dyDescent="0.25">
      <c r="A1572" s="2">
        <v>2012</v>
      </c>
      <c r="B1572" s="1" t="s">
        <v>47</v>
      </c>
      <c r="C1572" s="1" t="s">
        <v>48</v>
      </c>
      <c r="D1572" s="1" t="s">
        <v>49</v>
      </c>
      <c r="E1572" s="1" t="s">
        <v>32</v>
      </c>
      <c r="F1572" s="1" t="s">
        <v>20</v>
      </c>
      <c r="G1572" s="1" t="s">
        <v>2343</v>
      </c>
      <c r="H1572" s="1" t="s">
        <v>22</v>
      </c>
      <c r="I1572" s="1">
        <v>35</v>
      </c>
      <c r="J1572" s="1">
        <v>61267</v>
      </c>
      <c r="K1572" s="1" t="s">
        <v>73</v>
      </c>
      <c r="L1572" s="1" t="s">
        <v>24</v>
      </c>
      <c r="M1572" s="1" t="s">
        <v>2344</v>
      </c>
      <c r="N1572" s="1">
        <v>9925</v>
      </c>
      <c r="O1572" s="12">
        <v>9800</v>
      </c>
      <c r="P1572" s="3" t="s">
        <v>26</v>
      </c>
      <c r="Q1572" s="1" cm="1">
        <f t="array" ref="Q1572">VALUE(INDEX(_xlfn.TEXTSPLIT(P1572, " "), 4))</f>
        <v>2014</v>
      </c>
      <c r="R1572" s="1" t="str">
        <f t="shared" si="24"/>
        <v>Nissan Altima 2.5 S</v>
      </c>
      <c r="S1572" s="1" t="str" cm="1">
        <f t="array" ref="S1572">_xlfn.IFS(I1572 &gt;= 40, "High", I1572&gt;=20, "Medium", I1572&lt;20, "Low")</f>
        <v>Medium</v>
      </c>
      <c r="T1572" s="1" t="str" cm="1">
        <f t="array" ref="T1572">_xlfn.IFS(O1572&lt;18200, "Low", O1572&lt;=50000, "Medium", O1572&gt;50000, "High")</f>
        <v>Low</v>
      </c>
    </row>
    <row r="1573" spans="1:20" x14ac:dyDescent="0.25">
      <c r="A1573" s="2">
        <v>2012</v>
      </c>
      <c r="B1573" s="1" t="s">
        <v>2340</v>
      </c>
      <c r="C1573" s="1">
        <v>1500</v>
      </c>
      <c r="D1573" s="1" t="s">
        <v>2345</v>
      </c>
      <c r="E1573" s="1" t="s">
        <v>1767</v>
      </c>
      <c r="F1573" s="1" t="s">
        <v>20</v>
      </c>
      <c r="G1573" s="1" t="s">
        <v>2346</v>
      </c>
      <c r="H1573" s="1" t="s">
        <v>22</v>
      </c>
      <c r="I1573" s="1">
        <v>36</v>
      </c>
      <c r="J1573" s="1">
        <v>81338</v>
      </c>
      <c r="K1573" s="1" t="s">
        <v>23</v>
      </c>
      <c r="L1573" s="1" t="s">
        <v>24</v>
      </c>
      <c r="M1573" s="1" t="s">
        <v>1561</v>
      </c>
      <c r="N1573" s="1">
        <v>11750</v>
      </c>
      <c r="O1573" s="12">
        <v>10000</v>
      </c>
      <c r="P1573" s="3" t="s">
        <v>68</v>
      </c>
      <c r="Q1573" s="1" cm="1">
        <f t="array" ref="Q1573">VALUE(INDEX(_xlfn.TEXTSPLIT(P1573, " "), 4))</f>
        <v>2014</v>
      </c>
      <c r="R1573" s="1" t="str">
        <f t="shared" si="24"/>
        <v>Ram 1500 ST</v>
      </c>
      <c r="S1573" s="1" t="str" cm="1">
        <f t="array" ref="S1573">_xlfn.IFS(I1573 &gt;= 40, "High", I1573&gt;=20, "Medium", I1573&lt;20, "Low")</f>
        <v>Medium</v>
      </c>
      <c r="T1573" s="1" t="str" cm="1">
        <f t="array" ref="T1573">_xlfn.IFS(O1573&lt;18200, "Low", O1573&lt;=50000, "Medium", O1573&gt;50000, "High")</f>
        <v>Low</v>
      </c>
    </row>
    <row r="1574" spans="1:20" x14ac:dyDescent="0.25">
      <c r="A1574" s="2">
        <v>2012</v>
      </c>
      <c r="B1574" s="1" t="s">
        <v>47</v>
      </c>
      <c r="C1574" s="1" t="s">
        <v>48</v>
      </c>
      <c r="D1574" s="1" t="s">
        <v>49</v>
      </c>
      <c r="E1574" s="1" t="s">
        <v>32</v>
      </c>
      <c r="F1574" s="1" t="s">
        <v>20</v>
      </c>
      <c r="G1574" s="1" t="s">
        <v>2347</v>
      </c>
      <c r="H1574" s="1" t="s">
        <v>22</v>
      </c>
      <c r="I1574" s="1">
        <v>38</v>
      </c>
      <c r="J1574" s="1">
        <v>36353</v>
      </c>
      <c r="K1574" s="1" t="s">
        <v>23</v>
      </c>
      <c r="L1574" s="1" t="s">
        <v>24</v>
      </c>
      <c r="M1574" s="1" t="s">
        <v>217</v>
      </c>
      <c r="N1574" s="1">
        <v>12250</v>
      </c>
      <c r="O1574" s="12">
        <v>12000</v>
      </c>
      <c r="P1574" s="3" t="s">
        <v>26</v>
      </c>
      <c r="Q1574" s="1" cm="1">
        <f t="array" ref="Q1574">VALUE(INDEX(_xlfn.TEXTSPLIT(P1574, " "), 4))</f>
        <v>2014</v>
      </c>
      <c r="R1574" s="1" t="str">
        <f t="shared" si="24"/>
        <v>Nissan Altima 2.5 S</v>
      </c>
      <c r="S1574" s="1" t="str" cm="1">
        <f t="array" ref="S1574">_xlfn.IFS(I1574 &gt;= 40, "High", I1574&gt;=20, "Medium", I1574&lt;20, "Low")</f>
        <v>Medium</v>
      </c>
      <c r="T1574" s="1" t="str" cm="1">
        <f t="array" ref="T1574">_xlfn.IFS(O1574&lt;18200, "Low", O1574&lt;=50000, "Medium", O1574&gt;50000, "High")</f>
        <v>Low</v>
      </c>
    </row>
    <row r="1575" spans="1:20" x14ac:dyDescent="0.25">
      <c r="A1575" s="2">
        <v>2012</v>
      </c>
      <c r="B1575" s="1" t="s">
        <v>47</v>
      </c>
      <c r="C1575" s="1" t="s">
        <v>212</v>
      </c>
      <c r="D1575" s="1" t="s">
        <v>2336</v>
      </c>
      <c r="E1575" s="1" t="s">
        <v>227</v>
      </c>
      <c r="F1575" s="1"/>
      <c r="G1575" s="1" t="s">
        <v>2348</v>
      </c>
      <c r="H1575" s="1" t="s">
        <v>22</v>
      </c>
      <c r="I1575" s="1">
        <v>36</v>
      </c>
      <c r="J1575" s="1">
        <v>43546</v>
      </c>
      <c r="K1575" s="1" t="s">
        <v>24</v>
      </c>
      <c r="L1575" s="1" t="s">
        <v>24</v>
      </c>
      <c r="M1575" s="1" t="s">
        <v>644</v>
      </c>
      <c r="N1575" s="1">
        <v>7825</v>
      </c>
      <c r="O1575" s="12">
        <v>8400</v>
      </c>
      <c r="P1575" s="3" t="s">
        <v>57</v>
      </c>
      <c r="Q1575" s="1" cm="1">
        <f t="array" ref="Q1575">VALUE(INDEX(_xlfn.TEXTSPLIT(P1575, " "), 4))</f>
        <v>2014</v>
      </c>
      <c r="R1575" s="1" t="str">
        <f t="shared" si="24"/>
        <v>Nissan Versa 1.8 S</v>
      </c>
      <c r="S1575" s="1" t="str" cm="1">
        <f t="array" ref="S1575">_xlfn.IFS(I1575 &gt;= 40, "High", I1575&gt;=20, "Medium", I1575&lt;20, "Low")</f>
        <v>Medium</v>
      </c>
      <c r="T1575" s="1" t="str" cm="1">
        <f t="array" ref="T1575">_xlfn.IFS(O1575&lt;18200, "Low", O1575&lt;=50000, "Medium", O1575&gt;50000, "High")</f>
        <v>Low</v>
      </c>
    </row>
    <row r="1576" spans="1:20" x14ac:dyDescent="0.25">
      <c r="A1576" s="2">
        <v>2012</v>
      </c>
      <c r="B1576" s="1" t="s">
        <v>47</v>
      </c>
      <c r="C1576" s="1" t="s">
        <v>48</v>
      </c>
      <c r="D1576" s="1" t="s">
        <v>49</v>
      </c>
      <c r="E1576" s="1" t="s">
        <v>32</v>
      </c>
      <c r="F1576" s="1" t="s">
        <v>20</v>
      </c>
      <c r="G1576" s="1" t="s">
        <v>2349</v>
      </c>
      <c r="H1576" s="1" t="s">
        <v>22</v>
      </c>
      <c r="I1576" s="1">
        <v>25</v>
      </c>
      <c r="J1576" s="1">
        <v>77489</v>
      </c>
      <c r="K1576" s="1" t="s">
        <v>94</v>
      </c>
      <c r="L1576" s="1" t="s">
        <v>24</v>
      </c>
      <c r="M1576" s="1" t="s">
        <v>1591</v>
      </c>
      <c r="N1576" s="1">
        <v>9125</v>
      </c>
      <c r="O1576" s="12">
        <v>8000</v>
      </c>
      <c r="P1576" s="3" t="s">
        <v>84</v>
      </c>
      <c r="Q1576" s="1" cm="1">
        <f t="array" ref="Q1576">VALUE(INDEX(_xlfn.TEXTSPLIT(P1576, " "), 4))</f>
        <v>2014</v>
      </c>
      <c r="R1576" s="1" t="str">
        <f t="shared" si="24"/>
        <v>Nissan Altima 2.5 S</v>
      </c>
      <c r="S1576" s="1" t="str" cm="1">
        <f t="array" ref="S1576">_xlfn.IFS(I1576 &gt;= 40, "High", I1576&gt;=20, "Medium", I1576&lt;20, "Low")</f>
        <v>Medium</v>
      </c>
      <c r="T1576" s="1" t="str" cm="1">
        <f t="array" ref="T1576">_xlfn.IFS(O1576&lt;18200, "Low", O1576&lt;=50000, "Medium", O1576&gt;50000, "High")</f>
        <v>Low</v>
      </c>
    </row>
    <row r="1577" spans="1:20" x14ac:dyDescent="0.25">
      <c r="A1577" s="2">
        <v>2012</v>
      </c>
      <c r="B1577" s="1" t="s">
        <v>47</v>
      </c>
      <c r="C1577" s="1" t="s">
        <v>940</v>
      </c>
      <c r="D1577" s="1">
        <v>2</v>
      </c>
      <c r="E1577" s="1" t="s">
        <v>32</v>
      </c>
      <c r="F1577" s="1"/>
      <c r="G1577" s="1" t="s">
        <v>2350</v>
      </c>
      <c r="H1577" s="1" t="s">
        <v>22</v>
      </c>
      <c r="I1577" s="1">
        <v>19</v>
      </c>
      <c r="J1577" s="1">
        <v>55034</v>
      </c>
      <c r="K1577" s="1" t="s">
        <v>24</v>
      </c>
      <c r="L1577" s="1" t="s">
        <v>34</v>
      </c>
      <c r="M1577" s="1" t="s">
        <v>680</v>
      </c>
      <c r="N1577" s="1">
        <v>8450</v>
      </c>
      <c r="O1577" s="12">
        <v>5200</v>
      </c>
      <c r="P1577" s="3" t="s">
        <v>1377</v>
      </c>
      <c r="Q1577" s="1" cm="1">
        <f t="array" ref="Q1577">VALUE(INDEX(_xlfn.TEXTSPLIT(P1577, " "), 4))</f>
        <v>2014</v>
      </c>
      <c r="R1577" s="1" t="str">
        <f t="shared" si="24"/>
        <v>Nissan Sentra 2</v>
      </c>
      <c r="S1577" s="1" t="str" cm="1">
        <f t="array" ref="S1577">_xlfn.IFS(I1577 &gt;= 40, "High", I1577&gt;=20, "Medium", I1577&lt;20, "Low")</f>
        <v>Low</v>
      </c>
      <c r="T1577" s="1" t="str" cm="1">
        <f t="array" ref="T1577">_xlfn.IFS(O1577&lt;18200, "Low", O1577&lt;=50000, "Medium", O1577&gt;50000, "High")</f>
        <v>Low</v>
      </c>
    </row>
    <row r="1578" spans="1:20" x14ac:dyDescent="0.25">
      <c r="A1578" s="2">
        <v>2012</v>
      </c>
      <c r="B1578" s="1" t="s">
        <v>927</v>
      </c>
      <c r="C1578" s="1" t="s">
        <v>996</v>
      </c>
      <c r="D1578" s="1" t="s">
        <v>54</v>
      </c>
      <c r="E1578" s="1" t="s">
        <v>32</v>
      </c>
      <c r="F1578" s="1" t="s">
        <v>20</v>
      </c>
      <c r="G1578" s="1" t="s">
        <v>2351</v>
      </c>
      <c r="H1578" s="1" t="s">
        <v>22</v>
      </c>
      <c r="I1578" s="1">
        <v>35</v>
      </c>
      <c r="J1578" s="1">
        <v>48994</v>
      </c>
      <c r="K1578" s="1" t="s">
        <v>24</v>
      </c>
      <c r="L1578" s="1" t="s">
        <v>24</v>
      </c>
      <c r="M1578" s="1" t="s">
        <v>2352</v>
      </c>
      <c r="N1578" s="1">
        <v>17000</v>
      </c>
      <c r="O1578" s="12">
        <v>17000</v>
      </c>
      <c r="P1578" s="3" t="s">
        <v>57</v>
      </c>
      <c r="Q1578" s="1" cm="1">
        <f t="array" ref="Q1578">VALUE(INDEX(_xlfn.TEXTSPLIT(P1578, " "), 4))</f>
        <v>2014</v>
      </c>
      <c r="R1578" s="1" t="str">
        <f t="shared" si="24"/>
        <v>Toyota Avalon Base</v>
      </c>
      <c r="S1578" s="1" t="str" cm="1">
        <f t="array" ref="S1578">_xlfn.IFS(I1578 &gt;= 40, "High", I1578&gt;=20, "Medium", I1578&lt;20, "Low")</f>
        <v>Medium</v>
      </c>
      <c r="T1578" s="1" t="str" cm="1">
        <f t="array" ref="T1578">_xlfn.IFS(O1578&lt;18200, "Low", O1578&lt;=50000, "Medium", O1578&gt;50000, "High")</f>
        <v>Low</v>
      </c>
    </row>
    <row r="1579" spans="1:20" x14ac:dyDescent="0.25">
      <c r="A1579" s="2">
        <v>2012</v>
      </c>
      <c r="B1579" s="1" t="s">
        <v>47</v>
      </c>
      <c r="C1579" s="1" t="s">
        <v>1030</v>
      </c>
      <c r="D1579" s="1" t="s">
        <v>1110</v>
      </c>
      <c r="E1579" s="1" t="s">
        <v>32</v>
      </c>
      <c r="F1579" s="1" t="s">
        <v>20</v>
      </c>
      <c r="G1579" s="1" t="s">
        <v>2353</v>
      </c>
      <c r="H1579" s="1" t="s">
        <v>22</v>
      </c>
      <c r="I1579" s="1">
        <v>19</v>
      </c>
      <c r="J1579" s="1">
        <v>57933</v>
      </c>
      <c r="K1579" s="1" t="s">
        <v>94</v>
      </c>
      <c r="L1579" s="1" t="s">
        <v>24</v>
      </c>
      <c r="M1579" s="1" t="s">
        <v>56</v>
      </c>
      <c r="N1579" s="1">
        <v>15100</v>
      </c>
      <c r="O1579" s="12">
        <v>10000</v>
      </c>
      <c r="P1579" s="3" t="s">
        <v>2048</v>
      </c>
      <c r="Q1579" s="1" cm="1">
        <f t="array" ref="Q1579">VALUE(INDEX(_xlfn.TEXTSPLIT(P1579, " "), 4))</f>
        <v>2015</v>
      </c>
      <c r="R1579" s="1" t="str">
        <f t="shared" si="24"/>
        <v>Nissan Maxima 3.5 S</v>
      </c>
      <c r="S1579" s="1" t="str" cm="1">
        <f t="array" ref="S1579">_xlfn.IFS(I1579 &gt;= 40, "High", I1579&gt;=20, "Medium", I1579&lt;20, "Low")</f>
        <v>Low</v>
      </c>
      <c r="T1579" s="1" t="str" cm="1">
        <f t="array" ref="T1579">_xlfn.IFS(O1579&lt;18200, "Low", O1579&lt;=50000, "Medium", O1579&gt;50000, "High")</f>
        <v>Low</v>
      </c>
    </row>
    <row r="1580" spans="1:20" x14ac:dyDescent="0.25">
      <c r="A1580" s="2">
        <v>2012</v>
      </c>
      <c r="B1580" s="1" t="s">
        <v>2327</v>
      </c>
      <c r="C1580" s="1" t="s">
        <v>2328</v>
      </c>
      <c r="D1580" s="1" t="s">
        <v>2329</v>
      </c>
      <c r="E1580" s="1"/>
      <c r="F1580" s="1" t="s">
        <v>20</v>
      </c>
      <c r="G1580" s="1" t="s">
        <v>2354</v>
      </c>
      <c r="H1580" s="1" t="s">
        <v>22</v>
      </c>
      <c r="I1580" s="1">
        <v>31</v>
      </c>
      <c r="J1580" s="1">
        <v>66077</v>
      </c>
      <c r="K1580" s="1" t="s">
        <v>23</v>
      </c>
      <c r="L1580" s="1" t="s">
        <v>34</v>
      </c>
      <c r="M1580" s="1" t="s">
        <v>431</v>
      </c>
      <c r="N1580" s="1">
        <v>8000</v>
      </c>
      <c r="O1580" s="12">
        <v>7600</v>
      </c>
      <c r="P1580" s="3" t="s">
        <v>270</v>
      </c>
      <c r="Q1580" s="1" cm="1">
        <f t="array" ref="Q1580">VALUE(INDEX(_xlfn.TEXTSPLIT(P1580, " "), 4))</f>
        <v>2014</v>
      </c>
      <c r="R1580" s="1" t="str">
        <f t="shared" si="24"/>
        <v>mitsubishi galant fe</v>
      </c>
      <c r="S1580" s="1" t="str" cm="1">
        <f t="array" ref="S1580">_xlfn.IFS(I1580 &gt;= 40, "High", I1580&gt;=20, "Medium", I1580&lt;20, "Low")</f>
        <v>Medium</v>
      </c>
      <c r="T1580" s="1" t="str" cm="1">
        <f t="array" ref="T1580">_xlfn.IFS(O1580&lt;18200, "Low", O1580&lt;=50000, "Medium", O1580&gt;50000, "High")</f>
        <v>Low</v>
      </c>
    </row>
    <row r="1581" spans="1:20" x14ac:dyDescent="0.25">
      <c r="A1581" s="2">
        <v>2012</v>
      </c>
      <c r="B1581" s="1" t="s">
        <v>2327</v>
      </c>
      <c r="C1581" s="1" t="s">
        <v>2328</v>
      </c>
      <c r="D1581" s="1" t="s">
        <v>2329</v>
      </c>
      <c r="E1581" s="1"/>
      <c r="F1581" s="1" t="s">
        <v>20</v>
      </c>
      <c r="G1581" s="1" t="s">
        <v>2355</v>
      </c>
      <c r="H1581" s="1" t="s">
        <v>22</v>
      </c>
      <c r="I1581" s="1">
        <v>26</v>
      </c>
      <c r="J1581" s="1">
        <v>77118</v>
      </c>
      <c r="K1581" s="1" t="s">
        <v>24</v>
      </c>
      <c r="L1581" s="1" t="s">
        <v>24</v>
      </c>
      <c r="M1581" s="1" t="s">
        <v>1591</v>
      </c>
      <c r="N1581" s="1">
        <v>7650</v>
      </c>
      <c r="O1581" s="12">
        <v>7900</v>
      </c>
      <c r="P1581" s="3" t="s">
        <v>26</v>
      </c>
      <c r="Q1581" s="1" cm="1">
        <f t="array" ref="Q1581">VALUE(INDEX(_xlfn.TEXTSPLIT(P1581, " "), 4))</f>
        <v>2014</v>
      </c>
      <c r="R1581" s="1" t="str">
        <f t="shared" si="24"/>
        <v>mitsubishi galant fe</v>
      </c>
      <c r="S1581" s="1" t="str" cm="1">
        <f t="array" ref="S1581">_xlfn.IFS(I1581 &gt;= 40, "High", I1581&gt;=20, "Medium", I1581&lt;20, "Low")</f>
        <v>Medium</v>
      </c>
      <c r="T1581" s="1" t="str" cm="1">
        <f t="array" ref="T1581">_xlfn.IFS(O1581&lt;18200, "Low", O1581&lt;=50000, "Medium", O1581&gt;50000, "High")</f>
        <v>Low</v>
      </c>
    </row>
    <row r="1582" spans="1:20" x14ac:dyDescent="0.25">
      <c r="A1582" s="2">
        <v>2012</v>
      </c>
      <c r="B1582" s="1" t="s">
        <v>47</v>
      </c>
      <c r="C1582" s="1" t="s">
        <v>48</v>
      </c>
      <c r="D1582" s="1" t="s">
        <v>49</v>
      </c>
      <c r="E1582" s="1" t="s">
        <v>32</v>
      </c>
      <c r="F1582" s="1" t="s">
        <v>20</v>
      </c>
      <c r="G1582" s="1" t="s">
        <v>2356</v>
      </c>
      <c r="H1582" s="1" t="s">
        <v>22</v>
      </c>
      <c r="I1582" s="1">
        <v>29</v>
      </c>
      <c r="J1582" s="1">
        <v>53958</v>
      </c>
      <c r="K1582" s="1" t="s">
        <v>94</v>
      </c>
      <c r="L1582" s="1" t="s">
        <v>24</v>
      </c>
      <c r="M1582" s="1" t="s">
        <v>946</v>
      </c>
      <c r="N1582" s="1">
        <v>10300</v>
      </c>
      <c r="O1582" s="12">
        <v>10000</v>
      </c>
      <c r="P1582" s="3" t="s">
        <v>68</v>
      </c>
      <c r="Q1582" s="1" cm="1">
        <f t="array" ref="Q1582">VALUE(INDEX(_xlfn.TEXTSPLIT(P1582, " "), 4))</f>
        <v>2014</v>
      </c>
      <c r="R1582" s="1" t="str">
        <f t="shared" si="24"/>
        <v>Nissan Altima 2.5 S</v>
      </c>
      <c r="S1582" s="1" t="str" cm="1">
        <f t="array" ref="S1582">_xlfn.IFS(I1582 &gt;= 40, "High", I1582&gt;=20, "Medium", I1582&lt;20, "Low")</f>
        <v>Medium</v>
      </c>
      <c r="T1582" s="1" t="str" cm="1">
        <f t="array" ref="T1582">_xlfn.IFS(O1582&lt;18200, "Low", O1582&lt;=50000, "Medium", O1582&gt;50000, "High")</f>
        <v>Low</v>
      </c>
    </row>
    <row r="1583" spans="1:20" x14ac:dyDescent="0.25">
      <c r="A1583" s="2">
        <v>2012</v>
      </c>
      <c r="B1583" s="1" t="s">
        <v>47</v>
      </c>
      <c r="C1583" s="1" t="s">
        <v>212</v>
      </c>
      <c r="D1583" s="1" t="s">
        <v>2336</v>
      </c>
      <c r="E1583" s="1" t="s">
        <v>227</v>
      </c>
      <c r="F1583" s="1" t="s">
        <v>20</v>
      </c>
      <c r="G1583" s="1" t="s">
        <v>2357</v>
      </c>
      <c r="H1583" s="1" t="s">
        <v>22</v>
      </c>
      <c r="I1583" s="1"/>
      <c r="J1583" s="1">
        <v>16850</v>
      </c>
      <c r="K1583" s="1" t="s">
        <v>91</v>
      </c>
      <c r="L1583" s="1" t="s">
        <v>24</v>
      </c>
      <c r="M1583" s="1" t="s">
        <v>303</v>
      </c>
      <c r="N1583" s="1">
        <v>8900</v>
      </c>
      <c r="O1583" s="12">
        <v>2500</v>
      </c>
      <c r="P1583" s="3" t="s">
        <v>62</v>
      </c>
      <c r="Q1583" s="1" cm="1">
        <f t="array" ref="Q1583">VALUE(INDEX(_xlfn.TEXTSPLIT(P1583, " "), 4))</f>
        <v>2014</v>
      </c>
      <c r="R1583" s="1" t="str">
        <f t="shared" si="24"/>
        <v>Nissan Versa 1.8 S</v>
      </c>
      <c r="S1583" s="1" t="str" cm="1">
        <f t="array" ref="S1583">_xlfn.IFS(I1583 &gt;= 40, "High", I1583&gt;=20, "Medium", I1583&lt;20, "Low")</f>
        <v>Low</v>
      </c>
      <c r="T1583" s="1" t="str" cm="1">
        <f t="array" ref="T1583">_xlfn.IFS(O1583&lt;18200, "Low", O1583&lt;=50000, "Medium", O1583&gt;50000, "High")</f>
        <v>Low</v>
      </c>
    </row>
    <row r="1584" spans="1:20" x14ac:dyDescent="0.25">
      <c r="A1584" s="2">
        <v>2012</v>
      </c>
      <c r="B1584" s="1" t="s">
        <v>47</v>
      </c>
      <c r="C1584" s="1" t="s">
        <v>48</v>
      </c>
      <c r="D1584" s="1" t="s">
        <v>49</v>
      </c>
      <c r="E1584" s="1" t="s">
        <v>32</v>
      </c>
      <c r="F1584" s="1" t="s">
        <v>20</v>
      </c>
      <c r="G1584" s="1" t="s">
        <v>2358</v>
      </c>
      <c r="H1584" s="1" t="s">
        <v>22</v>
      </c>
      <c r="I1584" s="1">
        <v>26</v>
      </c>
      <c r="J1584" s="1">
        <v>41233</v>
      </c>
      <c r="K1584" s="1" t="s">
        <v>23</v>
      </c>
      <c r="L1584" s="1" t="s">
        <v>34</v>
      </c>
      <c r="M1584" s="1" t="s">
        <v>56</v>
      </c>
      <c r="N1584" s="1">
        <v>11000</v>
      </c>
      <c r="O1584" s="12">
        <v>10400</v>
      </c>
      <c r="P1584" s="3" t="s">
        <v>2359</v>
      </c>
      <c r="Q1584" s="1" cm="1">
        <f t="array" ref="Q1584">VALUE(INDEX(_xlfn.TEXTSPLIT(P1584, " "), 4))</f>
        <v>2014</v>
      </c>
      <c r="R1584" s="1" t="str">
        <f t="shared" si="24"/>
        <v>Nissan Altima 2.5 S</v>
      </c>
      <c r="S1584" s="1" t="str" cm="1">
        <f t="array" ref="S1584">_xlfn.IFS(I1584 &gt;= 40, "High", I1584&gt;=20, "Medium", I1584&lt;20, "Low")</f>
        <v>Medium</v>
      </c>
      <c r="T1584" s="1" t="str" cm="1">
        <f t="array" ref="T1584">_xlfn.IFS(O1584&lt;18200, "Low", O1584&lt;=50000, "Medium", O1584&gt;50000, "High")</f>
        <v>Low</v>
      </c>
    </row>
    <row r="1585" spans="1:20" x14ac:dyDescent="0.25">
      <c r="A1585" s="2">
        <v>2012</v>
      </c>
      <c r="B1585" s="1" t="s">
        <v>47</v>
      </c>
      <c r="C1585" s="1" t="s">
        <v>48</v>
      </c>
      <c r="D1585" s="1" t="s">
        <v>49</v>
      </c>
      <c r="E1585" s="1" t="s">
        <v>32</v>
      </c>
      <c r="F1585" s="1" t="s">
        <v>20</v>
      </c>
      <c r="G1585" s="1" t="s">
        <v>2360</v>
      </c>
      <c r="H1585" s="1" t="s">
        <v>22</v>
      </c>
      <c r="I1585" s="1">
        <v>38</v>
      </c>
      <c r="J1585" s="1">
        <v>48019</v>
      </c>
      <c r="K1585" s="1" t="s">
        <v>101</v>
      </c>
      <c r="L1585" s="1" t="s">
        <v>34</v>
      </c>
      <c r="M1585" s="1" t="s">
        <v>217</v>
      </c>
      <c r="N1585" s="1">
        <v>11500</v>
      </c>
      <c r="O1585" s="12">
        <v>11600</v>
      </c>
      <c r="P1585" s="3" t="s">
        <v>57</v>
      </c>
      <c r="Q1585" s="1" cm="1">
        <f t="array" ref="Q1585">VALUE(INDEX(_xlfn.TEXTSPLIT(P1585, " "), 4))</f>
        <v>2014</v>
      </c>
      <c r="R1585" s="1" t="str">
        <f t="shared" si="24"/>
        <v>Nissan Altima 2.5 S</v>
      </c>
      <c r="S1585" s="1" t="str" cm="1">
        <f t="array" ref="S1585">_xlfn.IFS(I1585 &gt;= 40, "High", I1585&gt;=20, "Medium", I1585&lt;20, "Low")</f>
        <v>Medium</v>
      </c>
      <c r="T1585" s="1" t="str" cm="1">
        <f t="array" ref="T1585">_xlfn.IFS(O1585&lt;18200, "Low", O1585&lt;=50000, "Medium", O1585&gt;50000, "High")</f>
        <v>Low</v>
      </c>
    </row>
    <row r="1586" spans="1:20" x14ac:dyDescent="0.25">
      <c r="A1586" s="2">
        <v>2012</v>
      </c>
      <c r="B1586" s="1" t="s">
        <v>47</v>
      </c>
      <c r="C1586" s="1" t="s">
        <v>48</v>
      </c>
      <c r="D1586" s="1" t="s">
        <v>49</v>
      </c>
      <c r="E1586" s="1" t="s">
        <v>32</v>
      </c>
      <c r="F1586" s="1" t="s">
        <v>20</v>
      </c>
      <c r="G1586" s="1" t="s">
        <v>2361</v>
      </c>
      <c r="H1586" s="1" t="s">
        <v>22</v>
      </c>
      <c r="I1586" s="1">
        <v>29</v>
      </c>
      <c r="J1586" s="1">
        <v>39056</v>
      </c>
      <c r="K1586" s="1" t="s">
        <v>24</v>
      </c>
      <c r="L1586" s="1" t="s">
        <v>34</v>
      </c>
      <c r="M1586" s="1" t="s">
        <v>217</v>
      </c>
      <c r="N1586" s="1">
        <v>12100</v>
      </c>
      <c r="O1586" s="12">
        <v>12600</v>
      </c>
      <c r="P1586" s="3" t="s">
        <v>57</v>
      </c>
      <c r="Q1586" s="1" cm="1">
        <f t="array" ref="Q1586">VALUE(INDEX(_xlfn.TEXTSPLIT(P1586, " "), 4))</f>
        <v>2014</v>
      </c>
      <c r="R1586" s="1" t="str">
        <f t="shared" si="24"/>
        <v>Nissan Altima 2.5 S</v>
      </c>
      <c r="S1586" s="1" t="str" cm="1">
        <f t="array" ref="S1586">_xlfn.IFS(I1586 &gt;= 40, "High", I1586&gt;=20, "Medium", I1586&lt;20, "Low")</f>
        <v>Medium</v>
      </c>
      <c r="T1586" s="1" t="str" cm="1">
        <f t="array" ref="T1586">_xlfn.IFS(O1586&lt;18200, "Low", O1586&lt;=50000, "Medium", O1586&gt;50000, "High")</f>
        <v>Low</v>
      </c>
    </row>
    <row r="1587" spans="1:20" x14ac:dyDescent="0.25">
      <c r="A1587" s="2">
        <v>2012</v>
      </c>
      <c r="B1587" s="1" t="s">
        <v>47</v>
      </c>
      <c r="C1587" s="1" t="s">
        <v>48</v>
      </c>
      <c r="D1587" s="1" t="s">
        <v>49</v>
      </c>
      <c r="E1587" s="1" t="s">
        <v>32</v>
      </c>
      <c r="F1587" s="1" t="s">
        <v>20</v>
      </c>
      <c r="G1587" s="1" t="s">
        <v>2362</v>
      </c>
      <c r="H1587" s="1" t="s">
        <v>22</v>
      </c>
      <c r="I1587" s="1">
        <v>45</v>
      </c>
      <c r="J1587" s="1">
        <v>35285</v>
      </c>
      <c r="K1587" s="1" t="s">
        <v>24</v>
      </c>
      <c r="L1587" s="1" t="s">
        <v>34</v>
      </c>
      <c r="M1587" s="1" t="s">
        <v>217</v>
      </c>
      <c r="N1587" s="1">
        <v>12350</v>
      </c>
      <c r="O1587" s="12">
        <v>12700</v>
      </c>
      <c r="P1587" s="3" t="s">
        <v>57</v>
      </c>
      <c r="Q1587" s="1" cm="1">
        <f t="array" ref="Q1587">VALUE(INDEX(_xlfn.TEXTSPLIT(P1587, " "), 4))</f>
        <v>2014</v>
      </c>
      <c r="R1587" s="1" t="str">
        <f t="shared" si="24"/>
        <v>Nissan Altima 2.5 S</v>
      </c>
      <c r="S1587" s="1" t="str" cm="1">
        <f t="array" ref="S1587">_xlfn.IFS(I1587 &gt;= 40, "High", I1587&gt;=20, "Medium", I1587&lt;20, "Low")</f>
        <v>High</v>
      </c>
      <c r="T1587" s="1" t="str" cm="1">
        <f t="array" ref="T1587">_xlfn.IFS(O1587&lt;18200, "Low", O1587&lt;=50000, "Medium", O1587&gt;50000, "High")</f>
        <v>Low</v>
      </c>
    </row>
    <row r="1588" spans="1:20" x14ac:dyDescent="0.25">
      <c r="A1588" s="2">
        <v>2012</v>
      </c>
      <c r="B1588" s="1" t="s">
        <v>47</v>
      </c>
      <c r="C1588" s="1" t="s">
        <v>212</v>
      </c>
      <c r="D1588" s="1" t="s">
        <v>2336</v>
      </c>
      <c r="E1588" s="1" t="s">
        <v>227</v>
      </c>
      <c r="F1588" s="1" t="s">
        <v>20</v>
      </c>
      <c r="G1588" s="1" t="s">
        <v>2363</v>
      </c>
      <c r="H1588" s="1" t="s">
        <v>22</v>
      </c>
      <c r="I1588" s="1">
        <v>25</v>
      </c>
      <c r="J1588" s="1">
        <v>32712</v>
      </c>
      <c r="K1588" s="1" t="s">
        <v>91</v>
      </c>
      <c r="L1588" s="1" t="s">
        <v>24</v>
      </c>
      <c r="M1588" s="1" t="s">
        <v>635</v>
      </c>
      <c r="N1588" s="1">
        <v>8750</v>
      </c>
      <c r="O1588" s="12">
        <v>8100</v>
      </c>
      <c r="P1588" s="3" t="s">
        <v>110</v>
      </c>
      <c r="Q1588" s="1" cm="1">
        <f t="array" ref="Q1588">VALUE(INDEX(_xlfn.TEXTSPLIT(P1588, " "), 4))</f>
        <v>2014</v>
      </c>
      <c r="R1588" s="1" t="str">
        <f t="shared" si="24"/>
        <v>Nissan Versa 1.8 S</v>
      </c>
      <c r="S1588" s="1" t="str" cm="1">
        <f t="array" ref="S1588">_xlfn.IFS(I1588 &gt;= 40, "High", I1588&gt;=20, "Medium", I1588&lt;20, "Low")</f>
        <v>Medium</v>
      </c>
      <c r="T1588" s="1" t="str" cm="1">
        <f t="array" ref="T1588">_xlfn.IFS(O1588&lt;18200, "Low", O1588&lt;=50000, "Medium", O1588&gt;50000, "High")</f>
        <v>Low</v>
      </c>
    </row>
    <row r="1589" spans="1:20" x14ac:dyDescent="0.25">
      <c r="A1589" s="2">
        <v>2012</v>
      </c>
      <c r="B1589" s="1" t="s">
        <v>47</v>
      </c>
      <c r="C1589" s="1" t="s">
        <v>48</v>
      </c>
      <c r="D1589" s="1" t="s">
        <v>49</v>
      </c>
      <c r="E1589" s="1" t="s">
        <v>32</v>
      </c>
      <c r="F1589" s="1" t="s">
        <v>20</v>
      </c>
      <c r="G1589" s="1" t="s">
        <v>2364</v>
      </c>
      <c r="H1589" s="1" t="s">
        <v>22</v>
      </c>
      <c r="I1589" s="1">
        <v>36</v>
      </c>
      <c r="J1589" s="1">
        <v>40330</v>
      </c>
      <c r="K1589" s="1" t="s">
        <v>23</v>
      </c>
      <c r="L1589" s="1" t="s">
        <v>24</v>
      </c>
      <c r="M1589" s="1" t="s">
        <v>217</v>
      </c>
      <c r="N1589" s="1">
        <v>12000</v>
      </c>
      <c r="O1589" s="12">
        <v>11500</v>
      </c>
      <c r="P1589" s="3" t="s">
        <v>26</v>
      </c>
      <c r="Q1589" s="1" cm="1">
        <f t="array" ref="Q1589">VALUE(INDEX(_xlfn.TEXTSPLIT(P1589, " "), 4))</f>
        <v>2014</v>
      </c>
      <c r="R1589" s="1" t="str">
        <f t="shared" si="24"/>
        <v>Nissan Altima 2.5 S</v>
      </c>
      <c r="S1589" s="1" t="str" cm="1">
        <f t="array" ref="S1589">_xlfn.IFS(I1589 &gt;= 40, "High", I1589&gt;=20, "Medium", I1589&lt;20, "Low")</f>
        <v>Medium</v>
      </c>
      <c r="T1589" s="1" t="str" cm="1">
        <f t="array" ref="T1589">_xlfn.IFS(O1589&lt;18200, "Low", O1589&lt;=50000, "Medium", O1589&gt;50000, "High")</f>
        <v>Low</v>
      </c>
    </row>
    <row r="1590" spans="1:20" x14ac:dyDescent="0.25">
      <c r="A1590" s="2">
        <v>2012</v>
      </c>
      <c r="B1590" s="1" t="s">
        <v>47</v>
      </c>
      <c r="C1590" s="1" t="s">
        <v>947</v>
      </c>
      <c r="D1590" s="1" t="s">
        <v>2365</v>
      </c>
      <c r="E1590" s="1" t="s">
        <v>949</v>
      </c>
      <c r="F1590" s="1" t="s">
        <v>20</v>
      </c>
      <c r="G1590" s="1" t="s">
        <v>2366</v>
      </c>
      <c r="H1590" s="1" t="s">
        <v>22</v>
      </c>
      <c r="I1590" s="1">
        <v>19</v>
      </c>
      <c r="J1590" s="1">
        <v>137729</v>
      </c>
      <c r="K1590" s="1" t="s">
        <v>23</v>
      </c>
      <c r="L1590" s="1" t="s">
        <v>34</v>
      </c>
      <c r="M1590" s="1" t="s">
        <v>217</v>
      </c>
      <c r="N1590" s="1">
        <v>9525</v>
      </c>
      <c r="O1590" s="12">
        <v>10500</v>
      </c>
      <c r="P1590" s="3" t="s">
        <v>26</v>
      </c>
      <c r="Q1590" s="1" cm="1">
        <f t="array" ref="Q1590">VALUE(INDEX(_xlfn.TEXTSPLIT(P1590, " "), 4))</f>
        <v>2014</v>
      </c>
      <c r="R1590" s="1" t="str">
        <f t="shared" si="24"/>
        <v>Nissan NV 3500 S</v>
      </c>
      <c r="S1590" s="1" t="str" cm="1">
        <f t="array" ref="S1590">_xlfn.IFS(I1590 &gt;= 40, "High", I1590&gt;=20, "Medium", I1590&lt;20, "Low")</f>
        <v>Low</v>
      </c>
      <c r="T1590" s="1" t="str" cm="1">
        <f t="array" ref="T1590">_xlfn.IFS(O1590&lt;18200, "Low", O1590&lt;=50000, "Medium", O1590&gt;50000, "High")</f>
        <v>Low</v>
      </c>
    </row>
    <row r="1591" spans="1:20" x14ac:dyDescent="0.25">
      <c r="A1591" s="2">
        <v>2012</v>
      </c>
      <c r="B1591" s="1" t="s">
        <v>47</v>
      </c>
      <c r="C1591" s="1" t="s">
        <v>1030</v>
      </c>
      <c r="D1591" s="1" t="s">
        <v>1110</v>
      </c>
      <c r="E1591" s="1" t="s">
        <v>32</v>
      </c>
      <c r="F1591" s="1" t="s">
        <v>20</v>
      </c>
      <c r="G1591" s="1" t="s">
        <v>2367</v>
      </c>
      <c r="H1591" s="1" t="s">
        <v>22</v>
      </c>
      <c r="I1591" s="1">
        <v>21</v>
      </c>
      <c r="J1591" s="1">
        <v>30786</v>
      </c>
      <c r="K1591" s="1" t="s">
        <v>24</v>
      </c>
      <c r="L1591" s="1" t="s">
        <v>24</v>
      </c>
      <c r="M1591" s="1" t="s">
        <v>984</v>
      </c>
      <c r="N1591" s="1">
        <v>17100</v>
      </c>
      <c r="O1591" s="12">
        <v>15000</v>
      </c>
      <c r="P1591" s="3" t="s">
        <v>26</v>
      </c>
      <c r="Q1591" s="1" cm="1">
        <f t="array" ref="Q1591">VALUE(INDEX(_xlfn.TEXTSPLIT(P1591, " "), 4))</f>
        <v>2014</v>
      </c>
      <c r="R1591" s="1" t="str">
        <f t="shared" si="24"/>
        <v>Nissan Maxima 3.5 S</v>
      </c>
      <c r="S1591" s="1" t="str" cm="1">
        <f t="array" ref="S1591">_xlfn.IFS(I1591 &gt;= 40, "High", I1591&gt;=20, "Medium", I1591&lt;20, "Low")</f>
        <v>Medium</v>
      </c>
      <c r="T1591" s="1" t="str" cm="1">
        <f t="array" ref="T1591">_xlfn.IFS(O1591&lt;18200, "Low", O1591&lt;=50000, "Medium", O1591&gt;50000, "High")</f>
        <v>Low</v>
      </c>
    </row>
    <row r="1592" spans="1:20" x14ac:dyDescent="0.25">
      <c r="A1592" s="2">
        <v>2012</v>
      </c>
      <c r="B1592" s="1" t="s">
        <v>978</v>
      </c>
      <c r="C1592" s="1" t="s">
        <v>1186</v>
      </c>
      <c r="D1592" s="1" t="s">
        <v>2368</v>
      </c>
      <c r="E1592" s="1" t="s">
        <v>227</v>
      </c>
      <c r="F1592" s="1" t="s">
        <v>214</v>
      </c>
      <c r="G1592" s="1" t="s">
        <v>2369</v>
      </c>
      <c r="H1592" s="1" t="s">
        <v>22</v>
      </c>
      <c r="I1592" s="1">
        <v>3</v>
      </c>
      <c r="J1592" s="1">
        <v>27182</v>
      </c>
      <c r="K1592" s="1" t="s">
        <v>94</v>
      </c>
      <c r="L1592" s="1" t="s">
        <v>24</v>
      </c>
      <c r="M1592" s="1" t="s">
        <v>2164</v>
      </c>
      <c r="N1592" s="1">
        <v>21400</v>
      </c>
      <c r="O1592" s="12">
        <v>23750</v>
      </c>
      <c r="P1592" s="3" t="s">
        <v>84</v>
      </c>
      <c r="Q1592" s="1" cm="1">
        <f t="array" ref="Q1592">VALUE(INDEX(_xlfn.TEXTSPLIT(P1592, " "), 4))</f>
        <v>2014</v>
      </c>
      <c r="R1592" s="1" t="str">
        <f t="shared" si="24"/>
        <v>Subaru Impreza WRX</v>
      </c>
      <c r="S1592" s="1" t="str" cm="1">
        <f t="array" ref="S1592">_xlfn.IFS(I1592 &gt;= 40, "High", I1592&gt;=20, "Medium", I1592&lt;20, "Low")</f>
        <v>Low</v>
      </c>
      <c r="T1592" s="1" t="str" cm="1">
        <f t="array" ref="T1592">_xlfn.IFS(O1592&lt;18200, "Low", O1592&lt;=50000, "Medium", O1592&gt;50000, "High")</f>
        <v>Medium</v>
      </c>
    </row>
    <row r="1593" spans="1:20" x14ac:dyDescent="0.25">
      <c r="A1593" s="2">
        <v>2012</v>
      </c>
      <c r="B1593" s="1" t="s">
        <v>927</v>
      </c>
      <c r="C1593" s="1" t="s">
        <v>1070</v>
      </c>
      <c r="D1593" s="1" t="s">
        <v>663</v>
      </c>
      <c r="E1593" s="1" t="s">
        <v>32</v>
      </c>
      <c r="F1593" s="1" t="s">
        <v>20</v>
      </c>
      <c r="G1593" s="1" t="s">
        <v>2370</v>
      </c>
      <c r="H1593" s="1" t="s">
        <v>22</v>
      </c>
      <c r="I1593" s="1">
        <v>43</v>
      </c>
      <c r="J1593" s="1">
        <v>59349</v>
      </c>
      <c r="K1593" s="1" t="s">
        <v>73</v>
      </c>
      <c r="L1593" s="1" t="s">
        <v>28</v>
      </c>
      <c r="M1593" s="1" t="s">
        <v>555</v>
      </c>
      <c r="N1593" s="1">
        <v>14900</v>
      </c>
      <c r="O1593" s="12">
        <v>15600</v>
      </c>
      <c r="P1593" s="3" t="s">
        <v>68</v>
      </c>
      <c r="Q1593" s="1" cm="1">
        <f t="array" ref="Q1593">VALUE(INDEX(_xlfn.TEXTSPLIT(P1593, " "), 4))</f>
        <v>2014</v>
      </c>
      <c r="R1593" s="1" t="str">
        <f t="shared" si="24"/>
        <v>Toyota Camry Hybrid LE</v>
      </c>
      <c r="S1593" s="1" t="str" cm="1">
        <f t="array" ref="S1593">_xlfn.IFS(I1593 &gt;= 40, "High", I1593&gt;=20, "Medium", I1593&lt;20, "Low")</f>
        <v>High</v>
      </c>
      <c r="T1593" s="1" t="str" cm="1">
        <f t="array" ref="T1593">_xlfn.IFS(O1593&lt;18200, "Low", O1593&lt;=50000, "Medium", O1593&gt;50000, "High")</f>
        <v>Low</v>
      </c>
    </row>
    <row r="1594" spans="1:20" x14ac:dyDescent="0.25">
      <c r="A1594" s="2">
        <v>2012</v>
      </c>
      <c r="B1594" s="1" t="s">
        <v>47</v>
      </c>
      <c r="C1594" s="1" t="s">
        <v>48</v>
      </c>
      <c r="D1594" s="1" t="s">
        <v>49</v>
      </c>
      <c r="E1594" s="1" t="s">
        <v>32</v>
      </c>
      <c r="F1594" s="1" t="s">
        <v>20</v>
      </c>
      <c r="G1594" s="1" t="s">
        <v>2371</v>
      </c>
      <c r="H1594" s="1" t="s">
        <v>22</v>
      </c>
      <c r="I1594" s="1">
        <v>42</v>
      </c>
      <c r="J1594" s="1">
        <v>41516</v>
      </c>
      <c r="K1594" s="1" t="s">
        <v>101</v>
      </c>
      <c r="L1594" s="1" t="s">
        <v>24</v>
      </c>
      <c r="M1594" s="1" t="s">
        <v>217</v>
      </c>
      <c r="N1594" s="1">
        <v>11950</v>
      </c>
      <c r="O1594" s="12">
        <v>13500</v>
      </c>
      <c r="P1594" s="3" t="s">
        <v>57</v>
      </c>
      <c r="Q1594" s="1" cm="1">
        <f t="array" ref="Q1594">VALUE(INDEX(_xlfn.TEXTSPLIT(P1594, " "), 4))</f>
        <v>2014</v>
      </c>
      <c r="R1594" s="1" t="str">
        <f t="shared" si="24"/>
        <v>Nissan Altima 2.5 S</v>
      </c>
      <c r="S1594" s="1" t="str" cm="1">
        <f t="array" ref="S1594">_xlfn.IFS(I1594 &gt;= 40, "High", I1594&gt;=20, "Medium", I1594&lt;20, "Low")</f>
        <v>High</v>
      </c>
      <c r="T1594" s="1" t="str" cm="1">
        <f t="array" ref="T1594">_xlfn.IFS(O1594&lt;18200, "Low", O1594&lt;=50000, "Medium", O1594&gt;50000, "High")</f>
        <v>Low</v>
      </c>
    </row>
    <row r="1595" spans="1:20" x14ac:dyDescent="0.25">
      <c r="A1595" s="2">
        <v>2012</v>
      </c>
      <c r="B1595" s="1" t="s">
        <v>47</v>
      </c>
      <c r="C1595" s="1" t="s">
        <v>48</v>
      </c>
      <c r="D1595" s="1" t="s">
        <v>49</v>
      </c>
      <c r="E1595" s="1" t="s">
        <v>32</v>
      </c>
      <c r="F1595" s="1" t="s">
        <v>20</v>
      </c>
      <c r="G1595" s="1" t="s">
        <v>2372</v>
      </c>
      <c r="H1595" s="1" t="s">
        <v>22</v>
      </c>
      <c r="I1595" s="1">
        <v>35</v>
      </c>
      <c r="J1595" s="1">
        <v>39109</v>
      </c>
      <c r="K1595" s="1" t="s">
        <v>34</v>
      </c>
      <c r="L1595" s="1" t="s">
        <v>24</v>
      </c>
      <c r="M1595" s="1" t="s">
        <v>2373</v>
      </c>
      <c r="N1595" s="1">
        <v>12100</v>
      </c>
      <c r="O1595" s="12">
        <v>10400</v>
      </c>
      <c r="P1595" s="3" t="s">
        <v>68</v>
      </c>
      <c r="Q1595" s="1" cm="1">
        <f t="array" ref="Q1595">VALUE(INDEX(_xlfn.TEXTSPLIT(P1595, " "), 4))</f>
        <v>2014</v>
      </c>
      <c r="R1595" s="1" t="str">
        <f t="shared" si="24"/>
        <v>Nissan Altima 2.5 S</v>
      </c>
      <c r="S1595" s="1" t="str" cm="1">
        <f t="array" ref="S1595">_xlfn.IFS(I1595 &gt;= 40, "High", I1595&gt;=20, "Medium", I1595&lt;20, "Low")</f>
        <v>Medium</v>
      </c>
      <c r="T1595" s="1" t="str" cm="1">
        <f t="array" ref="T1595">_xlfn.IFS(O1595&lt;18200, "Low", O1595&lt;=50000, "Medium", O1595&gt;50000, "High")</f>
        <v>Low</v>
      </c>
    </row>
    <row r="1596" spans="1:20" x14ac:dyDescent="0.25">
      <c r="A1596" s="2">
        <v>2012</v>
      </c>
      <c r="B1596" s="1" t="s">
        <v>47</v>
      </c>
      <c r="C1596" s="1" t="s">
        <v>940</v>
      </c>
      <c r="D1596" s="1">
        <v>2</v>
      </c>
      <c r="E1596" s="1" t="s">
        <v>32</v>
      </c>
      <c r="F1596" s="1" t="s">
        <v>20</v>
      </c>
      <c r="G1596" s="1" t="s">
        <v>2374</v>
      </c>
      <c r="H1596" s="1" t="s">
        <v>22</v>
      </c>
      <c r="I1596" s="1">
        <v>28</v>
      </c>
      <c r="J1596" s="1">
        <v>76716</v>
      </c>
      <c r="K1596" s="1" t="s">
        <v>23</v>
      </c>
      <c r="L1596" s="1" t="s">
        <v>34</v>
      </c>
      <c r="M1596" s="1" t="s">
        <v>680</v>
      </c>
      <c r="N1596" s="1">
        <v>7575</v>
      </c>
      <c r="O1596" s="12">
        <v>7400</v>
      </c>
      <c r="P1596" s="3" t="s">
        <v>57</v>
      </c>
      <c r="Q1596" s="1" cm="1">
        <f t="array" ref="Q1596">VALUE(INDEX(_xlfn.TEXTSPLIT(P1596, " "), 4))</f>
        <v>2014</v>
      </c>
      <c r="R1596" s="1" t="str">
        <f t="shared" si="24"/>
        <v>Nissan Sentra 2</v>
      </c>
      <c r="S1596" s="1" t="str" cm="1">
        <f t="array" ref="S1596">_xlfn.IFS(I1596 &gt;= 40, "High", I1596&gt;=20, "Medium", I1596&lt;20, "Low")</f>
        <v>Medium</v>
      </c>
      <c r="T1596" s="1" t="str" cm="1">
        <f t="array" ref="T1596">_xlfn.IFS(O1596&lt;18200, "Low", O1596&lt;=50000, "Medium", O1596&gt;50000, "High")</f>
        <v>Low</v>
      </c>
    </row>
    <row r="1597" spans="1:20" x14ac:dyDescent="0.25">
      <c r="A1597" s="2">
        <v>2012</v>
      </c>
      <c r="B1597" s="1" t="s">
        <v>47</v>
      </c>
      <c r="C1597" s="1" t="s">
        <v>1125</v>
      </c>
      <c r="D1597" s="1" t="s">
        <v>1062</v>
      </c>
      <c r="E1597" s="1" t="s">
        <v>19</v>
      </c>
      <c r="F1597" s="1" t="s">
        <v>20</v>
      </c>
      <c r="G1597" s="1" t="s">
        <v>2375</v>
      </c>
      <c r="H1597" s="1" t="s">
        <v>22</v>
      </c>
      <c r="I1597" s="1">
        <v>27</v>
      </c>
      <c r="J1597" s="1">
        <v>70973</v>
      </c>
      <c r="K1597" s="1" t="s">
        <v>24</v>
      </c>
      <c r="L1597" s="1" t="s">
        <v>24</v>
      </c>
      <c r="M1597" s="1" t="s">
        <v>984</v>
      </c>
      <c r="N1597" s="1">
        <v>28800</v>
      </c>
      <c r="O1597" s="12">
        <v>26000</v>
      </c>
      <c r="P1597" s="3" t="s">
        <v>26</v>
      </c>
      <c r="Q1597" s="1" cm="1">
        <f t="array" ref="Q1597">VALUE(INDEX(_xlfn.TEXTSPLIT(P1597, " "), 4))</f>
        <v>2014</v>
      </c>
      <c r="R1597" s="1" t="str">
        <f t="shared" si="24"/>
        <v>Nissan Armada SV</v>
      </c>
      <c r="S1597" s="1" t="str" cm="1">
        <f t="array" ref="S1597">_xlfn.IFS(I1597 &gt;= 40, "High", I1597&gt;=20, "Medium", I1597&lt;20, "Low")</f>
        <v>Medium</v>
      </c>
      <c r="T1597" s="1" t="str" cm="1">
        <f t="array" ref="T1597">_xlfn.IFS(O1597&lt;18200, "Low", O1597&lt;=50000, "Medium", O1597&gt;50000, "High")</f>
        <v>Medium</v>
      </c>
    </row>
    <row r="1598" spans="1:20" x14ac:dyDescent="0.25">
      <c r="A1598" s="2">
        <v>2012</v>
      </c>
      <c r="B1598" s="1" t="s">
        <v>47</v>
      </c>
      <c r="C1598" s="1" t="s">
        <v>2376</v>
      </c>
      <c r="D1598" s="1" t="s">
        <v>2377</v>
      </c>
      <c r="E1598" s="1" t="s">
        <v>107</v>
      </c>
      <c r="F1598" s="1" t="s">
        <v>20</v>
      </c>
      <c r="G1598" s="1" t="s">
        <v>2378</v>
      </c>
      <c r="H1598" s="1" t="s">
        <v>22</v>
      </c>
      <c r="I1598" s="1">
        <v>37</v>
      </c>
      <c r="J1598" s="1">
        <v>20307</v>
      </c>
      <c r="K1598" s="1" t="s">
        <v>34</v>
      </c>
      <c r="L1598" s="1" t="s">
        <v>24</v>
      </c>
      <c r="M1598" s="1" t="s">
        <v>2379</v>
      </c>
      <c r="N1598" s="1">
        <v>70000</v>
      </c>
      <c r="O1598" s="12">
        <v>61000</v>
      </c>
      <c r="P1598" s="3" t="s">
        <v>46</v>
      </c>
      <c r="Q1598" s="1" cm="1">
        <f t="array" ref="Q1598">VALUE(INDEX(_xlfn.TEXTSPLIT(P1598, " "), 4))</f>
        <v>2014</v>
      </c>
      <c r="R1598" s="1" t="str">
        <f t="shared" si="24"/>
        <v>Nissan GT-R Black Edition</v>
      </c>
      <c r="S1598" s="1" t="str" cm="1">
        <f t="array" ref="S1598">_xlfn.IFS(I1598 &gt;= 40, "High", I1598&gt;=20, "Medium", I1598&lt;20, "Low")</f>
        <v>Medium</v>
      </c>
      <c r="T1598" s="1" t="str" cm="1">
        <f t="array" ref="T1598">_xlfn.IFS(O1598&lt;18200, "Low", O1598&lt;=50000, "Medium", O1598&gt;50000, "High")</f>
        <v>High</v>
      </c>
    </row>
    <row r="1599" spans="1:20" x14ac:dyDescent="0.25">
      <c r="A1599" s="2">
        <v>2012</v>
      </c>
      <c r="B1599" s="1" t="s">
        <v>47</v>
      </c>
      <c r="C1599" s="1" t="s">
        <v>959</v>
      </c>
      <c r="D1599" s="1" t="s">
        <v>960</v>
      </c>
      <c r="E1599" s="1" t="s">
        <v>227</v>
      </c>
      <c r="F1599" s="1" t="s">
        <v>20</v>
      </c>
      <c r="G1599" s="1" t="s">
        <v>2380</v>
      </c>
      <c r="H1599" s="1" t="s">
        <v>22</v>
      </c>
      <c r="I1599" s="1">
        <v>28</v>
      </c>
      <c r="J1599" s="1">
        <v>21393</v>
      </c>
      <c r="K1599" s="1" t="s">
        <v>24</v>
      </c>
      <c r="L1599" s="1" t="s">
        <v>82</v>
      </c>
      <c r="M1599" s="1" t="s">
        <v>217</v>
      </c>
      <c r="N1599" s="1">
        <v>11250</v>
      </c>
      <c r="O1599" s="12">
        <v>11250</v>
      </c>
      <c r="P1599" s="3" t="s">
        <v>26</v>
      </c>
      <c r="Q1599" s="1" cm="1">
        <f t="array" ref="Q1599">VALUE(INDEX(_xlfn.TEXTSPLIT(P1599, " "), 4))</f>
        <v>2014</v>
      </c>
      <c r="R1599" s="1" t="str">
        <f t="shared" si="24"/>
        <v>Nissan Leaf SL</v>
      </c>
      <c r="S1599" s="1" t="str" cm="1">
        <f t="array" ref="S1599">_xlfn.IFS(I1599 &gt;= 40, "High", I1599&gt;=20, "Medium", I1599&lt;20, "Low")</f>
        <v>Medium</v>
      </c>
      <c r="T1599" s="1" t="str" cm="1">
        <f t="array" ref="T1599">_xlfn.IFS(O1599&lt;18200, "Low", O1599&lt;=50000, "Medium", O1599&gt;50000, "High")</f>
        <v>Low</v>
      </c>
    </row>
    <row r="1600" spans="1:20" x14ac:dyDescent="0.25">
      <c r="A1600" s="2">
        <v>2012</v>
      </c>
      <c r="B1600" s="1" t="s">
        <v>608</v>
      </c>
      <c r="C1600" s="1" t="s">
        <v>839</v>
      </c>
      <c r="D1600" s="1" t="s">
        <v>2381</v>
      </c>
      <c r="E1600" s="1" t="s">
        <v>19</v>
      </c>
      <c r="F1600" s="1" t="s">
        <v>20</v>
      </c>
      <c r="G1600" s="1" t="s">
        <v>2382</v>
      </c>
      <c r="H1600" s="1" t="s">
        <v>22</v>
      </c>
      <c r="I1600" s="1">
        <v>44</v>
      </c>
      <c r="J1600" s="1">
        <v>18266</v>
      </c>
      <c r="K1600" s="1" t="s">
        <v>23</v>
      </c>
      <c r="L1600" s="1" t="s">
        <v>28</v>
      </c>
      <c r="M1600" s="1" t="s">
        <v>2383</v>
      </c>
      <c r="N1600" s="1">
        <v>37100</v>
      </c>
      <c r="O1600" s="12">
        <v>37500</v>
      </c>
      <c r="P1600" s="3" t="s">
        <v>68</v>
      </c>
      <c r="Q1600" s="1" cm="1">
        <f t="array" ref="Q1600">VALUE(INDEX(_xlfn.TEXTSPLIT(P1600, " "), 4))</f>
        <v>2014</v>
      </c>
      <c r="R1600" s="1" t="str">
        <f t="shared" si="24"/>
        <v>Mercedes-Benz M-Class ML350 4MATIC</v>
      </c>
      <c r="S1600" s="1" t="str" cm="1">
        <f t="array" ref="S1600">_xlfn.IFS(I1600 &gt;= 40, "High", I1600&gt;=20, "Medium", I1600&lt;20, "Low")</f>
        <v>High</v>
      </c>
      <c r="T1600" s="1" t="str" cm="1">
        <f t="array" ref="T1600">_xlfn.IFS(O1600&lt;18200, "Low", O1600&lt;=50000, "Medium", O1600&gt;50000, "High")</f>
        <v>Medium</v>
      </c>
    </row>
    <row r="1601" spans="1:20" x14ac:dyDescent="0.25">
      <c r="A1601" s="2">
        <v>2012</v>
      </c>
      <c r="B1601" s="1" t="s">
        <v>608</v>
      </c>
      <c r="C1601" s="1" t="s">
        <v>839</v>
      </c>
      <c r="D1601" s="1" t="s">
        <v>2381</v>
      </c>
      <c r="E1601" s="1" t="s">
        <v>19</v>
      </c>
      <c r="F1601" s="1" t="s">
        <v>20</v>
      </c>
      <c r="G1601" s="1" t="s">
        <v>2384</v>
      </c>
      <c r="H1601" s="1" t="s">
        <v>22</v>
      </c>
      <c r="I1601" s="1">
        <v>46</v>
      </c>
      <c r="J1601" s="1">
        <v>29338</v>
      </c>
      <c r="K1601" s="1" t="s">
        <v>34</v>
      </c>
      <c r="L1601" s="1" t="s">
        <v>82</v>
      </c>
      <c r="M1601" s="1" t="s">
        <v>2385</v>
      </c>
      <c r="N1601" s="1">
        <v>35600</v>
      </c>
      <c r="O1601" s="12">
        <v>34000</v>
      </c>
      <c r="P1601" s="3" t="s">
        <v>57</v>
      </c>
      <c r="Q1601" s="1" cm="1">
        <f t="array" ref="Q1601">VALUE(INDEX(_xlfn.TEXTSPLIT(P1601, " "), 4))</f>
        <v>2014</v>
      </c>
      <c r="R1601" s="1" t="str">
        <f t="shared" si="24"/>
        <v>Mercedes-Benz M-Class ML350 4MATIC</v>
      </c>
      <c r="S1601" s="1" t="str" cm="1">
        <f t="array" ref="S1601">_xlfn.IFS(I1601 &gt;= 40, "High", I1601&gt;=20, "Medium", I1601&lt;20, "Low")</f>
        <v>High</v>
      </c>
      <c r="T1601" s="1" t="str" cm="1">
        <f t="array" ref="T1601">_xlfn.IFS(O1601&lt;18200, "Low", O1601&lt;=50000, "Medium", O1601&gt;50000, "High")</f>
        <v>Medium</v>
      </c>
    </row>
    <row r="1602" spans="1:20" x14ac:dyDescent="0.25">
      <c r="A1602" s="2">
        <v>2012</v>
      </c>
      <c r="B1602" s="1" t="s">
        <v>47</v>
      </c>
      <c r="C1602" s="1" t="s">
        <v>48</v>
      </c>
      <c r="D1602" s="1" t="s">
        <v>49</v>
      </c>
      <c r="E1602" s="1" t="s">
        <v>32</v>
      </c>
      <c r="F1602" s="1" t="s">
        <v>20</v>
      </c>
      <c r="G1602" s="1" t="s">
        <v>2386</v>
      </c>
      <c r="H1602" s="1" t="s">
        <v>22</v>
      </c>
      <c r="I1602" s="1">
        <v>35</v>
      </c>
      <c r="J1602" s="1">
        <v>68499</v>
      </c>
      <c r="K1602" s="1" t="s">
        <v>23</v>
      </c>
      <c r="L1602" s="1" t="s">
        <v>24</v>
      </c>
      <c r="M1602" s="1" t="s">
        <v>217</v>
      </c>
      <c r="N1602" s="1">
        <v>10150</v>
      </c>
      <c r="O1602" s="12">
        <v>10500</v>
      </c>
      <c r="P1602" s="3" t="s">
        <v>26</v>
      </c>
      <c r="Q1602" s="1" cm="1">
        <f t="array" ref="Q1602">VALUE(INDEX(_xlfn.TEXTSPLIT(P1602, " "), 4))</f>
        <v>2014</v>
      </c>
      <c r="R1602" s="1" t="str">
        <f t="shared" si="24"/>
        <v>Nissan Altima 2.5 S</v>
      </c>
      <c r="S1602" s="1" t="str" cm="1">
        <f t="array" ref="S1602">_xlfn.IFS(I1602 &gt;= 40, "High", I1602&gt;=20, "Medium", I1602&lt;20, "Low")</f>
        <v>Medium</v>
      </c>
      <c r="T1602" s="1" t="str" cm="1">
        <f t="array" ref="T1602">_xlfn.IFS(O1602&lt;18200, "Low", O1602&lt;=50000, "Medium", O1602&gt;50000, "High")</f>
        <v>Low</v>
      </c>
    </row>
    <row r="1603" spans="1:20" x14ac:dyDescent="0.25">
      <c r="A1603" s="2">
        <v>2012</v>
      </c>
      <c r="B1603" s="1" t="s">
        <v>47</v>
      </c>
      <c r="C1603" s="1" t="s">
        <v>212</v>
      </c>
      <c r="D1603" s="1" t="s">
        <v>2336</v>
      </c>
      <c r="E1603" s="1" t="s">
        <v>227</v>
      </c>
      <c r="F1603" s="1" t="s">
        <v>20</v>
      </c>
      <c r="G1603" s="1" t="s">
        <v>2387</v>
      </c>
      <c r="H1603" s="1" t="s">
        <v>22</v>
      </c>
      <c r="I1603" s="1">
        <v>31</v>
      </c>
      <c r="J1603" s="1">
        <v>58768</v>
      </c>
      <c r="K1603" s="1" t="s">
        <v>24</v>
      </c>
      <c r="L1603" s="1" t="s">
        <v>24</v>
      </c>
      <c r="M1603" s="1" t="s">
        <v>946</v>
      </c>
      <c r="N1603" s="1">
        <v>7525</v>
      </c>
      <c r="O1603" s="12">
        <v>8400</v>
      </c>
      <c r="P1603" s="3" t="s">
        <v>68</v>
      </c>
      <c r="Q1603" s="1" cm="1">
        <f t="array" ref="Q1603">VALUE(INDEX(_xlfn.TEXTSPLIT(P1603, " "), 4))</f>
        <v>2014</v>
      </c>
      <c r="R1603" s="1" t="str">
        <f t="shared" ref="R1603:R1666" si="25">_xlfn.TEXTJOIN(" ", TRUE, B1603, C1603, D1603)</f>
        <v>Nissan Versa 1.8 S</v>
      </c>
      <c r="S1603" s="1" t="str" cm="1">
        <f t="array" ref="S1603">_xlfn.IFS(I1603 &gt;= 40, "High", I1603&gt;=20, "Medium", I1603&lt;20, "Low")</f>
        <v>Medium</v>
      </c>
      <c r="T1603" s="1" t="str" cm="1">
        <f t="array" ref="T1603">_xlfn.IFS(O1603&lt;18200, "Low", O1603&lt;=50000, "Medium", O1603&gt;50000, "High")</f>
        <v>Low</v>
      </c>
    </row>
    <row r="1604" spans="1:20" x14ac:dyDescent="0.25">
      <c r="A1604" s="2">
        <v>2012</v>
      </c>
      <c r="B1604" s="1" t="s">
        <v>2327</v>
      </c>
      <c r="C1604" s="1" t="s">
        <v>2328</v>
      </c>
      <c r="D1604" s="1" t="s">
        <v>2329</v>
      </c>
      <c r="E1604" s="1"/>
      <c r="F1604" s="1" t="s">
        <v>20</v>
      </c>
      <c r="G1604" s="1" t="s">
        <v>2388</v>
      </c>
      <c r="H1604" s="1" t="s">
        <v>22</v>
      </c>
      <c r="I1604" s="1">
        <v>2</v>
      </c>
      <c r="J1604" s="1">
        <v>50151</v>
      </c>
      <c r="K1604" s="1" t="s">
        <v>24</v>
      </c>
      <c r="L1604" s="1" t="s">
        <v>24</v>
      </c>
      <c r="M1604" s="1" t="s">
        <v>436</v>
      </c>
      <c r="N1604" s="1">
        <v>8225</v>
      </c>
      <c r="O1604" s="12">
        <v>5800</v>
      </c>
      <c r="P1604" s="3" t="s">
        <v>97</v>
      </c>
      <c r="Q1604" s="1" cm="1">
        <f t="array" ref="Q1604">VALUE(INDEX(_xlfn.TEXTSPLIT(P1604, " "), 4))</f>
        <v>2014</v>
      </c>
      <c r="R1604" s="1" t="str">
        <f t="shared" si="25"/>
        <v>mitsubishi galant fe</v>
      </c>
      <c r="S1604" s="1" t="str" cm="1">
        <f t="array" ref="S1604">_xlfn.IFS(I1604 &gt;= 40, "High", I1604&gt;=20, "Medium", I1604&lt;20, "Low")</f>
        <v>Low</v>
      </c>
      <c r="T1604" s="1" t="str" cm="1">
        <f t="array" ref="T1604">_xlfn.IFS(O1604&lt;18200, "Low", O1604&lt;=50000, "Medium", O1604&gt;50000, "High")</f>
        <v>Low</v>
      </c>
    </row>
    <row r="1605" spans="1:20" x14ac:dyDescent="0.25">
      <c r="A1605" s="2">
        <v>2012</v>
      </c>
      <c r="B1605" s="1" t="s">
        <v>608</v>
      </c>
      <c r="C1605" s="1" t="s">
        <v>830</v>
      </c>
      <c r="D1605" s="1" t="s">
        <v>831</v>
      </c>
      <c r="E1605" s="1" t="s">
        <v>19</v>
      </c>
      <c r="F1605" s="1" t="s">
        <v>20</v>
      </c>
      <c r="G1605" s="1" t="s">
        <v>2389</v>
      </c>
      <c r="H1605" s="1" t="s">
        <v>22</v>
      </c>
      <c r="I1605" s="1">
        <v>3</v>
      </c>
      <c r="J1605" s="1">
        <v>54184</v>
      </c>
      <c r="K1605" s="1" t="s">
        <v>34</v>
      </c>
      <c r="L1605" s="1" t="s">
        <v>24</v>
      </c>
      <c r="M1605" s="1" t="s">
        <v>56</v>
      </c>
      <c r="N1605" s="1">
        <v>29200</v>
      </c>
      <c r="O1605" s="12">
        <v>28500</v>
      </c>
      <c r="P1605" s="3" t="s">
        <v>26</v>
      </c>
      <c r="Q1605" s="1" cm="1">
        <f t="array" ref="Q1605">VALUE(INDEX(_xlfn.TEXTSPLIT(P1605, " "), 4))</f>
        <v>2014</v>
      </c>
      <c r="R1605" s="1" t="str">
        <f t="shared" si="25"/>
        <v>Mercedes-Benz GL-Class GL450 4MATIC</v>
      </c>
      <c r="S1605" s="1" t="str" cm="1">
        <f t="array" ref="S1605">_xlfn.IFS(I1605 &gt;= 40, "High", I1605&gt;=20, "Medium", I1605&lt;20, "Low")</f>
        <v>Low</v>
      </c>
      <c r="T1605" s="1" t="str" cm="1">
        <f t="array" ref="T1605">_xlfn.IFS(O1605&lt;18200, "Low", O1605&lt;=50000, "Medium", O1605&gt;50000, "High")</f>
        <v>Medium</v>
      </c>
    </row>
    <row r="1606" spans="1:20" x14ac:dyDescent="0.25">
      <c r="A1606" s="2">
        <v>2012</v>
      </c>
      <c r="B1606" s="1" t="s">
        <v>47</v>
      </c>
      <c r="C1606" s="1" t="s">
        <v>959</v>
      </c>
      <c r="D1606" s="1" t="s">
        <v>960</v>
      </c>
      <c r="E1606" s="1" t="s">
        <v>227</v>
      </c>
      <c r="F1606" s="1" t="s">
        <v>20</v>
      </c>
      <c r="G1606" s="1" t="s">
        <v>2390</v>
      </c>
      <c r="H1606" s="1" t="s">
        <v>22</v>
      </c>
      <c r="I1606" s="1">
        <v>46</v>
      </c>
      <c r="J1606" s="1">
        <v>37937</v>
      </c>
      <c r="K1606" s="1" t="s">
        <v>101</v>
      </c>
      <c r="L1606" s="1" t="s">
        <v>28</v>
      </c>
      <c r="M1606" s="1" t="s">
        <v>217</v>
      </c>
      <c r="N1606" s="1">
        <v>10350</v>
      </c>
      <c r="O1606" s="12">
        <v>10750</v>
      </c>
      <c r="P1606" s="3" t="s">
        <v>251</v>
      </c>
      <c r="Q1606" s="1" cm="1">
        <f t="array" ref="Q1606">VALUE(INDEX(_xlfn.TEXTSPLIT(P1606, " "), 4))</f>
        <v>2014</v>
      </c>
      <c r="R1606" s="1" t="str">
        <f t="shared" si="25"/>
        <v>Nissan Leaf SL</v>
      </c>
      <c r="S1606" s="1" t="str" cm="1">
        <f t="array" ref="S1606">_xlfn.IFS(I1606 &gt;= 40, "High", I1606&gt;=20, "Medium", I1606&lt;20, "Low")</f>
        <v>High</v>
      </c>
      <c r="T1606" s="1" t="str" cm="1">
        <f t="array" ref="T1606">_xlfn.IFS(O1606&lt;18200, "Low", O1606&lt;=50000, "Medium", O1606&gt;50000, "High")</f>
        <v>Low</v>
      </c>
    </row>
    <row r="1607" spans="1:20" x14ac:dyDescent="0.25">
      <c r="A1607" s="2">
        <v>2012</v>
      </c>
      <c r="B1607" s="1" t="s">
        <v>608</v>
      </c>
      <c r="C1607" s="1" t="s">
        <v>830</v>
      </c>
      <c r="D1607" s="1" t="s">
        <v>831</v>
      </c>
      <c r="E1607" s="1" t="s">
        <v>19</v>
      </c>
      <c r="F1607" s="1" t="s">
        <v>20</v>
      </c>
      <c r="G1607" s="1" t="s">
        <v>2391</v>
      </c>
      <c r="H1607" s="1" t="s">
        <v>22</v>
      </c>
      <c r="I1607" s="1">
        <v>35</v>
      </c>
      <c r="J1607" s="1">
        <v>57821</v>
      </c>
      <c r="K1607" s="1" t="s">
        <v>34</v>
      </c>
      <c r="L1607" s="1" t="s">
        <v>34</v>
      </c>
      <c r="M1607" s="1" t="s">
        <v>669</v>
      </c>
      <c r="N1607" s="1">
        <v>28100</v>
      </c>
      <c r="O1607" s="12">
        <v>27750</v>
      </c>
      <c r="P1607" s="3" t="s">
        <v>46</v>
      </c>
      <c r="Q1607" s="1" cm="1">
        <f t="array" ref="Q1607">VALUE(INDEX(_xlfn.TEXTSPLIT(P1607, " "), 4))</f>
        <v>2014</v>
      </c>
      <c r="R1607" s="1" t="str">
        <f t="shared" si="25"/>
        <v>Mercedes-Benz GL-Class GL450 4MATIC</v>
      </c>
      <c r="S1607" s="1" t="str" cm="1">
        <f t="array" ref="S1607">_xlfn.IFS(I1607 &gt;= 40, "High", I1607&gt;=20, "Medium", I1607&lt;20, "Low")</f>
        <v>Medium</v>
      </c>
      <c r="T1607" s="1" t="str" cm="1">
        <f t="array" ref="T1607">_xlfn.IFS(O1607&lt;18200, "Low", O1607&lt;=50000, "Medium", O1607&gt;50000, "High")</f>
        <v>Medium</v>
      </c>
    </row>
    <row r="1608" spans="1:20" x14ac:dyDescent="0.25">
      <c r="A1608" s="2">
        <v>2012</v>
      </c>
      <c r="B1608" s="1" t="s">
        <v>1033</v>
      </c>
      <c r="C1608" s="1" t="s">
        <v>1034</v>
      </c>
      <c r="D1608" s="1" t="s">
        <v>54</v>
      </c>
      <c r="E1608" s="1" t="s">
        <v>19</v>
      </c>
      <c r="F1608" s="1" t="s">
        <v>20</v>
      </c>
      <c r="G1608" s="1" t="s">
        <v>2392</v>
      </c>
      <c r="H1608" s="1" t="s">
        <v>22</v>
      </c>
      <c r="I1608" s="1">
        <v>39</v>
      </c>
      <c r="J1608" s="1">
        <v>49086</v>
      </c>
      <c r="K1608" s="1" t="s">
        <v>24</v>
      </c>
      <c r="L1608" s="1" t="s">
        <v>28</v>
      </c>
      <c r="M1608" s="1" t="s">
        <v>2136</v>
      </c>
      <c r="N1608" s="1">
        <v>39000</v>
      </c>
      <c r="O1608" s="12">
        <v>38750</v>
      </c>
      <c r="P1608" s="3" t="s">
        <v>84</v>
      </c>
      <c r="Q1608" s="1" cm="1">
        <f t="array" ref="Q1608">VALUE(INDEX(_xlfn.TEXTSPLIT(P1608, " "), 4))</f>
        <v>2014</v>
      </c>
      <c r="R1608" s="1" t="str">
        <f t="shared" si="25"/>
        <v>Porsche Cayenne Base</v>
      </c>
      <c r="S1608" s="1" t="str" cm="1">
        <f t="array" ref="S1608">_xlfn.IFS(I1608 &gt;= 40, "High", I1608&gt;=20, "Medium", I1608&lt;20, "Low")</f>
        <v>Medium</v>
      </c>
      <c r="T1608" s="1" t="str" cm="1">
        <f t="array" ref="T1608">_xlfn.IFS(O1608&lt;18200, "Low", O1608&lt;=50000, "Medium", O1608&gt;50000, "High")</f>
        <v>Medium</v>
      </c>
    </row>
    <row r="1609" spans="1:20" x14ac:dyDescent="0.25">
      <c r="A1609" s="2">
        <v>2012</v>
      </c>
      <c r="B1609" s="1" t="s">
        <v>47</v>
      </c>
      <c r="C1609" s="1" t="s">
        <v>1125</v>
      </c>
      <c r="D1609" s="1" t="s">
        <v>960</v>
      </c>
      <c r="E1609" s="1" t="s">
        <v>19</v>
      </c>
      <c r="F1609" s="1" t="s">
        <v>20</v>
      </c>
      <c r="G1609" s="1" t="s">
        <v>2393</v>
      </c>
      <c r="H1609" s="1" t="s">
        <v>22</v>
      </c>
      <c r="I1609" s="1">
        <v>33</v>
      </c>
      <c r="J1609" s="1">
        <v>33561</v>
      </c>
      <c r="K1609" s="1" t="s">
        <v>91</v>
      </c>
      <c r="L1609" s="1" t="s">
        <v>34</v>
      </c>
      <c r="M1609" s="1" t="s">
        <v>56</v>
      </c>
      <c r="N1609" s="1">
        <v>27300</v>
      </c>
      <c r="O1609" s="12">
        <v>24000</v>
      </c>
      <c r="P1609" s="3" t="s">
        <v>853</v>
      </c>
      <c r="Q1609" s="1" cm="1">
        <f t="array" ref="Q1609">VALUE(INDEX(_xlfn.TEXTSPLIT(P1609, " "), 4))</f>
        <v>2015</v>
      </c>
      <c r="R1609" s="1" t="str">
        <f t="shared" si="25"/>
        <v>Nissan Armada SL</v>
      </c>
      <c r="S1609" s="1" t="str" cm="1">
        <f t="array" ref="S1609">_xlfn.IFS(I1609 &gt;= 40, "High", I1609&gt;=20, "Medium", I1609&lt;20, "Low")</f>
        <v>Medium</v>
      </c>
      <c r="T1609" s="1" t="str" cm="1">
        <f t="array" ref="T1609">_xlfn.IFS(O1609&lt;18200, "Low", O1609&lt;=50000, "Medium", O1609&gt;50000, "High")</f>
        <v>Medium</v>
      </c>
    </row>
    <row r="1610" spans="1:20" x14ac:dyDescent="0.25">
      <c r="A1610" s="2">
        <v>2012</v>
      </c>
      <c r="B1610" s="1" t="s">
        <v>47</v>
      </c>
      <c r="C1610" s="1" t="s">
        <v>48</v>
      </c>
      <c r="D1610" s="1" t="s">
        <v>49</v>
      </c>
      <c r="E1610" s="1" t="s">
        <v>32</v>
      </c>
      <c r="F1610" s="1" t="s">
        <v>20</v>
      </c>
      <c r="G1610" s="1" t="s">
        <v>2394</v>
      </c>
      <c r="H1610" s="1" t="s">
        <v>22</v>
      </c>
      <c r="I1610" s="1">
        <v>43</v>
      </c>
      <c r="J1610" s="1">
        <v>26506</v>
      </c>
      <c r="K1610" s="1" t="s">
        <v>23</v>
      </c>
      <c r="L1610" s="1" t="s">
        <v>82</v>
      </c>
      <c r="M1610" s="1" t="s">
        <v>217</v>
      </c>
      <c r="N1610" s="1">
        <v>12900</v>
      </c>
      <c r="O1610" s="12">
        <v>14750</v>
      </c>
      <c r="P1610" s="3" t="s">
        <v>26</v>
      </c>
      <c r="Q1610" s="1" cm="1">
        <f t="array" ref="Q1610">VALUE(INDEX(_xlfn.TEXTSPLIT(P1610, " "), 4))</f>
        <v>2014</v>
      </c>
      <c r="R1610" s="1" t="str">
        <f t="shared" si="25"/>
        <v>Nissan Altima 2.5 S</v>
      </c>
      <c r="S1610" s="1" t="str" cm="1">
        <f t="array" ref="S1610">_xlfn.IFS(I1610 &gt;= 40, "High", I1610&gt;=20, "Medium", I1610&lt;20, "Low")</f>
        <v>High</v>
      </c>
      <c r="T1610" s="1" t="str" cm="1">
        <f t="array" ref="T1610">_xlfn.IFS(O1610&lt;18200, "Low", O1610&lt;=50000, "Medium", O1610&gt;50000, "High")</f>
        <v>Low</v>
      </c>
    </row>
    <row r="1611" spans="1:20" x14ac:dyDescent="0.25">
      <c r="A1611" s="2">
        <v>2012</v>
      </c>
      <c r="B1611" s="1" t="s">
        <v>1033</v>
      </c>
      <c r="C1611" s="1" t="s">
        <v>1157</v>
      </c>
      <c r="D1611" s="1" t="s">
        <v>1141</v>
      </c>
      <c r="E1611" s="1" t="s">
        <v>32</v>
      </c>
      <c r="F1611" s="1" t="s">
        <v>20</v>
      </c>
      <c r="G1611" s="1" t="s">
        <v>2395</v>
      </c>
      <c r="H1611" s="1" t="s">
        <v>22</v>
      </c>
      <c r="I1611" s="1">
        <v>41</v>
      </c>
      <c r="J1611" s="1">
        <v>49288</v>
      </c>
      <c r="K1611" s="1" t="s">
        <v>34</v>
      </c>
      <c r="L1611" s="1" t="s">
        <v>24</v>
      </c>
      <c r="M1611" s="1" t="s">
        <v>2136</v>
      </c>
      <c r="N1611" s="1">
        <v>52800</v>
      </c>
      <c r="O1611" s="12">
        <v>49750</v>
      </c>
      <c r="P1611" s="3" t="s">
        <v>26</v>
      </c>
      <c r="Q1611" s="1" cm="1">
        <f t="array" ref="Q1611">VALUE(INDEX(_xlfn.TEXTSPLIT(P1611, " "), 4))</f>
        <v>2014</v>
      </c>
      <c r="R1611" s="1" t="str">
        <f t="shared" si="25"/>
        <v>Porsche Panamera S Hybrid</v>
      </c>
      <c r="S1611" s="1" t="str" cm="1">
        <f t="array" ref="S1611">_xlfn.IFS(I1611 &gt;= 40, "High", I1611&gt;=20, "Medium", I1611&lt;20, "Low")</f>
        <v>High</v>
      </c>
      <c r="T1611" s="1" t="str" cm="1">
        <f t="array" ref="T1611">_xlfn.IFS(O1611&lt;18200, "Low", O1611&lt;=50000, "Medium", O1611&gt;50000, "High")</f>
        <v>Medium</v>
      </c>
    </row>
    <row r="1612" spans="1:20" x14ac:dyDescent="0.25">
      <c r="A1612" s="2">
        <v>2012</v>
      </c>
      <c r="B1612" s="1" t="s">
        <v>927</v>
      </c>
      <c r="C1612" s="1" t="s">
        <v>963</v>
      </c>
      <c r="D1612" s="1" t="s">
        <v>87</v>
      </c>
      <c r="E1612" s="1" t="s">
        <v>32</v>
      </c>
      <c r="F1612" s="1" t="s">
        <v>20</v>
      </c>
      <c r="G1612" s="1" t="s">
        <v>2396</v>
      </c>
      <c r="H1612" s="1" t="s">
        <v>22</v>
      </c>
      <c r="I1612" s="1">
        <v>28</v>
      </c>
      <c r="J1612" s="1">
        <v>52277</v>
      </c>
      <c r="K1612" s="1" t="s">
        <v>24</v>
      </c>
      <c r="L1612" s="1" t="s">
        <v>24</v>
      </c>
      <c r="M1612" s="1" t="s">
        <v>1096</v>
      </c>
      <c r="N1612" s="1">
        <v>13550</v>
      </c>
      <c r="O1612" s="12">
        <v>12900</v>
      </c>
      <c r="P1612" s="3" t="s">
        <v>1108</v>
      </c>
      <c r="Q1612" s="1" cm="1">
        <f t="array" ref="Q1612">VALUE(INDEX(_xlfn.TEXTSPLIT(P1612, " "), 4))</f>
        <v>2014</v>
      </c>
      <c r="R1612" s="1" t="str">
        <f t="shared" si="25"/>
        <v>Toyota Camry SE</v>
      </c>
      <c r="S1612" s="1" t="str" cm="1">
        <f t="array" ref="S1612">_xlfn.IFS(I1612 &gt;= 40, "High", I1612&gt;=20, "Medium", I1612&lt;20, "Low")</f>
        <v>Medium</v>
      </c>
      <c r="T1612" s="1" t="str" cm="1">
        <f t="array" ref="T1612">_xlfn.IFS(O1612&lt;18200, "Low", O1612&lt;=50000, "Medium", O1612&gt;50000, "High")</f>
        <v>Low</v>
      </c>
    </row>
    <row r="1613" spans="1:20" x14ac:dyDescent="0.25">
      <c r="A1613" s="2">
        <v>2012</v>
      </c>
      <c r="B1613" s="1" t="s">
        <v>47</v>
      </c>
      <c r="C1613" s="1" t="s">
        <v>48</v>
      </c>
      <c r="D1613" s="1" t="s">
        <v>49</v>
      </c>
      <c r="E1613" s="1" t="s">
        <v>32</v>
      </c>
      <c r="F1613" s="1" t="s">
        <v>20</v>
      </c>
      <c r="G1613" s="1" t="s">
        <v>2397</v>
      </c>
      <c r="H1613" s="1" t="s">
        <v>22</v>
      </c>
      <c r="I1613" s="1">
        <v>43</v>
      </c>
      <c r="J1613" s="1">
        <v>12490</v>
      </c>
      <c r="K1613" s="1" t="s">
        <v>34</v>
      </c>
      <c r="L1613" s="1" t="s">
        <v>24</v>
      </c>
      <c r="M1613" s="1" t="s">
        <v>217</v>
      </c>
      <c r="N1613" s="1">
        <v>13850</v>
      </c>
      <c r="O1613" s="12">
        <v>15000</v>
      </c>
      <c r="P1613" s="3" t="s">
        <v>26</v>
      </c>
      <c r="Q1613" s="1" cm="1">
        <f t="array" ref="Q1613">VALUE(INDEX(_xlfn.TEXTSPLIT(P1613, " "), 4))</f>
        <v>2014</v>
      </c>
      <c r="R1613" s="1" t="str">
        <f t="shared" si="25"/>
        <v>Nissan Altima 2.5 S</v>
      </c>
      <c r="S1613" s="1" t="str" cm="1">
        <f t="array" ref="S1613">_xlfn.IFS(I1613 &gt;= 40, "High", I1613&gt;=20, "Medium", I1613&lt;20, "Low")</f>
        <v>High</v>
      </c>
      <c r="T1613" s="1" t="str" cm="1">
        <f t="array" ref="T1613">_xlfn.IFS(O1613&lt;18200, "Low", O1613&lt;=50000, "Medium", O1613&gt;50000, "High")</f>
        <v>Low</v>
      </c>
    </row>
    <row r="1614" spans="1:20" x14ac:dyDescent="0.25">
      <c r="A1614" s="2">
        <v>2012</v>
      </c>
      <c r="B1614" s="1" t="s">
        <v>978</v>
      </c>
      <c r="C1614" s="1" t="s">
        <v>1167</v>
      </c>
      <c r="D1614" s="1" t="s">
        <v>2398</v>
      </c>
      <c r="E1614" s="1" t="s">
        <v>19</v>
      </c>
      <c r="F1614" s="1" t="s">
        <v>20</v>
      </c>
      <c r="G1614" s="1" t="s">
        <v>2399</v>
      </c>
      <c r="H1614" s="1" t="s">
        <v>22</v>
      </c>
      <c r="I1614" s="1">
        <v>23</v>
      </c>
      <c r="J1614" s="1">
        <v>32594</v>
      </c>
      <c r="K1614" s="1" t="s">
        <v>34</v>
      </c>
      <c r="L1614" s="1" t="s">
        <v>34</v>
      </c>
      <c r="M1614" s="1" t="s">
        <v>555</v>
      </c>
      <c r="N1614" s="1">
        <v>16700</v>
      </c>
      <c r="O1614" s="12">
        <v>16000</v>
      </c>
      <c r="P1614" s="3" t="s">
        <v>68</v>
      </c>
      <c r="Q1614" s="1" cm="1">
        <f t="array" ref="Q1614">VALUE(INDEX(_xlfn.TEXTSPLIT(P1614, " "), 4))</f>
        <v>2014</v>
      </c>
      <c r="R1614" s="1" t="str">
        <f t="shared" si="25"/>
        <v>Subaru Forester 2.5X Touring PZEV</v>
      </c>
      <c r="S1614" s="1" t="str" cm="1">
        <f t="array" ref="S1614">_xlfn.IFS(I1614 &gt;= 40, "High", I1614&gt;=20, "Medium", I1614&lt;20, "Low")</f>
        <v>Medium</v>
      </c>
      <c r="T1614" s="1" t="str" cm="1">
        <f t="array" ref="T1614">_xlfn.IFS(O1614&lt;18200, "Low", O1614&lt;=50000, "Medium", O1614&gt;50000, "High")</f>
        <v>Low</v>
      </c>
    </row>
    <row r="1615" spans="1:20" x14ac:dyDescent="0.25">
      <c r="A1615" s="2">
        <v>2012</v>
      </c>
      <c r="B1615" s="1" t="s">
        <v>2340</v>
      </c>
      <c r="C1615" s="1">
        <v>1500</v>
      </c>
      <c r="D1615" s="1" t="s">
        <v>2400</v>
      </c>
      <c r="E1615" s="1" t="s">
        <v>2401</v>
      </c>
      <c r="F1615" s="1" t="s">
        <v>20</v>
      </c>
      <c r="G1615" s="1" t="s">
        <v>2402</v>
      </c>
      <c r="H1615" s="1" t="s">
        <v>22</v>
      </c>
      <c r="I1615" s="1">
        <v>44</v>
      </c>
      <c r="J1615" s="1">
        <v>52039</v>
      </c>
      <c r="K1615" s="1" t="s">
        <v>23</v>
      </c>
      <c r="L1615" s="1" t="s">
        <v>24</v>
      </c>
      <c r="M1615" s="1" t="s">
        <v>109</v>
      </c>
      <c r="N1615" s="1">
        <v>15900</v>
      </c>
      <c r="O1615" s="12">
        <v>17300</v>
      </c>
      <c r="P1615" s="3" t="s">
        <v>68</v>
      </c>
      <c r="Q1615" s="1" cm="1">
        <f t="array" ref="Q1615">VALUE(INDEX(_xlfn.TEXTSPLIT(P1615, " "), 4))</f>
        <v>2014</v>
      </c>
      <c r="R1615" s="1" t="str">
        <f t="shared" si="25"/>
        <v>Ram 1500 SLT</v>
      </c>
      <c r="S1615" s="1" t="str" cm="1">
        <f t="array" ref="S1615">_xlfn.IFS(I1615 &gt;= 40, "High", I1615&gt;=20, "Medium", I1615&lt;20, "Low")</f>
        <v>High</v>
      </c>
      <c r="T1615" s="1" t="str" cm="1">
        <f t="array" ref="T1615">_xlfn.IFS(O1615&lt;18200, "Low", O1615&lt;=50000, "Medium", O1615&gt;50000, "High")</f>
        <v>Low</v>
      </c>
    </row>
    <row r="1616" spans="1:20" x14ac:dyDescent="0.25">
      <c r="A1616" s="2">
        <v>2012</v>
      </c>
      <c r="B1616" s="1" t="s">
        <v>47</v>
      </c>
      <c r="C1616" s="1" t="s">
        <v>48</v>
      </c>
      <c r="D1616" s="1" t="s">
        <v>49</v>
      </c>
      <c r="E1616" s="1" t="s">
        <v>32</v>
      </c>
      <c r="F1616" s="1" t="s">
        <v>20</v>
      </c>
      <c r="G1616" s="1" t="s">
        <v>2403</v>
      </c>
      <c r="H1616" s="1" t="s">
        <v>22</v>
      </c>
      <c r="I1616" s="1">
        <v>39</v>
      </c>
      <c r="J1616" s="1">
        <v>31174</v>
      </c>
      <c r="K1616" s="1" t="s">
        <v>101</v>
      </c>
      <c r="L1616" s="1" t="s">
        <v>24</v>
      </c>
      <c r="M1616" s="1" t="s">
        <v>217</v>
      </c>
      <c r="N1616" s="1">
        <v>12600</v>
      </c>
      <c r="O1616" s="12">
        <v>12250</v>
      </c>
      <c r="P1616" s="3" t="s">
        <v>26</v>
      </c>
      <c r="Q1616" s="1" cm="1">
        <f t="array" ref="Q1616">VALUE(INDEX(_xlfn.TEXTSPLIT(P1616, " "), 4))</f>
        <v>2014</v>
      </c>
      <c r="R1616" s="1" t="str">
        <f t="shared" si="25"/>
        <v>Nissan Altima 2.5 S</v>
      </c>
      <c r="S1616" s="1" t="str" cm="1">
        <f t="array" ref="S1616">_xlfn.IFS(I1616 &gt;= 40, "High", I1616&gt;=20, "Medium", I1616&lt;20, "Low")</f>
        <v>Medium</v>
      </c>
      <c r="T1616" s="1" t="str" cm="1">
        <f t="array" ref="T1616">_xlfn.IFS(O1616&lt;18200, "Low", O1616&lt;=50000, "Medium", O1616&gt;50000, "High")</f>
        <v>Low</v>
      </c>
    </row>
    <row r="1617" spans="1:20" x14ac:dyDescent="0.25">
      <c r="A1617" s="2">
        <v>2012</v>
      </c>
      <c r="B1617" s="1" t="s">
        <v>1033</v>
      </c>
      <c r="C1617" s="1" t="s">
        <v>1157</v>
      </c>
      <c r="D1617" s="1" t="s">
        <v>54</v>
      </c>
      <c r="E1617" s="1" t="s">
        <v>32</v>
      </c>
      <c r="F1617" s="1" t="s">
        <v>20</v>
      </c>
      <c r="G1617" s="1" t="s">
        <v>2404</v>
      </c>
      <c r="H1617" s="1" t="s">
        <v>22</v>
      </c>
      <c r="I1617" s="1">
        <v>38</v>
      </c>
      <c r="J1617" s="1">
        <v>29549</v>
      </c>
      <c r="K1617" s="1" t="s">
        <v>73</v>
      </c>
      <c r="L1617" s="1" t="s">
        <v>82</v>
      </c>
      <c r="M1617" s="1" t="s">
        <v>2405</v>
      </c>
      <c r="N1617" s="1">
        <v>50300</v>
      </c>
      <c r="O1617" s="12">
        <v>51500</v>
      </c>
      <c r="P1617" s="3" t="s">
        <v>46</v>
      </c>
      <c r="Q1617" s="1" cm="1">
        <f t="array" ref="Q1617">VALUE(INDEX(_xlfn.TEXTSPLIT(P1617, " "), 4))</f>
        <v>2014</v>
      </c>
      <c r="R1617" s="1" t="str">
        <f t="shared" si="25"/>
        <v>Porsche Panamera Base</v>
      </c>
      <c r="S1617" s="1" t="str" cm="1">
        <f t="array" ref="S1617">_xlfn.IFS(I1617 &gt;= 40, "High", I1617&gt;=20, "Medium", I1617&lt;20, "Low")</f>
        <v>Medium</v>
      </c>
      <c r="T1617" s="1" t="str" cm="1">
        <f t="array" ref="T1617">_xlfn.IFS(O1617&lt;18200, "Low", O1617&lt;=50000, "Medium", O1617&gt;50000, "High")</f>
        <v>High</v>
      </c>
    </row>
    <row r="1618" spans="1:20" x14ac:dyDescent="0.25">
      <c r="A1618" s="2">
        <v>2012</v>
      </c>
      <c r="B1618" s="1" t="s">
        <v>999</v>
      </c>
      <c r="C1618" s="1" t="s">
        <v>1026</v>
      </c>
      <c r="D1618" s="1" t="s">
        <v>54</v>
      </c>
      <c r="E1618" s="1" t="s">
        <v>227</v>
      </c>
      <c r="F1618" s="1" t="s">
        <v>20</v>
      </c>
      <c r="G1618" s="1" t="s">
        <v>2406</v>
      </c>
      <c r="H1618" s="1" t="s">
        <v>22</v>
      </c>
      <c r="I1618" s="1">
        <v>3</v>
      </c>
      <c r="J1618" s="1">
        <v>19565</v>
      </c>
      <c r="K1618" s="1" t="s">
        <v>288</v>
      </c>
      <c r="L1618" s="1" t="s">
        <v>24</v>
      </c>
      <c r="M1618" s="1" t="s">
        <v>1096</v>
      </c>
      <c r="N1618" s="1">
        <v>13700</v>
      </c>
      <c r="O1618" s="12">
        <v>13000</v>
      </c>
      <c r="P1618" s="3" t="s">
        <v>1108</v>
      </c>
      <c r="Q1618" s="1" cm="1">
        <f t="array" ref="Q1618">VALUE(INDEX(_xlfn.TEXTSPLIT(P1618, " "), 4))</f>
        <v>2014</v>
      </c>
      <c r="R1618" s="1" t="str">
        <f t="shared" si="25"/>
        <v>Scion tC Base</v>
      </c>
      <c r="S1618" s="1" t="str" cm="1">
        <f t="array" ref="S1618">_xlfn.IFS(I1618 &gt;= 40, "High", I1618&gt;=20, "Medium", I1618&lt;20, "Low")</f>
        <v>Low</v>
      </c>
      <c r="T1618" s="1" t="str" cm="1">
        <f t="array" ref="T1618">_xlfn.IFS(O1618&lt;18200, "Low", O1618&lt;=50000, "Medium", O1618&gt;50000, "High")</f>
        <v>Low</v>
      </c>
    </row>
    <row r="1619" spans="1:20" x14ac:dyDescent="0.25">
      <c r="A1619" s="2">
        <v>2012</v>
      </c>
      <c r="B1619" s="1" t="s">
        <v>608</v>
      </c>
      <c r="C1619" s="1" t="s">
        <v>830</v>
      </c>
      <c r="D1619" s="1" t="s">
        <v>831</v>
      </c>
      <c r="E1619" s="1" t="s">
        <v>19</v>
      </c>
      <c r="F1619" s="1" t="s">
        <v>20</v>
      </c>
      <c r="G1619" s="1" t="s">
        <v>2407</v>
      </c>
      <c r="H1619" s="1" t="s">
        <v>22</v>
      </c>
      <c r="I1619" s="1">
        <v>24</v>
      </c>
      <c r="J1619" s="1">
        <v>59940</v>
      </c>
      <c r="K1619" s="1" t="s">
        <v>24</v>
      </c>
      <c r="L1619" s="1" t="s">
        <v>24</v>
      </c>
      <c r="M1619" s="1" t="s">
        <v>56</v>
      </c>
      <c r="N1619" s="1">
        <v>27300</v>
      </c>
      <c r="O1619" s="12">
        <v>25000</v>
      </c>
      <c r="P1619" s="3" t="s">
        <v>46</v>
      </c>
      <c r="Q1619" s="1" cm="1">
        <f t="array" ref="Q1619">VALUE(INDEX(_xlfn.TEXTSPLIT(P1619, " "), 4))</f>
        <v>2014</v>
      </c>
      <c r="R1619" s="1" t="str">
        <f t="shared" si="25"/>
        <v>Mercedes-Benz GL-Class GL450 4MATIC</v>
      </c>
      <c r="S1619" s="1" t="str" cm="1">
        <f t="array" ref="S1619">_xlfn.IFS(I1619 &gt;= 40, "High", I1619&gt;=20, "Medium", I1619&lt;20, "Low")</f>
        <v>Medium</v>
      </c>
      <c r="T1619" s="1" t="str" cm="1">
        <f t="array" ref="T1619">_xlfn.IFS(O1619&lt;18200, "Low", O1619&lt;=50000, "Medium", O1619&gt;50000, "High")</f>
        <v>Medium</v>
      </c>
    </row>
    <row r="1620" spans="1:20" x14ac:dyDescent="0.25">
      <c r="A1620" s="2">
        <v>2012</v>
      </c>
      <c r="B1620" s="1" t="s">
        <v>47</v>
      </c>
      <c r="C1620" s="1" t="s">
        <v>48</v>
      </c>
      <c r="D1620" s="1" t="s">
        <v>49</v>
      </c>
      <c r="E1620" s="1" t="s">
        <v>32</v>
      </c>
      <c r="F1620" s="1" t="s">
        <v>20</v>
      </c>
      <c r="G1620" s="1" t="s">
        <v>2408</v>
      </c>
      <c r="H1620" s="1" t="s">
        <v>22</v>
      </c>
      <c r="I1620" s="1">
        <v>44</v>
      </c>
      <c r="J1620" s="1">
        <v>45196</v>
      </c>
      <c r="K1620" s="1" t="s">
        <v>24</v>
      </c>
      <c r="L1620" s="1" t="s">
        <v>24</v>
      </c>
      <c r="M1620" s="1" t="s">
        <v>217</v>
      </c>
      <c r="N1620" s="1">
        <v>11700</v>
      </c>
      <c r="O1620" s="12">
        <v>12200</v>
      </c>
      <c r="P1620" s="3" t="s">
        <v>57</v>
      </c>
      <c r="Q1620" s="1" cm="1">
        <f t="array" ref="Q1620">VALUE(INDEX(_xlfn.TEXTSPLIT(P1620, " "), 4))</f>
        <v>2014</v>
      </c>
      <c r="R1620" s="1" t="str">
        <f t="shared" si="25"/>
        <v>Nissan Altima 2.5 S</v>
      </c>
      <c r="S1620" s="1" t="str" cm="1">
        <f t="array" ref="S1620">_xlfn.IFS(I1620 &gt;= 40, "High", I1620&gt;=20, "Medium", I1620&lt;20, "Low")</f>
        <v>High</v>
      </c>
      <c r="T1620" s="1" t="str" cm="1">
        <f t="array" ref="T1620">_xlfn.IFS(O1620&lt;18200, "Low", O1620&lt;=50000, "Medium", O1620&gt;50000, "High")</f>
        <v>Low</v>
      </c>
    </row>
    <row r="1621" spans="1:20" x14ac:dyDescent="0.25">
      <c r="A1621" s="2">
        <v>2012</v>
      </c>
      <c r="B1621" s="1" t="s">
        <v>47</v>
      </c>
      <c r="C1621" s="1" t="s">
        <v>48</v>
      </c>
      <c r="D1621" s="1" t="s">
        <v>49</v>
      </c>
      <c r="E1621" s="1" t="s">
        <v>107</v>
      </c>
      <c r="F1621" s="1" t="s">
        <v>20</v>
      </c>
      <c r="G1621" s="1" t="s">
        <v>2409</v>
      </c>
      <c r="H1621" s="1" t="s">
        <v>22</v>
      </c>
      <c r="I1621" s="1">
        <v>2</v>
      </c>
      <c r="J1621" s="1">
        <v>26390</v>
      </c>
      <c r="K1621" s="1" t="s">
        <v>94</v>
      </c>
      <c r="L1621" s="1" t="s">
        <v>28</v>
      </c>
      <c r="M1621" s="1" t="s">
        <v>984</v>
      </c>
      <c r="N1621" s="1">
        <v>13900</v>
      </c>
      <c r="O1621" s="12">
        <v>10200</v>
      </c>
      <c r="P1621" s="3" t="s">
        <v>57</v>
      </c>
      <c r="Q1621" s="1" cm="1">
        <f t="array" ref="Q1621">VALUE(INDEX(_xlfn.TEXTSPLIT(P1621, " "), 4))</f>
        <v>2014</v>
      </c>
      <c r="R1621" s="1" t="str">
        <f t="shared" si="25"/>
        <v>Nissan Altima 2.5 S</v>
      </c>
      <c r="S1621" s="1" t="str" cm="1">
        <f t="array" ref="S1621">_xlfn.IFS(I1621 &gt;= 40, "High", I1621&gt;=20, "Medium", I1621&lt;20, "Low")</f>
        <v>Low</v>
      </c>
      <c r="T1621" s="1" t="str" cm="1">
        <f t="array" ref="T1621">_xlfn.IFS(O1621&lt;18200, "Low", O1621&lt;=50000, "Medium", O1621&gt;50000, "High")</f>
        <v>Low</v>
      </c>
    </row>
    <row r="1622" spans="1:20" x14ac:dyDescent="0.25">
      <c r="A1622" s="2">
        <v>2012</v>
      </c>
      <c r="B1622" s="1" t="s">
        <v>1033</v>
      </c>
      <c r="C1622" s="1" t="s">
        <v>1034</v>
      </c>
      <c r="D1622" s="1" t="s">
        <v>54</v>
      </c>
      <c r="E1622" s="1" t="s">
        <v>19</v>
      </c>
      <c r="F1622" s="1" t="s">
        <v>20</v>
      </c>
      <c r="G1622" s="1" t="s">
        <v>2410</v>
      </c>
      <c r="H1622" s="1" t="s">
        <v>22</v>
      </c>
      <c r="I1622" s="1">
        <v>46</v>
      </c>
      <c r="J1622" s="1">
        <v>42303</v>
      </c>
      <c r="K1622" s="1" t="s">
        <v>34</v>
      </c>
      <c r="L1622" s="1" t="s">
        <v>28</v>
      </c>
      <c r="M1622" s="1" t="s">
        <v>2411</v>
      </c>
      <c r="N1622" s="1">
        <v>40300</v>
      </c>
      <c r="O1622" s="12">
        <v>41500</v>
      </c>
      <c r="P1622" s="3" t="s">
        <v>68</v>
      </c>
      <c r="Q1622" s="1" cm="1">
        <f t="array" ref="Q1622">VALUE(INDEX(_xlfn.TEXTSPLIT(P1622, " "), 4))</f>
        <v>2014</v>
      </c>
      <c r="R1622" s="1" t="str">
        <f t="shared" si="25"/>
        <v>Porsche Cayenne Base</v>
      </c>
      <c r="S1622" s="1" t="str" cm="1">
        <f t="array" ref="S1622">_xlfn.IFS(I1622 &gt;= 40, "High", I1622&gt;=20, "Medium", I1622&lt;20, "Low")</f>
        <v>High</v>
      </c>
      <c r="T1622" s="1" t="str" cm="1">
        <f t="array" ref="T1622">_xlfn.IFS(O1622&lt;18200, "Low", O1622&lt;=50000, "Medium", O1622&gt;50000, "High")</f>
        <v>Medium</v>
      </c>
    </row>
    <row r="1623" spans="1:20" x14ac:dyDescent="0.25">
      <c r="A1623" s="2">
        <v>2012</v>
      </c>
      <c r="B1623" s="1" t="s">
        <v>2327</v>
      </c>
      <c r="C1623" s="1" t="s">
        <v>2328</v>
      </c>
      <c r="D1623" s="1" t="s">
        <v>2329</v>
      </c>
      <c r="E1623" s="1"/>
      <c r="F1623" s="1" t="s">
        <v>20</v>
      </c>
      <c r="G1623" s="1" t="s">
        <v>2412</v>
      </c>
      <c r="H1623" s="1" t="s">
        <v>22</v>
      </c>
      <c r="I1623" s="1">
        <v>19</v>
      </c>
      <c r="J1623" s="1">
        <v>46008</v>
      </c>
      <c r="K1623" s="1" t="s">
        <v>24</v>
      </c>
      <c r="L1623" s="1" t="s">
        <v>24</v>
      </c>
      <c r="M1623" s="1" t="s">
        <v>2413</v>
      </c>
      <c r="N1623" s="1">
        <v>8450</v>
      </c>
      <c r="O1623" s="12">
        <v>6500</v>
      </c>
      <c r="P1623" s="3" t="s">
        <v>84</v>
      </c>
      <c r="Q1623" s="1" cm="1">
        <f t="array" ref="Q1623">VALUE(INDEX(_xlfn.TEXTSPLIT(P1623, " "), 4))</f>
        <v>2014</v>
      </c>
      <c r="R1623" s="1" t="str">
        <f t="shared" si="25"/>
        <v>mitsubishi galant fe</v>
      </c>
      <c r="S1623" s="1" t="str" cm="1">
        <f t="array" ref="S1623">_xlfn.IFS(I1623 &gt;= 40, "High", I1623&gt;=20, "Medium", I1623&lt;20, "Low")</f>
        <v>Low</v>
      </c>
      <c r="T1623" s="1" t="str" cm="1">
        <f t="array" ref="T1623">_xlfn.IFS(O1623&lt;18200, "Low", O1623&lt;=50000, "Medium", O1623&gt;50000, "High")</f>
        <v>Low</v>
      </c>
    </row>
    <row r="1624" spans="1:20" x14ac:dyDescent="0.25">
      <c r="A1624" s="2">
        <v>2012</v>
      </c>
      <c r="B1624" s="1" t="s">
        <v>47</v>
      </c>
      <c r="C1624" s="1" t="s">
        <v>940</v>
      </c>
      <c r="D1624" s="1">
        <v>2</v>
      </c>
      <c r="E1624" s="1" t="s">
        <v>32</v>
      </c>
      <c r="F1624" s="1" t="s">
        <v>20</v>
      </c>
      <c r="G1624" s="1" t="s">
        <v>2414</v>
      </c>
      <c r="H1624" s="1" t="s">
        <v>22</v>
      </c>
      <c r="I1624" s="1">
        <v>19</v>
      </c>
      <c r="J1624" s="1">
        <v>61044</v>
      </c>
      <c r="K1624" s="1" t="s">
        <v>94</v>
      </c>
      <c r="L1624" s="1" t="s">
        <v>34</v>
      </c>
      <c r="M1624" s="1" t="s">
        <v>1150</v>
      </c>
      <c r="N1624" s="1">
        <v>8600</v>
      </c>
      <c r="O1624" s="12">
        <v>5000</v>
      </c>
      <c r="P1624" s="3" t="s">
        <v>170</v>
      </c>
      <c r="Q1624" s="1" cm="1">
        <f t="array" ref="Q1624">VALUE(INDEX(_xlfn.TEXTSPLIT(P1624, " "), 4))</f>
        <v>2015</v>
      </c>
      <c r="R1624" s="1" t="str">
        <f t="shared" si="25"/>
        <v>Nissan Sentra 2</v>
      </c>
      <c r="S1624" s="1" t="str" cm="1">
        <f t="array" ref="S1624">_xlfn.IFS(I1624 &gt;= 40, "High", I1624&gt;=20, "Medium", I1624&lt;20, "Low")</f>
        <v>Low</v>
      </c>
      <c r="T1624" s="1" t="str" cm="1">
        <f t="array" ref="T1624">_xlfn.IFS(O1624&lt;18200, "Low", O1624&lt;=50000, "Medium", O1624&gt;50000, "High")</f>
        <v>Low</v>
      </c>
    </row>
    <row r="1625" spans="1:20" x14ac:dyDescent="0.25">
      <c r="A1625" s="2">
        <v>2012</v>
      </c>
      <c r="B1625" s="1" t="s">
        <v>608</v>
      </c>
      <c r="C1625" s="1" t="s">
        <v>609</v>
      </c>
      <c r="D1625" s="1" t="s">
        <v>2415</v>
      </c>
      <c r="E1625" s="1" t="s">
        <v>32</v>
      </c>
      <c r="F1625" s="1" t="s">
        <v>20</v>
      </c>
      <c r="G1625" s="1" t="s">
        <v>2416</v>
      </c>
      <c r="H1625" s="1" t="s">
        <v>22</v>
      </c>
      <c r="I1625" s="1">
        <v>29</v>
      </c>
      <c r="J1625" s="1">
        <v>63968</v>
      </c>
      <c r="K1625" s="1" t="s">
        <v>24</v>
      </c>
      <c r="L1625" s="1" t="s">
        <v>24</v>
      </c>
      <c r="M1625" s="1" t="s">
        <v>676</v>
      </c>
      <c r="N1625" s="1">
        <v>36400</v>
      </c>
      <c r="O1625" s="12">
        <v>31250</v>
      </c>
      <c r="P1625" s="3" t="s">
        <v>68</v>
      </c>
      <c r="Q1625" s="1" cm="1">
        <f t="array" ref="Q1625">VALUE(INDEX(_xlfn.TEXTSPLIT(P1625, " "), 4))</f>
        <v>2014</v>
      </c>
      <c r="R1625" s="1" t="str">
        <f t="shared" si="25"/>
        <v>Mercedes-Benz S-Class S350 BlueTEC 4MATIC</v>
      </c>
      <c r="S1625" s="1" t="str" cm="1">
        <f t="array" ref="S1625">_xlfn.IFS(I1625 &gt;= 40, "High", I1625&gt;=20, "Medium", I1625&lt;20, "Low")</f>
        <v>Medium</v>
      </c>
      <c r="T1625" s="1" t="str" cm="1">
        <f t="array" ref="T1625">_xlfn.IFS(O1625&lt;18200, "Low", O1625&lt;=50000, "Medium", O1625&gt;50000, "High")</f>
        <v>Medium</v>
      </c>
    </row>
    <row r="1626" spans="1:20" x14ac:dyDescent="0.25">
      <c r="A1626" s="2">
        <v>2012</v>
      </c>
      <c r="B1626" s="1" t="s">
        <v>999</v>
      </c>
      <c r="C1626" s="1" t="s">
        <v>1026</v>
      </c>
      <c r="D1626" s="1" t="s">
        <v>54</v>
      </c>
      <c r="E1626" s="1" t="s">
        <v>227</v>
      </c>
      <c r="F1626" s="1" t="s">
        <v>214</v>
      </c>
      <c r="G1626" s="1" t="s">
        <v>2417</v>
      </c>
      <c r="H1626" s="1" t="s">
        <v>22</v>
      </c>
      <c r="I1626" s="1"/>
      <c r="J1626" s="1">
        <v>23657</v>
      </c>
      <c r="K1626" s="1" t="s">
        <v>538</v>
      </c>
      <c r="L1626" s="1" t="s">
        <v>101</v>
      </c>
      <c r="M1626" s="1" t="s">
        <v>2418</v>
      </c>
      <c r="N1626" s="1">
        <v>13600</v>
      </c>
      <c r="O1626" s="12">
        <v>14400</v>
      </c>
      <c r="P1626" s="3" t="s">
        <v>57</v>
      </c>
      <c r="Q1626" s="1" cm="1">
        <f t="array" ref="Q1626">VALUE(INDEX(_xlfn.TEXTSPLIT(P1626, " "), 4))</f>
        <v>2014</v>
      </c>
      <c r="R1626" s="1" t="str">
        <f t="shared" si="25"/>
        <v>Scion tC Base</v>
      </c>
      <c r="S1626" s="1" t="str" cm="1">
        <f t="array" ref="S1626">_xlfn.IFS(I1626 &gt;= 40, "High", I1626&gt;=20, "Medium", I1626&lt;20, "Low")</f>
        <v>Low</v>
      </c>
      <c r="T1626" s="1" t="str" cm="1">
        <f t="array" ref="T1626">_xlfn.IFS(O1626&lt;18200, "Low", O1626&lt;=50000, "Medium", O1626&gt;50000, "High")</f>
        <v>Low</v>
      </c>
    </row>
    <row r="1627" spans="1:20" x14ac:dyDescent="0.25">
      <c r="A1627" s="2">
        <v>2012</v>
      </c>
      <c r="B1627" s="1" t="s">
        <v>47</v>
      </c>
      <c r="C1627" s="1" t="s">
        <v>48</v>
      </c>
      <c r="D1627" s="1">
        <v>2.5</v>
      </c>
      <c r="E1627" s="1" t="s">
        <v>32</v>
      </c>
      <c r="F1627" s="1" t="s">
        <v>20</v>
      </c>
      <c r="G1627" s="1" t="s">
        <v>2419</v>
      </c>
      <c r="H1627" s="1" t="s">
        <v>22</v>
      </c>
      <c r="I1627" s="1">
        <v>29</v>
      </c>
      <c r="J1627" s="1">
        <v>60716</v>
      </c>
      <c r="K1627" s="1" t="s">
        <v>73</v>
      </c>
      <c r="L1627" s="1" t="s">
        <v>28</v>
      </c>
      <c r="M1627" s="1" t="s">
        <v>431</v>
      </c>
      <c r="N1627" s="1">
        <v>10700</v>
      </c>
      <c r="O1627" s="12">
        <v>9100</v>
      </c>
      <c r="P1627" s="3" t="s">
        <v>270</v>
      </c>
      <c r="Q1627" s="1" cm="1">
        <f t="array" ref="Q1627">VALUE(INDEX(_xlfn.TEXTSPLIT(P1627, " "), 4))</f>
        <v>2014</v>
      </c>
      <c r="R1627" s="1" t="str">
        <f t="shared" si="25"/>
        <v>Nissan Altima 2.5</v>
      </c>
      <c r="S1627" s="1" t="str" cm="1">
        <f t="array" ref="S1627">_xlfn.IFS(I1627 &gt;= 40, "High", I1627&gt;=20, "Medium", I1627&lt;20, "Low")</f>
        <v>Medium</v>
      </c>
      <c r="T1627" s="1" t="str" cm="1">
        <f t="array" ref="T1627">_xlfn.IFS(O1627&lt;18200, "Low", O1627&lt;=50000, "Medium", O1627&gt;50000, "High")</f>
        <v>Low</v>
      </c>
    </row>
    <row r="1628" spans="1:20" x14ac:dyDescent="0.25">
      <c r="A1628" s="2">
        <v>2012</v>
      </c>
      <c r="B1628" s="1" t="s">
        <v>47</v>
      </c>
      <c r="C1628" s="1" t="s">
        <v>48</v>
      </c>
      <c r="D1628" s="1" t="s">
        <v>49</v>
      </c>
      <c r="E1628" s="1" t="s">
        <v>32</v>
      </c>
      <c r="F1628" s="1" t="s">
        <v>20</v>
      </c>
      <c r="G1628" s="1" t="s">
        <v>2420</v>
      </c>
      <c r="H1628" s="1" t="s">
        <v>22</v>
      </c>
      <c r="I1628" s="1">
        <v>19</v>
      </c>
      <c r="J1628" s="1">
        <v>37887</v>
      </c>
      <c r="K1628" s="1" t="s">
        <v>23</v>
      </c>
      <c r="L1628" s="1" t="s">
        <v>24</v>
      </c>
      <c r="M1628" s="1" t="s">
        <v>217</v>
      </c>
      <c r="N1628" s="1">
        <v>12050</v>
      </c>
      <c r="O1628" s="12">
        <v>19000</v>
      </c>
      <c r="P1628" s="3" t="s">
        <v>2421</v>
      </c>
      <c r="Q1628" s="1" cm="1">
        <f t="array" ref="Q1628">VALUE(INDEX(_xlfn.TEXTSPLIT(P1628, " "), 4))</f>
        <v>2014</v>
      </c>
      <c r="R1628" s="1" t="str">
        <f t="shared" si="25"/>
        <v>Nissan Altima 2.5 S</v>
      </c>
      <c r="S1628" s="1" t="str" cm="1">
        <f t="array" ref="S1628">_xlfn.IFS(I1628 &gt;= 40, "High", I1628&gt;=20, "Medium", I1628&lt;20, "Low")</f>
        <v>Low</v>
      </c>
      <c r="T1628" s="1" t="str" cm="1">
        <f t="array" ref="T1628">_xlfn.IFS(O1628&lt;18200, "Low", O1628&lt;=50000, "Medium", O1628&gt;50000, "High")</f>
        <v>Medium</v>
      </c>
    </row>
    <row r="1629" spans="1:20" x14ac:dyDescent="0.25">
      <c r="A1629" s="2">
        <v>2012</v>
      </c>
      <c r="B1629" s="1" t="s">
        <v>47</v>
      </c>
      <c r="C1629" s="1" t="s">
        <v>212</v>
      </c>
      <c r="D1629" s="1" t="s">
        <v>2336</v>
      </c>
      <c r="E1629" s="1" t="s">
        <v>227</v>
      </c>
      <c r="F1629" s="1"/>
      <c r="G1629" s="1" t="s">
        <v>2422</v>
      </c>
      <c r="H1629" s="1" t="s">
        <v>22</v>
      </c>
      <c r="I1629" s="1">
        <v>38</v>
      </c>
      <c r="J1629" s="1">
        <v>9281</v>
      </c>
      <c r="K1629" s="1" t="s">
        <v>94</v>
      </c>
      <c r="L1629" s="1" t="s">
        <v>34</v>
      </c>
      <c r="M1629" s="1" t="s">
        <v>984</v>
      </c>
      <c r="N1629" s="1">
        <v>10500</v>
      </c>
      <c r="O1629" s="12">
        <v>11500</v>
      </c>
      <c r="P1629" s="3" t="s">
        <v>26</v>
      </c>
      <c r="Q1629" s="1" cm="1">
        <f t="array" ref="Q1629">VALUE(INDEX(_xlfn.TEXTSPLIT(P1629, " "), 4))</f>
        <v>2014</v>
      </c>
      <c r="R1629" s="1" t="str">
        <f t="shared" si="25"/>
        <v>Nissan Versa 1.8 S</v>
      </c>
      <c r="S1629" s="1" t="str" cm="1">
        <f t="array" ref="S1629">_xlfn.IFS(I1629 &gt;= 40, "High", I1629&gt;=20, "Medium", I1629&lt;20, "Low")</f>
        <v>Medium</v>
      </c>
      <c r="T1629" s="1" t="str" cm="1">
        <f t="array" ref="T1629">_xlfn.IFS(O1629&lt;18200, "Low", O1629&lt;=50000, "Medium", O1629&gt;50000, "High")</f>
        <v>Low</v>
      </c>
    </row>
    <row r="1630" spans="1:20" x14ac:dyDescent="0.25">
      <c r="A1630" s="2">
        <v>2012</v>
      </c>
      <c r="B1630" s="1" t="s">
        <v>47</v>
      </c>
      <c r="C1630" s="1" t="s">
        <v>48</v>
      </c>
      <c r="D1630" s="1" t="s">
        <v>49</v>
      </c>
      <c r="E1630" s="1" t="s">
        <v>32</v>
      </c>
      <c r="F1630" s="1" t="s">
        <v>20</v>
      </c>
      <c r="G1630" s="1" t="s">
        <v>2423</v>
      </c>
      <c r="H1630" s="1" t="s">
        <v>22</v>
      </c>
      <c r="I1630" s="1">
        <v>41</v>
      </c>
      <c r="J1630" s="1">
        <v>25209</v>
      </c>
      <c r="K1630" s="1" t="s">
        <v>101</v>
      </c>
      <c r="L1630" s="1" t="s">
        <v>24</v>
      </c>
      <c r="M1630" s="1" t="s">
        <v>217</v>
      </c>
      <c r="N1630" s="1">
        <v>13000</v>
      </c>
      <c r="O1630" s="12">
        <v>15400</v>
      </c>
      <c r="P1630" s="3" t="s">
        <v>57</v>
      </c>
      <c r="Q1630" s="1" cm="1">
        <f t="array" ref="Q1630">VALUE(INDEX(_xlfn.TEXTSPLIT(P1630, " "), 4))</f>
        <v>2014</v>
      </c>
      <c r="R1630" s="1" t="str">
        <f t="shared" si="25"/>
        <v>Nissan Altima 2.5 S</v>
      </c>
      <c r="S1630" s="1" t="str" cm="1">
        <f t="array" ref="S1630">_xlfn.IFS(I1630 &gt;= 40, "High", I1630&gt;=20, "Medium", I1630&lt;20, "Low")</f>
        <v>High</v>
      </c>
      <c r="T1630" s="1" t="str" cm="1">
        <f t="array" ref="T1630">_xlfn.IFS(O1630&lt;18200, "Low", O1630&lt;=50000, "Medium", O1630&gt;50000, "High")</f>
        <v>Low</v>
      </c>
    </row>
    <row r="1631" spans="1:20" x14ac:dyDescent="0.25">
      <c r="A1631" s="2">
        <v>2012</v>
      </c>
      <c r="B1631" s="1" t="s">
        <v>608</v>
      </c>
      <c r="C1631" s="1" t="s">
        <v>609</v>
      </c>
      <c r="D1631" s="1" t="s">
        <v>2415</v>
      </c>
      <c r="E1631" s="1" t="s">
        <v>32</v>
      </c>
      <c r="F1631" s="1" t="s">
        <v>20</v>
      </c>
      <c r="G1631" s="1" t="s">
        <v>2424</v>
      </c>
      <c r="H1631" s="1" t="s">
        <v>22</v>
      </c>
      <c r="I1631" s="1">
        <v>42</v>
      </c>
      <c r="J1631" s="1">
        <v>34751</v>
      </c>
      <c r="K1631" s="1" t="s">
        <v>34</v>
      </c>
      <c r="L1631" s="1" t="s">
        <v>24</v>
      </c>
      <c r="M1631" s="1" t="s">
        <v>676</v>
      </c>
      <c r="N1631" s="1">
        <v>42400</v>
      </c>
      <c r="O1631" s="12">
        <v>37500</v>
      </c>
      <c r="P1631" s="3" t="s">
        <v>68</v>
      </c>
      <c r="Q1631" s="1" cm="1">
        <f t="array" ref="Q1631">VALUE(INDEX(_xlfn.TEXTSPLIT(P1631, " "), 4))</f>
        <v>2014</v>
      </c>
      <c r="R1631" s="1" t="str">
        <f t="shared" si="25"/>
        <v>Mercedes-Benz S-Class S350 BlueTEC 4MATIC</v>
      </c>
      <c r="S1631" s="1" t="str" cm="1">
        <f t="array" ref="S1631">_xlfn.IFS(I1631 &gt;= 40, "High", I1631&gt;=20, "Medium", I1631&lt;20, "Low")</f>
        <v>High</v>
      </c>
      <c r="T1631" s="1" t="str" cm="1">
        <f t="array" ref="T1631">_xlfn.IFS(O1631&lt;18200, "Low", O1631&lt;=50000, "Medium", O1631&gt;50000, "High")</f>
        <v>Medium</v>
      </c>
    </row>
    <row r="1632" spans="1:20" x14ac:dyDescent="0.25">
      <c r="A1632" s="2">
        <v>2012</v>
      </c>
      <c r="B1632" s="1" t="s">
        <v>608</v>
      </c>
      <c r="C1632" s="1" t="s">
        <v>830</v>
      </c>
      <c r="D1632" s="1" t="s">
        <v>831</v>
      </c>
      <c r="E1632" s="1" t="s">
        <v>19</v>
      </c>
      <c r="F1632" s="1" t="s">
        <v>20</v>
      </c>
      <c r="G1632" s="1" t="s">
        <v>2425</v>
      </c>
      <c r="H1632" s="1" t="s">
        <v>22</v>
      </c>
      <c r="I1632" s="1">
        <v>35</v>
      </c>
      <c r="J1632" s="1">
        <v>60646</v>
      </c>
      <c r="K1632" s="1" t="s">
        <v>34</v>
      </c>
      <c r="L1632" s="1" t="s">
        <v>24</v>
      </c>
      <c r="M1632" s="1" t="s">
        <v>56</v>
      </c>
      <c r="N1632" s="1">
        <v>27700</v>
      </c>
      <c r="O1632" s="12">
        <v>26250</v>
      </c>
      <c r="P1632" s="3" t="s">
        <v>915</v>
      </c>
      <c r="Q1632" s="1" cm="1">
        <f t="array" ref="Q1632">VALUE(INDEX(_xlfn.TEXTSPLIT(P1632, " "), 4))</f>
        <v>2015</v>
      </c>
      <c r="R1632" s="1" t="str">
        <f t="shared" si="25"/>
        <v>Mercedes-Benz GL-Class GL450 4MATIC</v>
      </c>
      <c r="S1632" s="1" t="str" cm="1">
        <f t="array" ref="S1632">_xlfn.IFS(I1632 &gt;= 40, "High", I1632&gt;=20, "Medium", I1632&lt;20, "Low")</f>
        <v>Medium</v>
      </c>
      <c r="T1632" s="1" t="str" cm="1">
        <f t="array" ref="T1632">_xlfn.IFS(O1632&lt;18200, "Low", O1632&lt;=50000, "Medium", O1632&gt;50000, "High")</f>
        <v>Medium</v>
      </c>
    </row>
    <row r="1633" spans="1:20" x14ac:dyDescent="0.25">
      <c r="A1633" s="2">
        <v>2012</v>
      </c>
      <c r="B1633" s="1" t="s">
        <v>47</v>
      </c>
      <c r="C1633" s="1" t="s">
        <v>48</v>
      </c>
      <c r="D1633" s="1" t="s">
        <v>49</v>
      </c>
      <c r="E1633" s="1" t="s">
        <v>32</v>
      </c>
      <c r="F1633" s="1" t="s">
        <v>20</v>
      </c>
      <c r="G1633" s="1" t="s">
        <v>2426</v>
      </c>
      <c r="H1633" s="1" t="s">
        <v>22</v>
      </c>
      <c r="I1633" s="1">
        <v>41</v>
      </c>
      <c r="J1633" s="1">
        <v>40578</v>
      </c>
      <c r="K1633" s="1" t="s">
        <v>28</v>
      </c>
      <c r="L1633" s="1" t="s">
        <v>28</v>
      </c>
      <c r="M1633" s="1" t="s">
        <v>217</v>
      </c>
      <c r="N1633" s="1">
        <v>12000</v>
      </c>
      <c r="O1633" s="12">
        <v>12000</v>
      </c>
      <c r="P1633" s="3" t="s">
        <v>26</v>
      </c>
      <c r="Q1633" s="1" cm="1">
        <f t="array" ref="Q1633">VALUE(INDEX(_xlfn.TEXTSPLIT(P1633, " "), 4))</f>
        <v>2014</v>
      </c>
      <c r="R1633" s="1" t="str">
        <f t="shared" si="25"/>
        <v>Nissan Altima 2.5 S</v>
      </c>
      <c r="S1633" s="1" t="str" cm="1">
        <f t="array" ref="S1633">_xlfn.IFS(I1633 &gt;= 40, "High", I1633&gt;=20, "Medium", I1633&lt;20, "Low")</f>
        <v>High</v>
      </c>
      <c r="T1633" s="1" t="str" cm="1">
        <f t="array" ref="T1633">_xlfn.IFS(O1633&lt;18200, "Low", O1633&lt;=50000, "Medium", O1633&gt;50000, "High")</f>
        <v>Low</v>
      </c>
    </row>
    <row r="1634" spans="1:20" x14ac:dyDescent="0.25">
      <c r="A1634" s="2">
        <v>2012</v>
      </c>
      <c r="B1634" s="1" t="s">
        <v>2340</v>
      </c>
      <c r="C1634" s="1">
        <v>1500</v>
      </c>
      <c r="D1634" s="1" t="s">
        <v>2400</v>
      </c>
      <c r="E1634" s="1" t="s">
        <v>2401</v>
      </c>
      <c r="F1634" s="1" t="s">
        <v>20</v>
      </c>
      <c r="G1634" s="1" t="s">
        <v>2427</v>
      </c>
      <c r="H1634" s="1" t="s">
        <v>22</v>
      </c>
      <c r="I1634" s="1"/>
      <c r="J1634" s="1">
        <v>46416</v>
      </c>
      <c r="K1634" s="1" t="s">
        <v>24</v>
      </c>
      <c r="L1634" s="1" t="s">
        <v>101</v>
      </c>
      <c r="M1634" s="1" t="s">
        <v>2428</v>
      </c>
      <c r="N1634" s="1">
        <v>16300</v>
      </c>
      <c r="O1634" s="12">
        <v>16400</v>
      </c>
      <c r="P1634" s="3" t="s">
        <v>26</v>
      </c>
      <c r="Q1634" s="1" cm="1">
        <f t="array" ref="Q1634">VALUE(INDEX(_xlfn.TEXTSPLIT(P1634, " "), 4))</f>
        <v>2014</v>
      </c>
      <c r="R1634" s="1" t="str">
        <f t="shared" si="25"/>
        <v>Ram 1500 SLT</v>
      </c>
      <c r="S1634" s="1" t="str" cm="1">
        <f t="array" ref="S1634">_xlfn.IFS(I1634 &gt;= 40, "High", I1634&gt;=20, "Medium", I1634&lt;20, "Low")</f>
        <v>Low</v>
      </c>
      <c r="T1634" s="1" t="str" cm="1">
        <f t="array" ref="T1634">_xlfn.IFS(O1634&lt;18200, "Low", O1634&lt;=50000, "Medium", O1634&gt;50000, "High")</f>
        <v>Low</v>
      </c>
    </row>
    <row r="1635" spans="1:20" x14ac:dyDescent="0.25">
      <c r="A1635" s="2">
        <v>2012</v>
      </c>
      <c r="B1635" s="1" t="s">
        <v>608</v>
      </c>
      <c r="C1635" s="1" t="s">
        <v>609</v>
      </c>
      <c r="D1635" s="1" t="s">
        <v>610</v>
      </c>
      <c r="E1635" s="1" t="s">
        <v>32</v>
      </c>
      <c r="F1635" s="1" t="s">
        <v>20</v>
      </c>
      <c r="G1635" s="1" t="s">
        <v>2429</v>
      </c>
      <c r="H1635" s="1" t="s">
        <v>22</v>
      </c>
      <c r="I1635" s="1">
        <v>35</v>
      </c>
      <c r="J1635" s="1">
        <v>38680</v>
      </c>
      <c r="K1635" s="1" t="s">
        <v>101</v>
      </c>
      <c r="L1635" s="1" t="s">
        <v>132</v>
      </c>
      <c r="M1635" s="1" t="s">
        <v>612</v>
      </c>
      <c r="N1635" s="1">
        <v>43300</v>
      </c>
      <c r="O1635" s="12">
        <v>41750</v>
      </c>
      <c r="P1635" s="3" t="s">
        <v>36</v>
      </c>
      <c r="Q1635" s="1" cm="1">
        <f t="array" ref="Q1635">VALUE(INDEX(_xlfn.TEXTSPLIT(P1635, " "), 4))</f>
        <v>2015</v>
      </c>
      <c r="R1635" s="1" t="str">
        <f t="shared" si="25"/>
        <v>Mercedes-Benz S-Class S550</v>
      </c>
      <c r="S1635" s="1" t="str" cm="1">
        <f t="array" ref="S1635">_xlfn.IFS(I1635 &gt;= 40, "High", I1635&gt;=20, "Medium", I1635&lt;20, "Low")</f>
        <v>Medium</v>
      </c>
      <c r="T1635" s="1" t="str" cm="1">
        <f t="array" ref="T1635">_xlfn.IFS(O1635&lt;18200, "Low", O1635&lt;=50000, "Medium", O1635&gt;50000, "High")</f>
        <v>Medium</v>
      </c>
    </row>
    <row r="1636" spans="1:20" x14ac:dyDescent="0.25">
      <c r="A1636" s="2">
        <v>2012</v>
      </c>
      <c r="B1636" s="1" t="s">
        <v>47</v>
      </c>
      <c r="C1636" s="1" t="s">
        <v>48</v>
      </c>
      <c r="D1636" s="1" t="s">
        <v>49</v>
      </c>
      <c r="E1636" s="1" t="s">
        <v>32</v>
      </c>
      <c r="F1636" s="1" t="s">
        <v>20</v>
      </c>
      <c r="G1636" s="1" t="s">
        <v>2430</v>
      </c>
      <c r="H1636" s="1" t="s">
        <v>22</v>
      </c>
      <c r="I1636" s="1">
        <v>37</v>
      </c>
      <c r="J1636" s="1">
        <v>25317</v>
      </c>
      <c r="K1636" s="1" t="s">
        <v>94</v>
      </c>
      <c r="L1636" s="1" t="s">
        <v>24</v>
      </c>
      <c r="M1636" s="1" t="s">
        <v>217</v>
      </c>
      <c r="N1636" s="1">
        <v>13000</v>
      </c>
      <c r="O1636" s="12">
        <v>13000</v>
      </c>
      <c r="P1636" s="3" t="s">
        <v>26</v>
      </c>
      <c r="Q1636" s="1" cm="1">
        <f t="array" ref="Q1636">VALUE(INDEX(_xlfn.TEXTSPLIT(P1636, " "), 4))</f>
        <v>2014</v>
      </c>
      <c r="R1636" s="1" t="str">
        <f t="shared" si="25"/>
        <v>Nissan Altima 2.5 S</v>
      </c>
      <c r="S1636" s="1" t="str" cm="1">
        <f t="array" ref="S1636">_xlfn.IFS(I1636 &gt;= 40, "High", I1636&gt;=20, "Medium", I1636&lt;20, "Low")</f>
        <v>Medium</v>
      </c>
      <c r="T1636" s="1" t="str" cm="1">
        <f t="array" ref="T1636">_xlfn.IFS(O1636&lt;18200, "Low", O1636&lt;=50000, "Medium", O1636&gt;50000, "High")</f>
        <v>Low</v>
      </c>
    </row>
    <row r="1637" spans="1:20" x14ac:dyDescent="0.25">
      <c r="A1637" s="2">
        <v>2012</v>
      </c>
      <c r="B1637" s="1" t="s">
        <v>608</v>
      </c>
      <c r="C1637" s="1" t="s">
        <v>830</v>
      </c>
      <c r="D1637" s="1" t="s">
        <v>831</v>
      </c>
      <c r="E1637" s="1" t="s">
        <v>19</v>
      </c>
      <c r="F1637" s="1" t="s">
        <v>20</v>
      </c>
      <c r="G1637" s="1" t="s">
        <v>2431</v>
      </c>
      <c r="H1637" s="1" t="s">
        <v>22</v>
      </c>
      <c r="I1637" s="1">
        <v>38</v>
      </c>
      <c r="J1637" s="1">
        <v>61663</v>
      </c>
      <c r="K1637" s="1" t="s">
        <v>24</v>
      </c>
      <c r="L1637" s="1" t="s">
        <v>34</v>
      </c>
      <c r="M1637" s="1" t="s">
        <v>56</v>
      </c>
      <c r="N1637" s="1">
        <v>26900</v>
      </c>
      <c r="O1637" s="12">
        <v>26801</v>
      </c>
      <c r="P1637" s="3" t="s">
        <v>57</v>
      </c>
      <c r="Q1637" s="1" cm="1">
        <f t="array" ref="Q1637">VALUE(INDEX(_xlfn.TEXTSPLIT(P1637, " "), 4))</f>
        <v>2014</v>
      </c>
      <c r="R1637" s="1" t="str">
        <f t="shared" si="25"/>
        <v>Mercedes-Benz GL-Class GL450 4MATIC</v>
      </c>
      <c r="S1637" s="1" t="str" cm="1">
        <f t="array" ref="S1637">_xlfn.IFS(I1637 &gt;= 40, "High", I1637&gt;=20, "Medium", I1637&lt;20, "Low")</f>
        <v>Medium</v>
      </c>
      <c r="T1637" s="1" t="str" cm="1">
        <f t="array" ref="T1637">_xlfn.IFS(O1637&lt;18200, "Low", O1637&lt;=50000, "Medium", O1637&gt;50000, "High")</f>
        <v>Medium</v>
      </c>
    </row>
    <row r="1638" spans="1:20" x14ac:dyDescent="0.25">
      <c r="A1638" s="2">
        <v>2012</v>
      </c>
      <c r="B1638" s="1" t="s">
        <v>2340</v>
      </c>
      <c r="C1638" s="1">
        <v>2500</v>
      </c>
      <c r="D1638" s="1" t="s">
        <v>2345</v>
      </c>
      <c r="E1638" s="1" t="s">
        <v>267</v>
      </c>
      <c r="F1638" s="1" t="s">
        <v>214</v>
      </c>
      <c r="G1638" s="1" t="s">
        <v>2432</v>
      </c>
      <c r="H1638" s="1" t="s">
        <v>22</v>
      </c>
      <c r="I1638" s="1">
        <v>46</v>
      </c>
      <c r="J1638" s="1">
        <v>31537</v>
      </c>
      <c r="K1638" s="1" t="s">
        <v>23</v>
      </c>
      <c r="L1638" s="1" t="s">
        <v>101</v>
      </c>
      <c r="M1638" s="1" t="s">
        <v>2112</v>
      </c>
      <c r="N1638" s="1">
        <v>31100</v>
      </c>
      <c r="O1638" s="12">
        <v>36000</v>
      </c>
      <c r="P1638" s="3" t="s">
        <v>362</v>
      </c>
      <c r="Q1638" s="1" cm="1">
        <f t="array" ref="Q1638">VALUE(INDEX(_xlfn.TEXTSPLIT(P1638, " "), 4))</f>
        <v>2014</v>
      </c>
      <c r="R1638" s="1" t="str">
        <f t="shared" si="25"/>
        <v>Ram 2500 ST</v>
      </c>
      <c r="S1638" s="1" t="str" cm="1">
        <f t="array" ref="S1638">_xlfn.IFS(I1638 &gt;= 40, "High", I1638&gt;=20, "Medium", I1638&lt;20, "Low")</f>
        <v>High</v>
      </c>
      <c r="T1638" s="1" t="str" cm="1">
        <f t="array" ref="T1638">_xlfn.IFS(O1638&lt;18200, "Low", O1638&lt;=50000, "Medium", O1638&gt;50000, "High")</f>
        <v>Medium</v>
      </c>
    </row>
    <row r="1639" spans="1:20" x14ac:dyDescent="0.25">
      <c r="A1639" s="2">
        <v>2012</v>
      </c>
      <c r="B1639" s="1" t="s">
        <v>47</v>
      </c>
      <c r="C1639" s="1" t="s">
        <v>48</v>
      </c>
      <c r="D1639" s="1" t="s">
        <v>49</v>
      </c>
      <c r="E1639" s="1" t="s">
        <v>32</v>
      </c>
      <c r="F1639" s="1" t="s">
        <v>20</v>
      </c>
      <c r="G1639" s="1" t="s">
        <v>2433</v>
      </c>
      <c r="H1639" s="1" t="s">
        <v>22</v>
      </c>
      <c r="I1639" s="1">
        <v>44</v>
      </c>
      <c r="J1639" s="1">
        <v>13853</v>
      </c>
      <c r="K1639" s="1" t="s">
        <v>23</v>
      </c>
      <c r="L1639" s="1" t="s">
        <v>34</v>
      </c>
      <c r="M1639" s="1" t="s">
        <v>217</v>
      </c>
      <c r="N1639" s="1">
        <v>13750</v>
      </c>
      <c r="O1639" s="12">
        <v>13250</v>
      </c>
      <c r="P1639" s="3" t="s">
        <v>26</v>
      </c>
      <c r="Q1639" s="1" cm="1">
        <f t="array" ref="Q1639">VALUE(INDEX(_xlfn.TEXTSPLIT(P1639, " "), 4))</f>
        <v>2014</v>
      </c>
      <c r="R1639" s="1" t="str">
        <f t="shared" si="25"/>
        <v>Nissan Altima 2.5 S</v>
      </c>
      <c r="S1639" s="1" t="str" cm="1">
        <f t="array" ref="S1639">_xlfn.IFS(I1639 &gt;= 40, "High", I1639&gt;=20, "Medium", I1639&lt;20, "Low")</f>
        <v>High</v>
      </c>
      <c r="T1639" s="1" t="str" cm="1">
        <f t="array" ref="T1639">_xlfn.IFS(O1639&lt;18200, "Low", O1639&lt;=50000, "Medium", O1639&gt;50000, "High")</f>
        <v>Low</v>
      </c>
    </row>
    <row r="1640" spans="1:20" x14ac:dyDescent="0.25">
      <c r="A1640" s="2">
        <v>2012</v>
      </c>
      <c r="B1640" s="1" t="s">
        <v>47</v>
      </c>
      <c r="C1640" s="1" t="s">
        <v>940</v>
      </c>
      <c r="D1640" s="1">
        <v>2</v>
      </c>
      <c r="E1640" s="1" t="s">
        <v>32</v>
      </c>
      <c r="F1640" s="1"/>
      <c r="G1640" s="1" t="s">
        <v>2434</v>
      </c>
      <c r="H1640" s="1" t="s">
        <v>22</v>
      </c>
      <c r="I1640" s="1"/>
      <c r="J1640" s="1">
        <v>54911</v>
      </c>
      <c r="K1640" s="1" t="s">
        <v>73</v>
      </c>
      <c r="L1640" s="1" t="s">
        <v>101</v>
      </c>
      <c r="M1640" s="1" t="s">
        <v>2435</v>
      </c>
      <c r="N1640" s="1">
        <v>8450</v>
      </c>
      <c r="O1640" s="12">
        <v>8200</v>
      </c>
      <c r="P1640" s="3" t="s">
        <v>26</v>
      </c>
      <c r="Q1640" s="1" cm="1">
        <f t="array" ref="Q1640">VALUE(INDEX(_xlfn.TEXTSPLIT(P1640, " "), 4))</f>
        <v>2014</v>
      </c>
      <c r="R1640" s="1" t="str">
        <f t="shared" si="25"/>
        <v>Nissan Sentra 2</v>
      </c>
      <c r="S1640" s="1" t="str" cm="1">
        <f t="array" ref="S1640">_xlfn.IFS(I1640 &gt;= 40, "High", I1640&gt;=20, "Medium", I1640&lt;20, "Low")</f>
        <v>Low</v>
      </c>
      <c r="T1640" s="1" t="str" cm="1">
        <f t="array" ref="T1640">_xlfn.IFS(O1640&lt;18200, "Low", O1640&lt;=50000, "Medium", O1640&gt;50000, "High")</f>
        <v>Low</v>
      </c>
    </row>
    <row r="1641" spans="1:20" x14ac:dyDescent="0.25">
      <c r="A1641" s="2">
        <v>2012</v>
      </c>
      <c r="B1641" s="1" t="s">
        <v>47</v>
      </c>
      <c r="C1641" s="1" t="s">
        <v>940</v>
      </c>
      <c r="D1641" s="1">
        <v>2</v>
      </c>
      <c r="E1641" s="1" t="s">
        <v>32</v>
      </c>
      <c r="F1641" s="1"/>
      <c r="G1641" s="1" t="s">
        <v>2436</v>
      </c>
      <c r="H1641" s="1" t="s">
        <v>22</v>
      </c>
      <c r="I1641" s="1">
        <v>21</v>
      </c>
      <c r="J1641" s="1">
        <v>32247</v>
      </c>
      <c r="K1641" s="1" t="s">
        <v>94</v>
      </c>
      <c r="L1641" s="1" t="s">
        <v>34</v>
      </c>
      <c r="M1641" s="1" t="s">
        <v>644</v>
      </c>
      <c r="N1641" s="1">
        <v>9675</v>
      </c>
      <c r="O1641" s="12">
        <v>7300</v>
      </c>
      <c r="P1641" s="3" t="s">
        <v>170</v>
      </c>
      <c r="Q1641" s="1" cm="1">
        <f t="array" ref="Q1641">VALUE(INDEX(_xlfn.TEXTSPLIT(P1641, " "), 4))</f>
        <v>2015</v>
      </c>
      <c r="R1641" s="1" t="str">
        <f t="shared" si="25"/>
        <v>Nissan Sentra 2</v>
      </c>
      <c r="S1641" s="1" t="str" cm="1">
        <f t="array" ref="S1641">_xlfn.IFS(I1641 &gt;= 40, "High", I1641&gt;=20, "Medium", I1641&lt;20, "Low")</f>
        <v>Medium</v>
      </c>
      <c r="T1641" s="1" t="str" cm="1">
        <f t="array" ref="T1641">_xlfn.IFS(O1641&lt;18200, "Low", O1641&lt;=50000, "Medium", O1641&gt;50000, "High")</f>
        <v>Low</v>
      </c>
    </row>
    <row r="1642" spans="1:20" x14ac:dyDescent="0.25">
      <c r="A1642" s="2">
        <v>2012</v>
      </c>
      <c r="B1642" s="1" t="s">
        <v>1033</v>
      </c>
      <c r="C1642" s="1">
        <v>911</v>
      </c>
      <c r="D1642" s="1" t="s">
        <v>2437</v>
      </c>
      <c r="E1642" s="1" t="s">
        <v>107</v>
      </c>
      <c r="F1642" s="1" t="s">
        <v>20</v>
      </c>
      <c r="G1642" s="1" t="s">
        <v>2438</v>
      </c>
      <c r="H1642" s="1" t="s">
        <v>22</v>
      </c>
      <c r="I1642" s="1">
        <v>44</v>
      </c>
      <c r="J1642" s="1">
        <v>16480</v>
      </c>
      <c r="K1642" s="1" t="s">
        <v>24</v>
      </c>
      <c r="L1642" s="1" t="s">
        <v>34</v>
      </c>
      <c r="M1642" s="1" t="s">
        <v>1373</v>
      </c>
      <c r="N1642" s="1">
        <v>70000</v>
      </c>
      <c r="O1642" s="12">
        <v>72500</v>
      </c>
      <c r="P1642" s="3" t="s">
        <v>68</v>
      </c>
      <c r="Q1642" s="1" cm="1">
        <f t="array" ref="Q1642">VALUE(INDEX(_xlfn.TEXTSPLIT(P1642, " "), 4))</f>
        <v>2014</v>
      </c>
      <c r="R1642" s="1" t="str">
        <f t="shared" si="25"/>
        <v>Porsche 911 Carrera S (Midyear Redesign)</v>
      </c>
      <c r="S1642" s="1" t="str" cm="1">
        <f t="array" ref="S1642">_xlfn.IFS(I1642 &gt;= 40, "High", I1642&gt;=20, "Medium", I1642&lt;20, "Low")</f>
        <v>High</v>
      </c>
      <c r="T1642" s="1" t="str" cm="1">
        <f t="array" ref="T1642">_xlfn.IFS(O1642&lt;18200, "Low", O1642&lt;=50000, "Medium", O1642&gt;50000, "High")</f>
        <v>High</v>
      </c>
    </row>
    <row r="1643" spans="1:20" x14ac:dyDescent="0.25">
      <c r="A1643" s="2">
        <v>2012</v>
      </c>
      <c r="B1643" s="1" t="s">
        <v>47</v>
      </c>
      <c r="C1643" s="1" t="s">
        <v>48</v>
      </c>
      <c r="D1643" s="1" t="s">
        <v>49</v>
      </c>
      <c r="E1643" s="1" t="s">
        <v>32</v>
      </c>
      <c r="F1643" s="1" t="s">
        <v>20</v>
      </c>
      <c r="G1643" s="1" t="s">
        <v>2439</v>
      </c>
      <c r="H1643" s="1" t="s">
        <v>22</v>
      </c>
      <c r="I1643" s="1">
        <v>41</v>
      </c>
      <c r="J1643" s="1">
        <v>60795</v>
      </c>
      <c r="K1643" s="1" t="s">
        <v>91</v>
      </c>
      <c r="L1643" s="1" t="s">
        <v>24</v>
      </c>
      <c r="M1643" s="1" t="s">
        <v>217</v>
      </c>
      <c r="N1643" s="1">
        <v>10650</v>
      </c>
      <c r="O1643" s="12">
        <v>12500</v>
      </c>
      <c r="P1643" s="3" t="s">
        <v>26</v>
      </c>
      <c r="Q1643" s="1" cm="1">
        <f t="array" ref="Q1643">VALUE(INDEX(_xlfn.TEXTSPLIT(P1643, " "), 4))</f>
        <v>2014</v>
      </c>
      <c r="R1643" s="1" t="str">
        <f t="shared" si="25"/>
        <v>Nissan Altima 2.5 S</v>
      </c>
      <c r="S1643" s="1" t="str" cm="1">
        <f t="array" ref="S1643">_xlfn.IFS(I1643 &gt;= 40, "High", I1643&gt;=20, "Medium", I1643&lt;20, "Low")</f>
        <v>High</v>
      </c>
      <c r="T1643" s="1" t="str" cm="1">
        <f t="array" ref="T1643">_xlfn.IFS(O1643&lt;18200, "Low", O1643&lt;=50000, "Medium", O1643&gt;50000, "High")</f>
        <v>Low</v>
      </c>
    </row>
    <row r="1644" spans="1:20" x14ac:dyDescent="0.25">
      <c r="A1644" s="2">
        <v>2012</v>
      </c>
      <c r="B1644" s="1" t="s">
        <v>47</v>
      </c>
      <c r="C1644" s="1" t="s">
        <v>48</v>
      </c>
      <c r="D1644" s="1" t="s">
        <v>49</v>
      </c>
      <c r="E1644" s="1" t="s">
        <v>32</v>
      </c>
      <c r="F1644" s="1" t="s">
        <v>20</v>
      </c>
      <c r="G1644" s="1" t="s">
        <v>2440</v>
      </c>
      <c r="H1644" s="1" t="s">
        <v>22</v>
      </c>
      <c r="I1644" s="1">
        <v>43</v>
      </c>
      <c r="J1644" s="1">
        <v>52004</v>
      </c>
      <c r="K1644" s="1" t="s">
        <v>23</v>
      </c>
      <c r="L1644" s="1" t="s">
        <v>34</v>
      </c>
      <c r="M1644" s="1" t="s">
        <v>217</v>
      </c>
      <c r="N1644" s="1">
        <v>11250</v>
      </c>
      <c r="O1644" s="12">
        <v>11250</v>
      </c>
      <c r="P1644" s="3" t="s">
        <v>26</v>
      </c>
      <c r="Q1644" s="1" cm="1">
        <f t="array" ref="Q1644">VALUE(INDEX(_xlfn.TEXTSPLIT(P1644, " "), 4))</f>
        <v>2014</v>
      </c>
      <c r="R1644" s="1" t="str">
        <f t="shared" si="25"/>
        <v>Nissan Altima 2.5 S</v>
      </c>
      <c r="S1644" s="1" t="str" cm="1">
        <f t="array" ref="S1644">_xlfn.IFS(I1644 &gt;= 40, "High", I1644&gt;=20, "Medium", I1644&lt;20, "Low")</f>
        <v>High</v>
      </c>
      <c r="T1644" s="1" t="str" cm="1">
        <f t="array" ref="T1644">_xlfn.IFS(O1644&lt;18200, "Low", O1644&lt;=50000, "Medium", O1644&gt;50000, "High")</f>
        <v>Low</v>
      </c>
    </row>
    <row r="1645" spans="1:20" x14ac:dyDescent="0.25">
      <c r="A1645" s="2">
        <v>2012</v>
      </c>
      <c r="B1645" s="1" t="s">
        <v>47</v>
      </c>
      <c r="C1645" s="1" t="s">
        <v>959</v>
      </c>
      <c r="D1645" s="1" t="s">
        <v>960</v>
      </c>
      <c r="E1645" s="1" t="s">
        <v>227</v>
      </c>
      <c r="F1645" s="1" t="s">
        <v>20</v>
      </c>
      <c r="G1645" s="1" t="s">
        <v>2441</v>
      </c>
      <c r="H1645" s="1" t="s">
        <v>22</v>
      </c>
      <c r="I1645" s="1">
        <v>39</v>
      </c>
      <c r="J1645" s="1">
        <v>18201</v>
      </c>
      <c r="K1645" s="1" t="s">
        <v>23</v>
      </c>
      <c r="L1645" s="1" t="s">
        <v>28</v>
      </c>
      <c r="M1645" s="1" t="s">
        <v>217</v>
      </c>
      <c r="N1645" s="1">
        <v>11500</v>
      </c>
      <c r="O1645" s="12">
        <v>12500</v>
      </c>
      <c r="P1645" s="3" t="s">
        <v>26</v>
      </c>
      <c r="Q1645" s="1" cm="1">
        <f t="array" ref="Q1645">VALUE(INDEX(_xlfn.TEXTSPLIT(P1645, " "), 4))</f>
        <v>2014</v>
      </c>
      <c r="R1645" s="1" t="str">
        <f t="shared" si="25"/>
        <v>Nissan Leaf SL</v>
      </c>
      <c r="S1645" s="1" t="str" cm="1">
        <f t="array" ref="S1645">_xlfn.IFS(I1645 &gt;= 40, "High", I1645&gt;=20, "Medium", I1645&lt;20, "Low")</f>
        <v>Medium</v>
      </c>
      <c r="T1645" s="1" t="str" cm="1">
        <f t="array" ref="T1645">_xlfn.IFS(O1645&lt;18200, "Low", O1645&lt;=50000, "Medium", O1645&gt;50000, "High")</f>
        <v>Low</v>
      </c>
    </row>
    <row r="1646" spans="1:20" x14ac:dyDescent="0.25">
      <c r="A1646" s="2">
        <v>2012</v>
      </c>
      <c r="B1646" s="1" t="s">
        <v>47</v>
      </c>
      <c r="C1646" s="1" t="s">
        <v>48</v>
      </c>
      <c r="D1646" s="1" t="s">
        <v>49</v>
      </c>
      <c r="E1646" s="1" t="s">
        <v>32</v>
      </c>
      <c r="F1646" s="1" t="s">
        <v>20</v>
      </c>
      <c r="G1646" s="1" t="s">
        <v>2442</v>
      </c>
      <c r="H1646" s="1" t="s">
        <v>22</v>
      </c>
      <c r="I1646" s="1">
        <v>43</v>
      </c>
      <c r="J1646" s="1">
        <v>34336</v>
      </c>
      <c r="K1646" s="1" t="s">
        <v>101</v>
      </c>
      <c r="L1646" s="1" t="s">
        <v>34</v>
      </c>
      <c r="M1646" s="1" t="s">
        <v>217</v>
      </c>
      <c r="N1646" s="1">
        <v>12400</v>
      </c>
      <c r="O1646" s="12">
        <v>12000</v>
      </c>
      <c r="P1646" s="3" t="s">
        <v>26</v>
      </c>
      <c r="Q1646" s="1" cm="1">
        <f t="array" ref="Q1646">VALUE(INDEX(_xlfn.TEXTSPLIT(P1646, " "), 4))</f>
        <v>2014</v>
      </c>
      <c r="R1646" s="1" t="str">
        <f t="shared" si="25"/>
        <v>Nissan Altima 2.5 S</v>
      </c>
      <c r="S1646" s="1" t="str" cm="1">
        <f t="array" ref="S1646">_xlfn.IFS(I1646 &gt;= 40, "High", I1646&gt;=20, "Medium", I1646&lt;20, "Low")</f>
        <v>High</v>
      </c>
      <c r="T1646" s="1" t="str" cm="1">
        <f t="array" ref="T1646">_xlfn.IFS(O1646&lt;18200, "Low", O1646&lt;=50000, "Medium", O1646&gt;50000, "High")</f>
        <v>Low</v>
      </c>
    </row>
    <row r="1647" spans="1:20" x14ac:dyDescent="0.25">
      <c r="A1647" s="2">
        <v>2012</v>
      </c>
      <c r="B1647" s="1" t="s">
        <v>47</v>
      </c>
      <c r="C1647" s="1" t="s">
        <v>48</v>
      </c>
      <c r="D1647" s="1" t="s">
        <v>49</v>
      </c>
      <c r="E1647" s="1" t="s">
        <v>32</v>
      </c>
      <c r="F1647" s="1" t="s">
        <v>20</v>
      </c>
      <c r="G1647" s="1" t="s">
        <v>2443</v>
      </c>
      <c r="H1647" s="1" t="s">
        <v>22</v>
      </c>
      <c r="I1647" s="1">
        <v>36</v>
      </c>
      <c r="J1647" s="1">
        <v>61281</v>
      </c>
      <c r="K1647" s="1" t="s">
        <v>24</v>
      </c>
      <c r="L1647" s="1" t="s">
        <v>24</v>
      </c>
      <c r="M1647" s="1" t="s">
        <v>728</v>
      </c>
      <c r="N1647" s="1">
        <v>9850</v>
      </c>
      <c r="O1647" s="12">
        <v>9800</v>
      </c>
      <c r="P1647" s="3" t="s">
        <v>57</v>
      </c>
      <c r="Q1647" s="1" cm="1">
        <f t="array" ref="Q1647">VALUE(INDEX(_xlfn.TEXTSPLIT(P1647, " "), 4))</f>
        <v>2014</v>
      </c>
      <c r="R1647" s="1" t="str">
        <f t="shared" si="25"/>
        <v>Nissan Altima 2.5 S</v>
      </c>
      <c r="S1647" s="1" t="str" cm="1">
        <f t="array" ref="S1647">_xlfn.IFS(I1647 &gt;= 40, "High", I1647&gt;=20, "Medium", I1647&lt;20, "Low")</f>
        <v>Medium</v>
      </c>
      <c r="T1647" s="1" t="str" cm="1">
        <f t="array" ref="T1647">_xlfn.IFS(O1647&lt;18200, "Low", O1647&lt;=50000, "Medium", O1647&gt;50000, "High")</f>
        <v>Low</v>
      </c>
    </row>
    <row r="1648" spans="1:20" x14ac:dyDescent="0.25">
      <c r="A1648" s="2">
        <v>2012</v>
      </c>
      <c r="B1648" s="1" t="s">
        <v>47</v>
      </c>
      <c r="C1648" s="1" t="s">
        <v>48</v>
      </c>
      <c r="D1648" s="1" t="s">
        <v>49</v>
      </c>
      <c r="E1648" s="1" t="s">
        <v>32</v>
      </c>
      <c r="F1648" s="1" t="s">
        <v>20</v>
      </c>
      <c r="G1648" s="1" t="s">
        <v>2444</v>
      </c>
      <c r="H1648" s="1" t="s">
        <v>22</v>
      </c>
      <c r="I1648" s="1">
        <v>39</v>
      </c>
      <c r="J1648" s="1">
        <v>20829</v>
      </c>
      <c r="K1648" s="1" t="s">
        <v>23</v>
      </c>
      <c r="L1648" s="1" t="s">
        <v>34</v>
      </c>
      <c r="M1648" s="1" t="s">
        <v>217</v>
      </c>
      <c r="N1648" s="1">
        <v>13300</v>
      </c>
      <c r="O1648" s="12">
        <v>13250</v>
      </c>
      <c r="P1648" s="3" t="s">
        <v>26</v>
      </c>
      <c r="Q1648" s="1" cm="1">
        <f t="array" ref="Q1648">VALUE(INDEX(_xlfn.TEXTSPLIT(P1648, " "), 4))</f>
        <v>2014</v>
      </c>
      <c r="R1648" s="1" t="str">
        <f t="shared" si="25"/>
        <v>Nissan Altima 2.5 S</v>
      </c>
      <c r="S1648" s="1" t="str" cm="1">
        <f t="array" ref="S1648">_xlfn.IFS(I1648 &gt;= 40, "High", I1648&gt;=20, "Medium", I1648&lt;20, "Low")</f>
        <v>Medium</v>
      </c>
      <c r="T1648" s="1" t="str" cm="1">
        <f t="array" ref="T1648">_xlfn.IFS(O1648&lt;18200, "Low", O1648&lt;=50000, "Medium", O1648&gt;50000, "High")</f>
        <v>Low</v>
      </c>
    </row>
    <row r="1649" spans="1:20" x14ac:dyDescent="0.25">
      <c r="A1649" s="2">
        <v>2012</v>
      </c>
      <c r="B1649" s="1" t="s">
        <v>47</v>
      </c>
      <c r="C1649" s="1" t="s">
        <v>48</v>
      </c>
      <c r="D1649" s="1" t="s">
        <v>49</v>
      </c>
      <c r="E1649" s="1" t="s">
        <v>32</v>
      </c>
      <c r="F1649" s="1" t="s">
        <v>20</v>
      </c>
      <c r="G1649" s="1" t="s">
        <v>2445</v>
      </c>
      <c r="H1649" s="1" t="s">
        <v>22</v>
      </c>
      <c r="I1649" s="1">
        <v>35</v>
      </c>
      <c r="J1649" s="1">
        <v>33732</v>
      </c>
      <c r="K1649" s="1" t="s">
        <v>23</v>
      </c>
      <c r="L1649" s="1" t="s">
        <v>24</v>
      </c>
      <c r="M1649" s="1" t="s">
        <v>217</v>
      </c>
      <c r="N1649" s="1">
        <v>12450</v>
      </c>
      <c r="O1649" s="12">
        <v>12500</v>
      </c>
      <c r="P1649" s="3" t="s">
        <v>26</v>
      </c>
      <c r="Q1649" s="1" cm="1">
        <f t="array" ref="Q1649">VALUE(INDEX(_xlfn.TEXTSPLIT(P1649, " "), 4))</f>
        <v>2014</v>
      </c>
      <c r="R1649" s="1" t="str">
        <f t="shared" si="25"/>
        <v>Nissan Altima 2.5 S</v>
      </c>
      <c r="S1649" s="1" t="str" cm="1">
        <f t="array" ref="S1649">_xlfn.IFS(I1649 &gt;= 40, "High", I1649&gt;=20, "Medium", I1649&lt;20, "Low")</f>
        <v>Medium</v>
      </c>
      <c r="T1649" s="1" t="str" cm="1">
        <f t="array" ref="T1649">_xlfn.IFS(O1649&lt;18200, "Low", O1649&lt;=50000, "Medium", O1649&gt;50000, "High")</f>
        <v>Low</v>
      </c>
    </row>
    <row r="1650" spans="1:20" x14ac:dyDescent="0.25">
      <c r="A1650" s="2">
        <v>2012</v>
      </c>
      <c r="B1650" s="1" t="s">
        <v>608</v>
      </c>
      <c r="C1650" s="1" t="s">
        <v>830</v>
      </c>
      <c r="D1650" s="1" t="s">
        <v>831</v>
      </c>
      <c r="E1650" s="1" t="s">
        <v>19</v>
      </c>
      <c r="F1650" s="1" t="s">
        <v>20</v>
      </c>
      <c r="G1650" s="1" t="s">
        <v>2446</v>
      </c>
      <c r="H1650" s="1" t="s">
        <v>22</v>
      </c>
      <c r="I1650" s="1">
        <v>38</v>
      </c>
      <c r="J1650" s="1">
        <v>58460</v>
      </c>
      <c r="K1650" s="1" t="s">
        <v>101</v>
      </c>
      <c r="L1650" s="1" t="s">
        <v>24</v>
      </c>
      <c r="M1650" s="1" t="s">
        <v>669</v>
      </c>
      <c r="N1650" s="1">
        <v>27800</v>
      </c>
      <c r="O1650" s="12">
        <v>27750</v>
      </c>
      <c r="P1650" s="3" t="s">
        <v>46</v>
      </c>
      <c r="Q1650" s="1" cm="1">
        <f t="array" ref="Q1650">VALUE(INDEX(_xlfn.TEXTSPLIT(P1650, " "), 4))</f>
        <v>2014</v>
      </c>
      <c r="R1650" s="1" t="str">
        <f t="shared" si="25"/>
        <v>Mercedes-Benz GL-Class GL450 4MATIC</v>
      </c>
      <c r="S1650" s="1" t="str" cm="1">
        <f t="array" ref="S1650">_xlfn.IFS(I1650 &gt;= 40, "High", I1650&gt;=20, "Medium", I1650&lt;20, "Low")</f>
        <v>Medium</v>
      </c>
      <c r="T1650" s="1" t="str" cm="1">
        <f t="array" ref="T1650">_xlfn.IFS(O1650&lt;18200, "Low", O1650&lt;=50000, "Medium", O1650&gt;50000, "High")</f>
        <v>Medium</v>
      </c>
    </row>
    <row r="1651" spans="1:20" x14ac:dyDescent="0.25">
      <c r="A1651" s="2">
        <v>2012</v>
      </c>
      <c r="B1651" s="1" t="s">
        <v>47</v>
      </c>
      <c r="C1651" s="1" t="s">
        <v>212</v>
      </c>
      <c r="D1651" s="1" t="s">
        <v>2336</v>
      </c>
      <c r="E1651" s="1" t="s">
        <v>227</v>
      </c>
      <c r="F1651" s="1" t="s">
        <v>20</v>
      </c>
      <c r="G1651" s="1" t="s">
        <v>2447</v>
      </c>
      <c r="H1651" s="1" t="s">
        <v>22</v>
      </c>
      <c r="I1651" s="1">
        <v>42</v>
      </c>
      <c r="J1651" s="1">
        <v>41746</v>
      </c>
      <c r="K1651" s="1" t="s">
        <v>23</v>
      </c>
      <c r="L1651" s="1" t="s">
        <v>28</v>
      </c>
      <c r="M1651" s="1" t="s">
        <v>109</v>
      </c>
      <c r="N1651" s="1">
        <v>8275</v>
      </c>
      <c r="O1651" s="12">
        <v>9300</v>
      </c>
      <c r="P1651" s="3" t="s">
        <v>68</v>
      </c>
      <c r="Q1651" s="1" cm="1">
        <f t="array" ref="Q1651">VALUE(INDEX(_xlfn.TEXTSPLIT(P1651, " "), 4))</f>
        <v>2014</v>
      </c>
      <c r="R1651" s="1" t="str">
        <f t="shared" si="25"/>
        <v>Nissan Versa 1.8 S</v>
      </c>
      <c r="S1651" s="1" t="str" cm="1">
        <f t="array" ref="S1651">_xlfn.IFS(I1651 &gt;= 40, "High", I1651&gt;=20, "Medium", I1651&lt;20, "Low")</f>
        <v>High</v>
      </c>
      <c r="T1651" s="1" t="str" cm="1">
        <f t="array" ref="T1651">_xlfn.IFS(O1651&lt;18200, "Low", O1651&lt;=50000, "Medium", O1651&gt;50000, "High")</f>
        <v>Low</v>
      </c>
    </row>
    <row r="1652" spans="1:20" x14ac:dyDescent="0.25">
      <c r="A1652" s="2">
        <v>2012</v>
      </c>
      <c r="B1652" s="1" t="s">
        <v>47</v>
      </c>
      <c r="C1652" s="1" t="s">
        <v>944</v>
      </c>
      <c r="D1652" s="1" t="s">
        <v>936</v>
      </c>
      <c r="E1652" s="1" t="s">
        <v>19</v>
      </c>
      <c r="F1652" s="1" t="s">
        <v>20</v>
      </c>
      <c r="G1652" s="1" t="s">
        <v>2448</v>
      </c>
      <c r="H1652" s="1" t="s">
        <v>22</v>
      </c>
      <c r="I1652" s="1">
        <v>4</v>
      </c>
      <c r="J1652" s="1">
        <v>26320</v>
      </c>
      <c r="K1652" s="1" t="s">
        <v>23</v>
      </c>
      <c r="L1652" s="1" t="s">
        <v>28</v>
      </c>
      <c r="M1652" s="1" t="s">
        <v>984</v>
      </c>
      <c r="N1652" s="1">
        <v>16150</v>
      </c>
      <c r="O1652" s="12">
        <v>16000</v>
      </c>
      <c r="P1652" s="3" t="s">
        <v>57</v>
      </c>
      <c r="Q1652" s="1" cm="1">
        <f t="array" ref="Q1652">VALUE(INDEX(_xlfn.TEXTSPLIT(P1652, " "), 4))</f>
        <v>2014</v>
      </c>
      <c r="R1652" s="1" t="str">
        <f t="shared" si="25"/>
        <v>Nissan Rogue S</v>
      </c>
      <c r="S1652" s="1" t="str" cm="1">
        <f t="array" ref="S1652">_xlfn.IFS(I1652 &gt;= 40, "High", I1652&gt;=20, "Medium", I1652&lt;20, "Low")</f>
        <v>Low</v>
      </c>
      <c r="T1652" s="1" t="str" cm="1">
        <f t="array" ref="T1652">_xlfn.IFS(O1652&lt;18200, "Low", O1652&lt;=50000, "Medium", O1652&gt;50000, "High")</f>
        <v>Low</v>
      </c>
    </row>
    <row r="1653" spans="1:20" x14ac:dyDescent="0.25">
      <c r="A1653" s="2">
        <v>2012</v>
      </c>
      <c r="B1653" s="1" t="s">
        <v>47</v>
      </c>
      <c r="C1653" s="1" t="s">
        <v>48</v>
      </c>
      <c r="D1653" s="1" t="s">
        <v>49</v>
      </c>
      <c r="E1653" s="1" t="s">
        <v>32</v>
      </c>
      <c r="F1653" s="1" t="s">
        <v>20</v>
      </c>
      <c r="G1653" s="1" t="s">
        <v>2449</v>
      </c>
      <c r="H1653" s="1" t="s">
        <v>22</v>
      </c>
      <c r="I1653" s="1">
        <v>36</v>
      </c>
      <c r="J1653" s="1">
        <v>26203</v>
      </c>
      <c r="K1653" s="1" t="s">
        <v>23</v>
      </c>
      <c r="L1653" s="1" t="s">
        <v>24</v>
      </c>
      <c r="M1653" s="1" t="s">
        <v>217</v>
      </c>
      <c r="N1653" s="1">
        <v>12950</v>
      </c>
      <c r="O1653" s="12">
        <v>13000</v>
      </c>
      <c r="P1653" s="3" t="s">
        <v>26</v>
      </c>
      <c r="Q1653" s="1" cm="1">
        <f t="array" ref="Q1653">VALUE(INDEX(_xlfn.TEXTSPLIT(P1653, " "), 4))</f>
        <v>2014</v>
      </c>
      <c r="R1653" s="1" t="str">
        <f t="shared" si="25"/>
        <v>Nissan Altima 2.5 S</v>
      </c>
      <c r="S1653" s="1" t="str" cm="1">
        <f t="array" ref="S1653">_xlfn.IFS(I1653 &gt;= 40, "High", I1653&gt;=20, "Medium", I1653&lt;20, "Low")</f>
        <v>Medium</v>
      </c>
      <c r="T1653" s="1" t="str" cm="1">
        <f t="array" ref="T1653">_xlfn.IFS(O1653&lt;18200, "Low", O1653&lt;=50000, "Medium", O1653&gt;50000, "High")</f>
        <v>Low</v>
      </c>
    </row>
    <row r="1654" spans="1:20" x14ac:dyDescent="0.25">
      <c r="A1654" s="2">
        <v>2012</v>
      </c>
      <c r="B1654" s="1" t="s">
        <v>47</v>
      </c>
      <c r="C1654" s="1" t="s">
        <v>48</v>
      </c>
      <c r="D1654" s="1" t="s">
        <v>49</v>
      </c>
      <c r="E1654" s="1" t="s">
        <v>32</v>
      </c>
      <c r="F1654" s="1" t="s">
        <v>20</v>
      </c>
      <c r="G1654" s="1" t="s">
        <v>2450</v>
      </c>
      <c r="H1654" s="1" t="s">
        <v>22</v>
      </c>
      <c r="I1654" s="1">
        <v>37</v>
      </c>
      <c r="J1654" s="1">
        <v>31843</v>
      </c>
      <c r="K1654" s="1" t="s">
        <v>24</v>
      </c>
      <c r="L1654" s="1" t="s">
        <v>34</v>
      </c>
      <c r="M1654" s="1" t="s">
        <v>217</v>
      </c>
      <c r="N1654" s="1">
        <v>12550</v>
      </c>
      <c r="O1654" s="12">
        <v>15250</v>
      </c>
      <c r="P1654" s="3" t="s">
        <v>57</v>
      </c>
      <c r="Q1654" s="1" cm="1">
        <f t="array" ref="Q1654">VALUE(INDEX(_xlfn.TEXTSPLIT(P1654, " "), 4))</f>
        <v>2014</v>
      </c>
      <c r="R1654" s="1" t="str">
        <f t="shared" si="25"/>
        <v>Nissan Altima 2.5 S</v>
      </c>
      <c r="S1654" s="1" t="str" cm="1">
        <f t="array" ref="S1654">_xlfn.IFS(I1654 &gt;= 40, "High", I1654&gt;=20, "Medium", I1654&lt;20, "Low")</f>
        <v>Medium</v>
      </c>
      <c r="T1654" s="1" t="str" cm="1">
        <f t="array" ref="T1654">_xlfn.IFS(O1654&lt;18200, "Low", O1654&lt;=50000, "Medium", O1654&gt;50000, "High")</f>
        <v>Low</v>
      </c>
    </row>
    <row r="1655" spans="1:20" x14ac:dyDescent="0.25">
      <c r="A1655" s="2">
        <v>2012</v>
      </c>
      <c r="B1655" s="1" t="s">
        <v>47</v>
      </c>
      <c r="C1655" s="1" t="s">
        <v>48</v>
      </c>
      <c r="D1655" s="1" t="s">
        <v>49</v>
      </c>
      <c r="E1655" s="1" t="s">
        <v>32</v>
      </c>
      <c r="F1655" s="1" t="s">
        <v>20</v>
      </c>
      <c r="G1655" s="1" t="s">
        <v>2451</v>
      </c>
      <c r="H1655" s="1" t="s">
        <v>22</v>
      </c>
      <c r="I1655" s="1">
        <v>39</v>
      </c>
      <c r="J1655" s="1">
        <v>44525</v>
      </c>
      <c r="K1655" s="1" t="s">
        <v>23</v>
      </c>
      <c r="L1655" s="1" t="s">
        <v>24</v>
      </c>
      <c r="M1655" s="1" t="s">
        <v>217</v>
      </c>
      <c r="N1655" s="1">
        <v>11750</v>
      </c>
      <c r="O1655" s="12">
        <v>11500</v>
      </c>
      <c r="P1655" s="3" t="s">
        <v>26</v>
      </c>
      <c r="Q1655" s="1" cm="1">
        <f t="array" ref="Q1655">VALUE(INDEX(_xlfn.TEXTSPLIT(P1655, " "), 4))</f>
        <v>2014</v>
      </c>
      <c r="R1655" s="1" t="str">
        <f t="shared" si="25"/>
        <v>Nissan Altima 2.5 S</v>
      </c>
      <c r="S1655" s="1" t="str" cm="1">
        <f t="array" ref="S1655">_xlfn.IFS(I1655 &gt;= 40, "High", I1655&gt;=20, "Medium", I1655&lt;20, "Low")</f>
        <v>Medium</v>
      </c>
      <c r="T1655" s="1" t="str" cm="1">
        <f t="array" ref="T1655">_xlfn.IFS(O1655&lt;18200, "Low", O1655&lt;=50000, "Medium", O1655&gt;50000, "High")</f>
        <v>Low</v>
      </c>
    </row>
    <row r="1656" spans="1:20" x14ac:dyDescent="0.25">
      <c r="A1656" s="2">
        <v>2012</v>
      </c>
      <c r="B1656" s="1" t="s">
        <v>47</v>
      </c>
      <c r="C1656" s="1" t="s">
        <v>48</v>
      </c>
      <c r="D1656" s="1" t="s">
        <v>49</v>
      </c>
      <c r="E1656" s="1" t="s">
        <v>107</v>
      </c>
      <c r="F1656" s="1" t="s">
        <v>20</v>
      </c>
      <c r="G1656" s="1" t="s">
        <v>2452</v>
      </c>
      <c r="H1656" s="1" t="s">
        <v>22</v>
      </c>
      <c r="I1656" s="1">
        <v>44</v>
      </c>
      <c r="J1656" s="1">
        <v>11015</v>
      </c>
      <c r="K1656" s="1" t="s">
        <v>23</v>
      </c>
      <c r="L1656" s="1" t="s">
        <v>24</v>
      </c>
      <c r="M1656" s="1" t="s">
        <v>217</v>
      </c>
      <c r="N1656" s="1">
        <v>15000</v>
      </c>
      <c r="O1656" s="12">
        <v>15250</v>
      </c>
      <c r="P1656" s="3" t="s">
        <v>26</v>
      </c>
      <c r="Q1656" s="1" cm="1">
        <f t="array" ref="Q1656">VALUE(INDEX(_xlfn.TEXTSPLIT(P1656, " "), 4))</f>
        <v>2014</v>
      </c>
      <c r="R1656" s="1" t="str">
        <f t="shared" si="25"/>
        <v>Nissan Altima 2.5 S</v>
      </c>
      <c r="S1656" s="1" t="str" cm="1">
        <f t="array" ref="S1656">_xlfn.IFS(I1656 &gt;= 40, "High", I1656&gt;=20, "Medium", I1656&lt;20, "Low")</f>
        <v>High</v>
      </c>
      <c r="T1656" s="1" t="str" cm="1">
        <f t="array" ref="T1656">_xlfn.IFS(O1656&lt;18200, "Low", O1656&lt;=50000, "Medium", O1656&gt;50000, "High")</f>
        <v>Low</v>
      </c>
    </row>
    <row r="1657" spans="1:20" x14ac:dyDescent="0.25">
      <c r="A1657" s="2">
        <v>2012</v>
      </c>
      <c r="B1657" s="1" t="s">
        <v>47</v>
      </c>
      <c r="C1657" s="1" t="s">
        <v>48</v>
      </c>
      <c r="D1657" s="1" t="s">
        <v>49</v>
      </c>
      <c r="E1657" s="1" t="s">
        <v>32</v>
      </c>
      <c r="F1657" s="1" t="s">
        <v>20</v>
      </c>
      <c r="G1657" s="1" t="s">
        <v>2453</v>
      </c>
      <c r="H1657" s="1" t="s">
        <v>22</v>
      </c>
      <c r="I1657" s="1">
        <v>43</v>
      </c>
      <c r="J1657" s="1">
        <v>34554</v>
      </c>
      <c r="K1657" s="1" t="s">
        <v>23</v>
      </c>
      <c r="L1657" s="1" t="s">
        <v>24</v>
      </c>
      <c r="M1657" s="1" t="s">
        <v>217</v>
      </c>
      <c r="N1657" s="1">
        <v>12400</v>
      </c>
      <c r="O1657" s="12">
        <v>14750</v>
      </c>
      <c r="P1657" s="3" t="s">
        <v>26</v>
      </c>
      <c r="Q1657" s="1" cm="1">
        <f t="array" ref="Q1657">VALUE(INDEX(_xlfn.TEXTSPLIT(P1657, " "), 4))</f>
        <v>2014</v>
      </c>
      <c r="R1657" s="1" t="str">
        <f t="shared" si="25"/>
        <v>Nissan Altima 2.5 S</v>
      </c>
      <c r="S1657" s="1" t="str" cm="1">
        <f t="array" ref="S1657">_xlfn.IFS(I1657 &gt;= 40, "High", I1657&gt;=20, "Medium", I1657&lt;20, "Low")</f>
        <v>High</v>
      </c>
      <c r="T1657" s="1" t="str" cm="1">
        <f t="array" ref="T1657">_xlfn.IFS(O1657&lt;18200, "Low", O1657&lt;=50000, "Medium", O1657&gt;50000, "High")</f>
        <v>Low</v>
      </c>
    </row>
    <row r="1658" spans="1:20" x14ac:dyDescent="0.25">
      <c r="A1658" s="2">
        <v>2012</v>
      </c>
      <c r="B1658" s="1" t="s">
        <v>47</v>
      </c>
      <c r="C1658" s="1" t="s">
        <v>48</v>
      </c>
      <c r="D1658" s="1" t="s">
        <v>49</v>
      </c>
      <c r="E1658" s="1" t="s">
        <v>32</v>
      </c>
      <c r="F1658" s="1" t="s">
        <v>20</v>
      </c>
      <c r="G1658" s="1" t="s">
        <v>2454</v>
      </c>
      <c r="H1658" s="1" t="s">
        <v>22</v>
      </c>
      <c r="I1658" s="1">
        <v>41</v>
      </c>
      <c r="J1658" s="1">
        <v>22467</v>
      </c>
      <c r="K1658" s="1" t="s">
        <v>23</v>
      </c>
      <c r="L1658" s="1" t="s">
        <v>24</v>
      </c>
      <c r="M1658" s="1" t="s">
        <v>217</v>
      </c>
      <c r="N1658" s="1">
        <v>13200</v>
      </c>
      <c r="O1658" s="12">
        <v>13000</v>
      </c>
      <c r="P1658" s="3" t="s">
        <v>26</v>
      </c>
      <c r="Q1658" s="1" cm="1">
        <f t="array" ref="Q1658">VALUE(INDEX(_xlfn.TEXTSPLIT(P1658, " "), 4))</f>
        <v>2014</v>
      </c>
      <c r="R1658" s="1" t="str">
        <f t="shared" si="25"/>
        <v>Nissan Altima 2.5 S</v>
      </c>
      <c r="S1658" s="1" t="str" cm="1">
        <f t="array" ref="S1658">_xlfn.IFS(I1658 &gt;= 40, "High", I1658&gt;=20, "Medium", I1658&lt;20, "Low")</f>
        <v>High</v>
      </c>
      <c r="T1658" s="1" t="str" cm="1">
        <f t="array" ref="T1658">_xlfn.IFS(O1658&lt;18200, "Low", O1658&lt;=50000, "Medium", O1658&gt;50000, "High")</f>
        <v>Low</v>
      </c>
    </row>
    <row r="1659" spans="1:20" x14ac:dyDescent="0.25">
      <c r="A1659" s="2">
        <v>2012</v>
      </c>
      <c r="B1659" s="1" t="s">
        <v>1033</v>
      </c>
      <c r="C1659" s="1" t="s">
        <v>1157</v>
      </c>
      <c r="D1659" s="1">
        <v>4</v>
      </c>
      <c r="E1659" s="1" t="s">
        <v>32</v>
      </c>
      <c r="F1659" s="1" t="s">
        <v>20</v>
      </c>
      <c r="G1659" s="1" t="s">
        <v>2455</v>
      </c>
      <c r="H1659" s="1" t="s">
        <v>22</v>
      </c>
      <c r="I1659" s="1">
        <v>41</v>
      </c>
      <c r="J1659" s="1">
        <v>38926</v>
      </c>
      <c r="K1659" s="1" t="s">
        <v>132</v>
      </c>
      <c r="L1659" s="1" t="s">
        <v>132</v>
      </c>
      <c r="M1659" s="1" t="s">
        <v>2456</v>
      </c>
      <c r="N1659" s="1">
        <v>49700</v>
      </c>
      <c r="O1659" s="12">
        <v>50500</v>
      </c>
      <c r="P1659" s="3" t="s">
        <v>1450</v>
      </c>
      <c r="Q1659" s="1" cm="1">
        <f t="array" ref="Q1659">VALUE(INDEX(_xlfn.TEXTSPLIT(P1659, " "), 4))</f>
        <v>2015</v>
      </c>
      <c r="R1659" s="1" t="str">
        <f t="shared" si="25"/>
        <v>Porsche Panamera 4</v>
      </c>
      <c r="S1659" s="1" t="str" cm="1">
        <f t="array" ref="S1659">_xlfn.IFS(I1659 &gt;= 40, "High", I1659&gt;=20, "Medium", I1659&lt;20, "Low")</f>
        <v>High</v>
      </c>
      <c r="T1659" s="1" t="str" cm="1">
        <f t="array" ref="T1659">_xlfn.IFS(O1659&lt;18200, "Low", O1659&lt;=50000, "Medium", O1659&gt;50000, "High")</f>
        <v>High</v>
      </c>
    </row>
    <row r="1660" spans="1:20" x14ac:dyDescent="0.25">
      <c r="A1660" s="2">
        <v>2012</v>
      </c>
      <c r="B1660" s="1" t="s">
        <v>999</v>
      </c>
      <c r="C1660" s="1" t="s">
        <v>1077</v>
      </c>
      <c r="D1660" s="1" t="s">
        <v>54</v>
      </c>
      <c r="E1660" s="1" t="s">
        <v>130</v>
      </c>
      <c r="F1660" s="1" t="s">
        <v>20</v>
      </c>
      <c r="G1660" s="1" t="s">
        <v>2457</v>
      </c>
      <c r="H1660" s="1" t="s">
        <v>22</v>
      </c>
      <c r="I1660" s="1">
        <v>35</v>
      </c>
      <c r="J1660" s="1">
        <v>18257</v>
      </c>
      <c r="K1660" s="1" t="s">
        <v>91</v>
      </c>
      <c r="L1660" s="1" t="s">
        <v>24</v>
      </c>
      <c r="M1660" s="1" t="s">
        <v>1096</v>
      </c>
      <c r="N1660" s="1">
        <v>12200</v>
      </c>
      <c r="O1660" s="12">
        <v>12700</v>
      </c>
      <c r="P1660" s="3" t="s">
        <v>2458</v>
      </c>
      <c r="Q1660" s="1" cm="1">
        <f t="array" ref="Q1660">VALUE(INDEX(_xlfn.TEXTSPLIT(P1660, " "), 4))</f>
        <v>2015</v>
      </c>
      <c r="R1660" s="1" t="str">
        <f t="shared" si="25"/>
        <v>Scion xB Base</v>
      </c>
      <c r="S1660" s="1" t="str" cm="1">
        <f t="array" ref="S1660">_xlfn.IFS(I1660 &gt;= 40, "High", I1660&gt;=20, "Medium", I1660&lt;20, "Low")</f>
        <v>Medium</v>
      </c>
      <c r="T1660" s="1" t="str" cm="1">
        <f t="array" ref="T1660">_xlfn.IFS(O1660&lt;18200, "Low", O1660&lt;=50000, "Medium", O1660&gt;50000, "High")</f>
        <v>Low</v>
      </c>
    </row>
    <row r="1661" spans="1:20" x14ac:dyDescent="0.25">
      <c r="A1661" s="2">
        <v>2012</v>
      </c>
      <c r="B1661" s="1" t="s">
        <v>1033</v>
      </c>
      <c r="C1661" s="1" t="s">
        <v>1034</v>
      </c>
      <c r="D1661" s="1" t="s">
        <v>54</v>
      </c>
      <c r="E1661" s="1" t="s">
        <v>19</v>
      </c>
      <c r="F1661" s="1" t="s">
        <v>20</v>
      </c>
      <c r="G1661" s="1" t="s">
        <v>2459</v>
      </c>
      <c r="H1661" s="1" t="s">
        <v>22</v>
      </c>
      <c r="I1661" s="1">
        <v>43</v>
      </c>
      <c r="J1661" s="1">
        <v>27043</v>
      </c>
      <c r="K1661" s="1" t="s">
        <v>34</v>
      </c>
      <c r="L1661" s="1" t="s">
        <v>24</v>
      </c>
      <c r="M1661" s="1" t="s">
        <v>2460</v>
      </c>
      <c r="N1661" s="1">
        <v>41400</v>
      </c>
      <c r="O1661" s="12">
        <v>44500</v>
      </c>
      <c r="P1661" s="3" t="s">
        <v>46</v>
      </c>
      <c r="Q1661" s="1" cm="1">
        <f t="array" ref="Q1661">VALUE(INDEX(_xlfn.TEXTSPLIT(P1661, " "), 4))</f>
        <v>2014</v>
      </c>
      <c r="R1661" s="1" t="str">
        <f t="shared" si="25"/>
        <v>Porsche Cayenne Base</v>
      </c>
      <c r="S1661" s="1" t="str" cm="1">
        <f t="array" ref="S1661">_xlfn.IFS(I1661 &gt;= 40, "High", I1661&gt;=20, "Medium", I1661&lt;20, "Low")</f>
        <v>High</v>
      </c>
      <c r="T1661" s="1" t="str" cm="1">
        <f t="array" ref="T1661">_xlfn.IFS(O1661&lt;18200, "Low", O1661&lt;=50000, "Medium", O1661&gt;50000, "High")</f>
        <v>Medium</v>
      </c>
    </row>
    <row r="1662" spans="1:20" x14ac:dyDescent="0.25">
      <c r="A1662" s="2">
        <v>2012</v>
      </c>
      <c r="B1662" s="1" t="s">
        <v>47</v>
      </c>
      <c r="C1662" s="1" t="s">
        <v>48</v>
      </c>
      <c r="D1662" s="1" t="s">
        <v>49</v>
      </c>
      <c r="E1662" s="1" t="s">
        <v>32</v>
      </c>
      <c r="F1662" s="1" t="s">
        <v>20</v>
      </c>
      <c r="G1662" s="1" t="s">
        <v>2461</v>
      </c>
      <c r="H1662" s="1" t="s">
        <v>22</v>
      </c>
      <c r="I1662" s="1">
        <v>27</v>
      </c>
      <c r="J1662" s="1">
        <v>98380</v>
      </c>
      <c r="K1662" s="1" t="s">
        <v>23</v>
      </c>
      <c r="L1662" s="1" t="s">
        <v>24</v>
      </c>
      <c r="M1662" s="1" t="s">
        <v>984</v>
      </c>
      <c r="N1662" s="1">
        <v>9525</v>
      </c>
      <c r="O1662" s="12">
        <v>8250</v>
      </c>
      <c r="P1662" s="3" t="s">
        <v>26</v>
      </c>
      <c r="Q1662" s="1" cm="1">
        <f t="array" ref="Q1662">VALUE(INDEX(_xlfn.TEXTSPLIT(P1662, " "), 4))</f>
        <v>2014</v>
      </c>
      <c r="R1662" s="1" t="str">
        <f t="shared" si="25"/>
        <v>Nissan Altima 2.5 S</v>
      </c>
      <c r="S1662" s="1" t="str" cm="1">
        <f t="array" ref="S1662">_xlfn.IFS(I1662 &gt;= 40, "High", I1662&gt;=20, "Medium", I1662&lt;20, "Low")</f>
        <v>Medium</v>
      </c>
      <c r="T1662" s="1" t="str" cm="1">
        <f t="array" ref="T1662">_xlfn.IFS(O1662&lt;18200, "Low", O1662&lt;=50000, "Medium", O1662&gt;50000, "High")</f>
        <v>Low</v>
      </c>
    </row>
    <row r="1663" spans="1:20" x14ac:dyDescent="0.25">
      <c r="A1663" s="2">
        <v>2012</v>
      </c>
      <c r="B1663" s="1" t="s">
        <v>616</v>
      </c>
      <c r="C1663" s="1" t="s">
        <v>2462</v>
      </c>
      <c r="D1663" s="1" t="s">
        <v>912</v>
      </c>
      <c r="E1663" s="1" t="s">
        <v>32</v>
      </c>
      <c r="F1663" s="1" t="s">
        <v>20</v>
      </c>
      <c r="G1663" s="1" t="s">
        <v>2463</v>
      </c>
      <c r="H1663" s="1" t="s">
        <v>22</v>
      </c>
      <c r="I1663" s="1">
        <v>25</v>
      </c>
      <c r="J1663" s="1">
        <v>48910</v>
      </c>
      <c r="K1663" s="1" t="s">
        <v>91</v>
      </c>
      <c r="L1663" s="1" t="s">
        <v>24</v>
      </c>
      <c r="M1663" s="1" t="s">
        <v>109</v>
      </c>
      <c r="N1663" s="1">
        <v>8125</v>
      </c>
      <c r="O1663" s="12">
        <v>9500</v>
      </c>
      <c r="P1663" s="3" t="s">
        <v>68</v>
      </c>
      <c r="Q1663" s="1" cm="1">
        <f t="array" ref="Q1663">VALUE(INDEX(_xlfn.TEXTSPLIT(P1663, " "), 4))</f>
        <v>2014</v>
      </c>
      <c r="R1663" s="1" t="str">
        <f t="shared" si="25"/>
        <v>Mitsubishi Galant ES</v>
      </c>
      <c r="S1663" s="1" t="str" cm="1">
        <f t="array" ref="S1663">_xlfn.IFS(I1663 &gt;= 40, "High", I1663&gt;=20, "Medium", I1663&lt;20, "Low")</f>
        <v>Medium</v>
      </c>
      <c r="T1663" s="1" t="str" cm="1">
        <f t="array" ref="T1663">_xlfn.IFS(O1663&lt;18200, "Low", O1663&lt;=50000, "Medium", O1663&gt;50000, "High")</f>
        <v>Low</v>
      </c>
    </row>
    <row r="1664" spans="1:20" x14ac:dyDescent="0.25">
      <c r="A1664" s="2">
        <v>2012</v>
      </c>
      <c r="B1664" s="1" t="s">
        <v>47</v>
      </c>
      <c r="C1664" s="1" t="s">
        <v>48</v>
      </c>
      <c r="D1664" s="1" t="s">
        <v>49</v>
      </c>
      <c r="E1664" s="1" t="s">
        <v>32</v>
      </c>
      <c r="F1664" s="1" t="s">
        <v>20</v>
      </c>
      <c r="G1664" s="1" t="s">
        <v>2464</v>
      </c>
      <c r="H1664" s="1" t="s">
        <v>22</v>
      </c>
      <c r="I1664" s="1">
        <v>37</v>
      </c>
      <c r="J1664" s="1">
        <v>21689</v>
      </c>
      <c r="K1664" s="1" t="s">
        <v>23</v>
      </c>
      <c r="L1664" s="1" t="s">
        <v>34</v>
      </c>
      <c r="M1664" s="1" t="s">
        <v>217</v>
      </c>
      <c r="N1664" s="1">
        <v>13250</v>
      </c>
      <c r="O1664" s="12">
        <v>12000</v>
      </c>
      <c r="P1664" s="3" t="s">
        <v>251</v>
      </c>
      <c r="Q1664" s="1" cm="1">
        <f t="array" ref="Q1664">VALUE(INDEX(_xlfn.TEXTSPLIT(P1664, " "), 4))</f>
        <v>2014</v>
      </c>
      <c r="R1664" s="1" t="str">
        <f t="shared" si="25"/>
        <v>Nissan Altima 2.5 S</v>
      </c>
      <c r="S1664" s="1" t="str" cm="1">
        <f t="array" ref="S1664">_xlfn.IFS(I1664 &gt;= 40, "High", I1664&gt;=20, "Medium", I1664&lt;20, "Low")</f>
        <v>Medium</v>
      </c>
      <c r="T1664" s="1" t="str" cm="1">
        <f t="array" ref="T1664">_xlfn.IFS(O1664&lt;18200, "Low", O1664&lt;=50000, "Medium", O1664&gt;50000, "High")</f>
        <v>Low</v>
      </c>
    </row>
    <row r="1665" spans="1:20" x14ac:dyDescent="0.25">
      <c r="A1665" s="2">
        <v>2012</v>
      </c>
      <c r="B1665" s="1" t="s">
        <v>47</v>
      </c>
      <c r="C1665" s="1" t="s">
        <v>48</v>
      </c>
      <c r="D1665" s="1" t="s">
        <v>49</v>
      </c>
      <c r="E1665" s="1" t="s">
        <v>32</v>
      </c>
      <c r="F1665" s="1" t="s">
        <v>20</v>
      </c>
      <c r="G1665" s="1" t="s">
        <v>2465</v>
      </c>
      <c r="H1665" s="1" t="s">
        <v>22</v>
      </c>
      <c r="I1665" s="1">
        <v>29</v>
      </c>
      <c r="J1665" s="1">
        <v>45473</v>
      </c>
      <c r="K1665" s="1" t="s">
        <v>23</v>
      </c>
      <c r="L1665" s="1" t="s">
        <v>28</v>
      </c>
      <c r="M1665" s="1" t="s">
        <v>217</v>
      </c>
      <c r="N1665" s="1">
        <v>11650</v>
      </c>
      <c r="O1665" s="12">
        <v>12100</v>
      </c>
      <c r="P1665" s="3" t="s">
        <v>57</v>
      </c>
      <c r="Q1665" s="1" cm="1">
        <f t="array" ref="Q1665">VALUE(INDEX(_xlfn.TEXTSPLIT(P1665, " "), 4))</f>
        <v>2014</v>
      </c>
      <c r="R1665" s="1" t="str">
        <f t="shared" si="25"/>
        <v>Nissan Altima 2.5 S</v>
      </c>
      <c r="S1665" s="1" t="str" cm="1">
        <f t="array" ref="S1665">_xlfn.IFS(I1665 &gt;= 40, "High", I1665&gt;=20, "Medium", I1665&lt;20, "Low")</f>
        <v>Medium</v>
      </c>
      <c r="T1665" s="1" t="str" cm="1">
        <f t="array" ref="T1665">_xlfn.IFS(O1665&lt;18200, "Low", O1665&lt;=50000, "Medium", O1665&gt;50000, "High")</f>
        <v>Low</v>
      </c>
    </row>
    <row r="1666" spans="1:20" x14ac:dyDescent="0.25">
      <c r="A1666" s="2">
        <v>2012</v>
      </c>
      <c r="B1666" s="1" t="s">
        <v>927</v>
      </c>
      <c r="C1666" s="1" t="s">
        <v>963</v>
      </c>
      <c r="D1666" s="1" t="s">
        <v>87</v>
      </c>
      <c r="E1666" s="1" t="s">
        <v>32</v>
      </c>
      <c r="F1666" s="1" t="s">
        <v>20</v>
      </c>
      <c r="G1666" s="1" t="s">
        <v>2466</v>
      </c>
      <c r="H1666" s="1" t="s">
        <v>22</v>
      </c>
      <c r="I1666" s="1">
        <v>29</v>
      </c>
      <c r="J1666" s="1">
        <v>82708</v>
      </c>
      <c r="K1666" s="1" t="s">
        <v>24</v>
      </c>
      <c r="L1666" s="1" t="s">
        <v>24</v>
      </c>
      <c r="M1666" s="1" t="s">
        <v>680</v>
      </c>
      <c r="N1666" s="1">
        <v>12000</v>
      </c>
      <c r="O1666" s="12">
        <v>12200</v>
      </c>
      <c r="P1666" s="3" t="s">
        <v>987</v>
      </c>
      <c r="Q1666" s="1" cm="1">
        <f t="array" ref="Q1666">VALUE(INDEX(_xlfn.TEXTSPLIT(P1666, " "), 4))</f>
        <v>2015</v>
      </c>
      <c r="R1666" s="1" t="str">
        <f t="shared" si="25"/>
        <v>Toyota Camry SE</v>
      </c>
      <c r="S1666" s="1" t="str" cm="1">
        <f t="array" ref="S1666">_xlfn.IFS(I1666 &gt;= 40, "High", I1666&gt;=20, "Medium", I1666&lt;20, "Low")</f>
        <v>Medium</v>
      </c>
      <c r="T1666" s="1" t="str" cm="1">
        <f t="array" ref="T1666">_xlfn.IFS(O1666&lt;18200, "Low", O1666&lt;=50000, "Medium", O1666&gt;50000, "High")</f>
        <v>Low</v>
      </c>
    </row>
    <row r="1667" spans="1:20" x14ac:dyDescent="0.25">
      <c r="A1667" s="2">
        <v>2012</v>
      </c>
      <c r="B1667" s="1" t="s">
        <v>47</v>
      </c>
      <c r="C1667" s="1" t="s">
        <v>48</v>
      </c>
      <c r="D1667" s="1" t="s">
        <v>49</v>
      </c>
      <c r="E1667" s="1" t="s">
        <v>32</v>
      </c>
      <c r="F1667" s="1" t="s">
        <v>20</v>
      </c>
      <c r="G1667" s="1" t="s">
        <v>2467</v>
      </c>
      <c r="H1667" s="1" t="s">
        <v>22</v>
      </c>
      <c r="I1667" s="1">
        <v>38</v>
      </c>
      <c r="J1667" s="1">
        <v>45288</v>
      </c>
      <c r="K1667" s="1" t="s">
        <v>101</v>
      </c>
      <c r="L1667" s="1" t="s">
        <v>24</v>
      </c>
      <c r="M1667" s="1" t="s">
        <v>217</v>
      </c>
      <c r="N1667" s="1">
        <v>11700</v>
      </c>
      <c r="O1667" s="12">
        <v>11250</v>
      </c>
      <c r="P1667" s="3" t="s">
        <v>26</v>
      </c>
      <c r="Q1667" s="1" cm="1">
        <f t="array" ref="Q1667">VALUE(INDEX(_xlfn.TEXTSPLIT(P1667, " "), 4))</f>
        <v>2014</v>
      </c>
      <c r="R1667" s="1" t="str">
        <f t="shared" ref="R1667:R1730" si="26">_xlfn.TEXTJOIN(" ", TRUE, B1667, C1667, D1667)</f>
        <v>Nissan Altima 2.5 S</v>
      </c>
      <c r="S1667" s="1" t="str" cm="1">
        <f t="array" ref="S1667">_xlfn.IFS(I1667 &gt;= 40, "High", I1667&gt;=20, "Medium", I1667&lt;20, "Low")</f>
        <v>Medium</v>
      </c>
      <c r="T1667" s="1" t="str" cm="1">
        <f t="array" ref="T1667">_xlfn.IFS(O1667&lt;18200, "Low", O1667&lt;=50000, "Medium", O1667&gt;50000, "High")</f>
        <v>Low</v>
      </c>
    </row>
    <row r="1668" spans="1:20" x14ac:dyDescent="0.25">
      <c r="A1668" s="2">
        <v>2012</v>
      </c>
      <c r="B1668" s="1" t="s">
        <v>47</v>
      </c>
      <c r="C1668" s="1" t="s">
        <v>1061</v>
      </c>
      <c r="D1668" s="1" t="s">
        <v>936</v>
      </c>
      <c r="E1668" s="1" t="s">
        <v>1165</v>
      </c>
      <c r="F1668" s="1" t="s">
        <v>20</v>
      </c>
      <c r="G1668" s="1" t="s">
        <v>2468</v>
      </c>
      <c r="H1668" s="1" t="s">
        <v>22</v>
      </c>
      <c r="I1668" s="1">
        <v>2</v>
      </c>
      <c r="J1668" s="1">
        <v>227606</v>
      </c>
      <c r="K1668" s="1" t="s">
        <v>23</v>
      </c>
      <c r="L1668" s="1" t="s">
        <v>34</v>
      </c>
      <c r="M1668" s="1" t="s">
        <v>2469</v>
      </c>
      <c r="N1668" s="1">
        <v>5000</v>
      </c>
      <c r="O1668" s="12">
        <v>5100</v>
      </c>
      <c r="P1668" s="3" t="s">
        <v>68</v>
      </c>
      <c r="Q1668" s="1" cm="1">
        <f t="array" ref="Q1668">VALUE(INDEX(_xlfn.TEXTSPLIT(P1668, " "), 4))</f>
        <v>2014</v>
      </c>
      <c r="R1668" s="1" t="str">
        <f t="shared" si="26"/>
        <v>Nissan Frontier S</v>
      </c>
      <c r="S1668" s="1" t="str" cm="1">
        <f t="array" ref="S1668">_xlfn.IFS(I1668 &gt;= 40, "High", I1668&gt;=20, "Medium", I1668&lt;20, "Low")</f>
        <v>Low</v>
      </c>
      <c r="T1668" s="1" t="str" cm="1">
        <f t="array" ref="T1668">_xlfn.IFS(O1668&lt;18200, "Low", O1668&lt;=50000, "Medium", O1668&gt;50000, "High")</f>
        <v>Low</v>
      </c>
    </row>
    <row r="1669" spans="1:20" x14ac:dyDescent="0.25">
      <c r="A1669" s="2">
        <v>2012</v>
      </c>
      <c r="B1669" s="1" t="s">
        <v>47</v>
      </c>
      <c r="C1669" s="1" t="s">
        <v>48</v>
      </c>
      <c r="D1669" s="1" t="s">
        <v>49</v>
      </c>
      <c r="E1669" s="1" t="s">
        <v>32</v>
      </c>
      <c r="F1669" s="1" t="s">
        <v>20</v>
      </c>
      <c r="G1669" s="1" t="s">
        <v>2470</v>
      </c>
      <c r="H1669" s="1" t="s">
        <v>22</v>
      </c>
      <c r="I1669" s="1">
        <v>4</v>
      </c>
      <c r="J1669" s="1">
        <v>44039</v>
      </c>
      <c r="K1669" s="1" t="s">
        <v>23</v>
      </c>
      <c r="L1669" s="1" t="s">
        <v>28</v>
      </c>
      <c r="M1669" s="1" t="s">
        <v>217</v>
      </c>
      <c r="N1669" s="1">
        <v>11750</v>
      </c>
      <c r="O1669" s="12">
        <v>12900</v>
      </c>
      <c r="P1669" s="3" t="s">
        <v>57</v>
      </c>
      <c r="Q1669" s="1" cm="1">
        <f t="array" ref="Q1669">VALUE(INDEX(_xlfn.TEXTSPLIT(P1669, " "), 4))</f>
        <v>2014</v>
      </c>
      <c r="R1669" s="1" t="str">
        <f t="shared" si="26"/>
        <v>Nissan Altima 2.5 S</v>
      </c>
      <c r="S1669" s="1" t="str" cm="1">
        <f t="array" ref="S1669">_xlfn.IFS(I1669 &gt;= 40, "High", I1669&gt;=20, "Medium", I1669&lt;20, "Low")</f>
        <v>Low</v>
      </c>
      <c r="T1669" s="1" t="str" cm="1">
        <f t="array" ref="T1669">_xlfn.IFS(O1669&lt;18200, "Low", O1669&lt;=50000, "Medium", O1669&gt;50000, "High")</f>
        <v>Low</v>
      </c>
    </row>
    <row r="1670" spans="1:20" x14ac:dyDescent="0.25">
      <c r="A1670" s="2">
        <v>2012</v>
      </c>
      <c r="B1670" s="1" t="s">
        <v>47</v>
      </c>
      <c r="C1670" s="1" t="s">
        <v>48</v>
      </c>
      <c r="D1670" s="1" t="s">
        <v>49</v>
      </c>
      <c r="E1670" s="1" t="s">
        <v>32</v>
      </c>
      <c r="F1670" s="1" t="s">
        <v>20</v>
      </c>
      <c r="G1670" s="1" t="s">
        <v>2471</v>
      </c>
      <c r="H1670" s="1" t="s">
        <v>22</v>
      </c>
      <c r="I1670" s="1">
        <v>38</v>
      </c>
      <c r="J1670" s="1">
        <v>65320</v>
      </c>
      <c r="K1670" s="1" t="s">
        <v>101</v>
      </c>
      <c r="L1670" s="1" t="s">
        <v>24</v>
      </c>
      <c r="M1670" s="1" t="s">
        <v>217</v>
      </c>
      <c r="N1670" s="1">
        <v>10350</v>
      </c>
      <c r="O1670" s="12">
        <v>10250</v>
      </c>
      <c r="P1670" s="3" t="s">
        <v>26</v>
      </c>
      <c r="Q1670" s="1" cm="1">
        <f t="array" ref="Q1670">VALUE(INDEX(_xlfn.TEXTSPLIT(P1670, " "), 4))</f>
        <v>2014</v>
      </c>
      <c r="R1670" s="1" t="str">
        <f t="shared" si="26"/>
        <v>Nissan Altima 2.5 S</v>
      </c>
      <c r="S1670" s="1" t="str" cm="1">
        <f t="array" ref="S1670">_xlfn.IFS(I1670 &gt;= 40, "High", I1670&gt;=20, "Medium", I1670&lt;20, "Low")</f>
        <v>Medium</v>
      </c>
      <c r="T1670" s="1" t="str" cm="1">
        <f t="array" ref="T1670">_xlfn.IFS(O1670&lt;18200, "Low", O1670&lt;=50000, "Medium", O1670&gt;50000, "High")</f>
        <v>Low</v>
      </c>
    </row>
    <row r="1671" spans="1:20" x14ac:dyDescent="0.25">
      <c r="A1671" s="2">
        <v>2012</v>
      </c>
      <c r="B1671" s="1" t="s">
        <v>608</v>
      </c>
      <c r="C1671" s="1" t="s">
        <v>673</v>
      </c>
      <c r="D1671" s="1" t="s">
        <v>2472</v>
      </c>
      <c r="E1671" s="1" t="s">
        <v>32</v>
      </c>
      <c r="F1671" s="1" t="s">
        <v>20</v>
      </c>
      <c r="G1671" s="1" t="s">
        <v>2473</v>
      </c>
      <c r="H1671" s="1" t="s">
        <v>22</v>
      </c>
      <c r="I1671" s="1">
        <v>38</v>
      </c>
      <c r="J1671" s="1">
        <v>46114</v>
      </c>
      <c r="K1671" s="1" t="s">
        <v>24</v>
      </c>
      <c r="L1671" s="1" t="s">
        <v>24</v>
      </c>
      <c r="M1671" s="1" t="s">
        <v>56</v>
      </c>
      <c r="N1671" s="1">
        <v>26900</v>
      </c>
      <c r="O1671" s="12">
        <v>24000</v>
      </c>
      <c r="P1671" s="3" t="s">
        <v>26</v>
      </c>
      <c r="Q1671" s="1" cm="1">
        <f t="array" ref="Q1671">VALUE(INDEX(_xlfn.TEXTSPLIT(P1671, " "), 4))</f>
        <v>2014</v>
      </c>
      <c r="R1671" s="1" t="str">
        <f t="shared" si="26"/>
        <v>Mercedes-Benz E-Class E350 Luxury 4MATIC</v>
      </c>
      <c r="S1671" s="1" t="str" cm="1">
        <f t="array" ref="S1671">_xlfn.IFS(I1671 &gt;= 40, "High", I1671&gt;=20, "Medium", I1671&lt;20, "Low")</f>
        <v>Medium</v>
      </c>
      <c r="T1671" s="1" t="str" cm="1">
        <f t="array" ref="T1671">_xlfn.IFS(O1671&lt;18200, "Low", O1671&lt;=50000, "Medium", O1671&gt;50000, "High")</f>
        <v>Medium</v>
      </c>
    </row>
    <row r="1672" spans="1:20" x14ac:dyDescent="0.25">
      <c r="A1672" s="2">
        <v>2012</v>
      </c>
      <c r="B1672" s="1" t="s">
        <v>608</v>
      </c>
      <c r="C1672" s="1" t="s">
        <v>609</v>
      </c>
      <c r="D1672" s="1" t="s">
        <v>610</v>
      </c>
      <c r="E1672" s="1" t="s">
        <v>32</v>
      </c>
      <c r="F1672" s="1" t="s">
        <v>20</v>
      </c>
      <c r="G1672" s="1" t="s">
        <v>2474</v>
      </c>
      <c r="H1672" s="1" t="s">
        <v>22</v>
      </c>
      <c r="I1672" s="1">
        <v>35</v>
      </c>
      <c r="J1672" s="1">
        <v>36395</v>
      </c>
      <c r="K1672" s="1" t="s">
        <v>24</v>
      </c>
      <c r="L1672" s="1" t="s">
        <v>24</v>
      </c>
      <c r="M1672" s="1" t="s">
        <v>612</v>
      </c>
      <c r="N1672" s="1">
        <v>43900</v>
      </c>
      <c r="O1672" s="12">
        <v>43500</v>
      </c>
      <c r="P1672" s="3" t="s">
        <v>36</v>
      </c>
      <c r="Q1672" s="1" cm="1">
        <f t="array" ref="Q1672">VALUE(INDEX(_xlfn.TEXTSPLIT(P1672, " "), 4))</f>
        <v>2015</v>
      </c>
      <c r="R1672" s="1" t="str">
        <f t="shared" si="26"/>
        <v>Mercedes-Benz S-Class S550</v>
      </c>
      <c r="S1672" s="1" t="str" cm="1">
        <f t="array" ref="S1672">_xlfn.IFS(I1672 &gt;= 40, "High", I1672&gt;=20, "Medium", I1672&lt;20, "Low")</f>
        <v>Medium</v>
      </c>
      <c r="T1672" s="1" t="str" cm="1">
        <f t="array" ref="T1672">_xlfn.IFS(O1672&lt;18200, "Low", O1672&lt;=50000, "Medium", O1672&gt;50000, "High")</f>
        <v>Medium</v>
      </c>
    </row>
    <row r="1673" spans="1:20" x14ac:dyDescent="0.25">
      <c r="A1673" s="2">
        <v>2012</v>
      </c>
      <c r="B1673" s="1" t="s">
        <v>47</v>
      </c>
      <c r="C1673" s="1" t="s">
        <v>48</v>
      </c>
      <c r="D1673" s="1" t="s">
        <v>49</v>
      </c>
      <c r="E1673" s="1" t="s">
        <v>32</v>
      </c>
      <c r="F1673" s="1" t="s">
        <v>20</v>
      </c>
      <c r="G1673" s="1" t="s">
        <v>2475</v>
      </c>
      <c r="H1673" s="1" t="s">
        <v>22</v>
      </c>
      <c r="I1673" s="1">
        <v>25</v>
      </c>
      <c r="J1673" s="1">
        <v>21756</v>
      </c>
      <c r="K1673" s="1" t="s">
        <v>101</v>
      </c>
      <c r="L1673" s="1" t="s">
        <v>24</v>
      </c>
      <c r="M1673" s="1" t="s">
        <v>217</v>
      </c>
      <c r="N1673" s="1">
        <v>13250</v>
      </c>
      <c r="O1673" s="12">
        <v>11250</v>
      </c>
      <c r="P1673" s="3" t="s">
        <v>26</v>
      </c>
      <c r="Q1673" s="1" cm="1">
        <f t="array" ref="Q1673">VALUE(INDEX(_xlfn.TEXTSPLIT(P1673, " "), 4))</f>
        <v>2014</v>
      </c>
      <c r="R1673" s="1" t="str">
        <f t="shared" si="26"/>
        <v>Nissan Altima 2.5 S</v>
      </c>
      <c r="S1673" s="1" t="str" cm="1">
        <f t="array" ref="S1673">_xlfn.IFS(I1673 &gt;= 40, "High", I1673&gt;=20, "Medium", I1673&lt;20, "Low")</f>
        <v>Medium</v>
      </c>
      <c r="T1673" s="1" t="str" cm="1">
        <f t="array" ref="T1673">_xlfn.IFS(O1673&lt;18200, "Low", O1673&lt;=50000, "Medium", O1673&gt;50000, "High")</f>
        <v>Low</v>
      </c>
    </row>
    <row r="1674" spans="1:20" x14ac:dyDescent="0.25">
      <c r="A1674" s="2">
        <v>2012</v>
      </c>
      <c r="B1674" s="1" t="s">
        <v>927</v>
      </c>
      <c r="C1674" s="1" t="s">
        <v>963</v>
      </c>
      <c r="D1674" s="1" t="s">
        <v>87</v>
      </c>
      <c r="E1674" s="1" t="s">
        <v>32</v>
      </c>
      <c r="F1674" s="1" t="s">
        <v>20</v>
      </c>
      <c r="G1674" s="1" t="s">
        <v>2476</v>
      </c>
      <c r="H1674" s="1" t="s">
        <v>22</v>
      </c>
      <c r="I1674" s="1"/>
      <c r="J1674" s="1">
        <v>41266</v>
      </c>
      <c r="K1674" s="1" t="s">
        <v>34</v>
      </c>
      <c r="L1674" s="1" t="s">
        <v>94</v>
      </c>
      <c r="M1674" s="1" t="s">
        <v>406</v>
      </c>
      <c r="N1674" s="1">
        <v>14000</v>
      </c>
      <c r="O1674" s="12">
        <v>4750</v>
      </c>
      <c r="P1674" s="3" t="s">
        <v>62</v>
      </c>
      <c r="Q1674" s="1" cm="1">
        <f t="array" ref="Q1674">VALUE(INDEX(_xlfn.TEXTSPLIT(P1674, " "), 4))</f>
        <v>2014</v>
      </c>
      <c r="R1674" s="1" t="str">
        <f t="shared" si="26"/>
        <v>Toyota Camry SE</v>
      </c>
      <c r="S1674" s="1" t="str" cm="1">
        <f t="array" ref="S1674">_xlfn.IFS(I1674 &gt;= 40, "High", I1674&gt;=20, "Medium", I1674&lt;20, "Low")</f>
        <v>Low</v>
      </c>
      <c r="T1674" s="1" t="str" cm="1">
        <f t="array" ref="T1674">_xlfn.IFS(O1674&lt;18200, "Low", O1674&lt;=50000, "Medium", O1674&gt;50000, "High")</f>
        <v>Low</v>
      </c>
    </row>
    <row r="1675" spans="1:20" x14ac:dyDescent="0.25">
      <c r="A1675" s="2">
        <v>2012</v>
      </c>
      <c r="B1675" s="1" t="s">
        <v>47</v>
      </c>
      <c r="C1675" s="1" t="s">
        <v>48</v>
      </c>
      <c r="D1675" s="1" t="s">
        <v>49</v>
      </c>
      <c r="E1675" s="1" t="s">
        <v>32</v>
      </c>
      <c r="F1675" s="1" t="s">
        <v>20</v>
      </c>
      <c r="G1675" s="1" t="s">
        <v>2477</v>
      </c>
      <c r="H1675" s="1" t="s">
        <v>22</v>
      </c>
      <c r="I1675" s="1">
        <v>26</v>
      </c>
      <c r="J1675" s="1">
        <v>40281</v>
      </c>
      <c r="K1675" s="1" t="s">
        <v>23</v>
      </c>
      <c r="L1675" s="1" t="s">
        <v>28</v>
      </c>
      <c r="M1675" s="1" t="s">
        <v>56</v>
      </c>
      <c r="N1675" s="1">
        <v>11000</v>
      </c>
      <c r="O1675" s="12">
        <v>11250</v>
      </c>
      <c r="P1675" s="3" t="s">
        <v>270</v>
      </c>
      <c r="Q1675" s="1" cm="1">
        <f t="array" ref="Q1675">VALUE(INDEX(_xlfn.TEXTSPLIT(P1675, " "), 4))</f>
        <v>2014</v>
      </c>
      <c r="R1675" s="1" t="str">
        <f t="shared" si="26"/>
        <v>Nissan Altima 2.5 S</v>
      </c>
      <c r="S1675" s="1" t="str" cm="1">
        <f t="array" ref="S1675">_xlfn.IFS(I1675 &gt;= 40, "High", I1675&gt;=20, "Medium", I1675&lt;20, "Low")</f>
        <v>Medium</v>
      </c>
      <c r="T1675" s="1" t="str" cm="1">
        <f t="array" ref="T1675">_xlfn.IFS(O1675&lt;18200, "Low", O1675&lt;=50000, "Medium", O1675&gt;50000, "High")</f>
        <v>Low</v>
      </c>
    </row>
    <row r="1676" spans="1:20" x14ac:dyDescent="0.25">
      <c r="A1676" s="2">
        <v>2012</v>
      </c>
      <c r="B1676" s="1" t="s">
        <v>608</v>
      </c>
      <c r="C1676" s="1" t="s">
        <v>839</v>
      </c>
      <c r="D1676" s="1" t="s">
        <v>2478</v>
      </c>
      <c r="E1676" s="1" t="s">
        <v>19</v>
      </c>
      <c r="F1676" s="1" t="s">
        <v>20</v>
      </c>
      <c r="G1676" s="1" t="s">
        <v>2479</v>
      </c>
      <c r="H1676" s="1" t="s">
        <v>22</v>
      </c>
      <c r="I1676" s="1">
        <v>28</v>
      </c>
      <c r="J1676" s="1">
        <v>53595</v>
      </c>
      <c r="K1676" s="1" t="s">
        <v>23</v>
      </c>
      <c r="L1676" s="1" t="s">
        <v>24</v>
      </c>
      <c r="M1676" s="1" t="s">
        <v>2383</v>
      </c>
      <c r="N1676" s="1">
        <v>33200</v>
      </c>
      <c r="O1676" s="12">
        <v>32000</v>
      </c>
      <c r="P1676" s="3" t="s">
        <v>915</v>
      </c>
      <c r="Q1676" s="1" cm="1">
        <f t="array" ref="Q1676">VALUE(INDEX(_xlfn.TEXTSPLIT(P1676, " "), 4))</f>
        <v>2015</v>
      </c>
      <c r="R1676" s="1" t="str">
        <f t="shared" si="26"/>
        <v>Mercedes-Benz M-Class ML350 BlueTEC</v>
      </c>
      <c r="S1676" s="1" t="str" cm="1">
        <f t="array" ref="S1676">_xlfn.IFS(I1676 &gt;= 40, "High", I1676&gt;=20, "Medium", I1676&lt;20, "Low")</f>
        <v>Medium</v>
      </c>
      <c r="T1676" s="1" t="str" cm="1">
        <f t="array" ref="T1676">_xlfn.IFS(O1676&lt;18200, "Low", O1676&lt;=50000, "Medium", O1676&gt;50000, "High")</f>
        <v>Medium</v>
      </c>
    </row>
    <row r="1677" spans="1:20" x14ac:dyDescent="0.25">
      <c r="A1677" s="2">
        <v>2012</v>
      </c>
      <c r="B1677" s="1" t="s">
        <v>47</v>
      </c>
      <c r="C1677" s="1" t="s">
        <v>48</v>
      </c>
      <c r="D1677" s="1" t="s">
        <v>49</v>
      </c>
      <c r="E1677" s="1" t="s">
        <v>107</v>
      </c>
      <c r="F1677" s="1" t="s">
        <v>20</v>
      </c>
      <c r="G1677" s="1" t="s">
        <v>2480</v>
      </c>
      <c r="H1677" s="1" t="s">
        <v>22</v>
      </c>
      <c r="I1677" s="1">
        <v>36</v>
      </c>
      <c r="J1677" s="1">
        <v>50358</v>
      </c>
      <c r="K1677" s="1" t="s">
        <v>34</v>
      </c>
      <c r="L1677" s="1" t="s">
        <v>24</v>
      </c>
      <c r="M1677" s="1" t="s">
        <v>946</v>
      </c>
      <c r="N1677" s="1">
        <v>12300</v>
      </c>
      <c r="O1677" s="12">
        <v>12000</v>
      </c>
      <c r="P1677" s="3" t="s">
        <v>68</v>
      </c>
      <c r="Q1677" s="1" cm="1">
        <f t="array" ref="Q1677">VALUE(INDEX(_xlfn.TEXTSPLIT(P1677, " "), 4))</f>
        <v>2014</v>
      </c>
      <c r="R1677" s="1" t="str">
        <f t="shared" si="26"/>
        <v>Nissan Altima 2.5 S</v>
      </c>
      <c r="S1677" s="1" t="str" cm="1">
        <f t="array" ref="S1677">_xlfn.IFS(I1677 &gt;= 40, "High", I1677&gt;=20, "Medium", I1677&lt;20, "Low")</f>
        <v>Medium</v>
      </c>
      <c r="T1677" s="1" t="str" cm="1">
        <f t="array" ref="T1677">_xlfn.IFS(O1677&lt;18200, "Low", O1677&lt;=50000, "Medium", O1677&gt;50000, "High")</f>
        <v>Low</v>
      </c>
    </row>
    <row r="1678" spans="1:20" x14ac:dyDescent="0.25">
      <c r="A1678" s="2">
        <v>2012</v>
      </c>
      <c r="B1678" s="1" t="s">
        <v>47</v>
      </c>
      <c r="C1678" s="1" t="s">
        <v>1125</v>
      </c>
      <c r="D1678" s="1" t="s">
        <v>1062</v>
      </c>
      <c r="E1678" s="1" t="s">
        <v>19</v>
      </c>
      <c r="F1678" s="1" t="s">
        <v>20</v>
      </c>
      <c r="G1678" s="1" t="s">
        <v>2481</v>
      </c>
      <c r="H1678" s="1" t="s">
        <v>22</v>
      </c>
      <c r="I1678" s="1">
        <v>24</v>
      </c>
      <c r="J1678" s="1">
        <v>33829</v>
      </c>
      <c r="K1678" s="1" t="s">
        <v>34</v>
      </c>
      <c r="L1678" s="1" t="s">
        <v>24</v>
      </c>
      <c r="M1678" s="1" t="s">
        <v>56</v>
      </c>
      <c r="N1678" s="1">
        <v>25500</v>
      </c>
      <c r="O1678" s="12">
        <v>24000</v>
      </c>
      <c r="P1678" s="3" t="s">
        <v>270</v>
      </c>
      <c r="Q1678" s="1" cm="1">
        <f t="array" ref="Q1678">VALUE(INDEX(_xlfn.TEXTSPLIT(P1678, " "), 4))</f>
        <v>2014</v>
      </c>
      <c r="R1678" s="1" t="str">
        <f t="shared" si="26"/>
        <v>Nissan Armada SV</v>
      </c>
      <c r="S1678" s="1" t="str" cm="1">
        <f t="array" ref="S1678">_xlfn.IFS(I1678 &gt;= 40, "High", I1678&gt;=20, "Medium", I1678&lt;20, "Low")</f>
        <v>Medium</v>
      </c>
      <c r="T1678" s="1" t="str" cm="1">
        <f t="array" ref="T1678">_xlfn.IFS(O1678&lt;18200, "Low", O1678&lt;=50000, "Medium", O1678&gt;50000, "High")</f>
        <v>Medium</v>
      </c>
    </row>
    <row r="1679" spans="1:20" x14ac:dyDescent="0.25">
      <c r="A1679" s="2">
        <v>2012</v>
      </c>
      <c r="B1679" s="1" t="s">
        <v>47</v>
      </c>
      <c r="C1679" s="1" t="s">
        <v>48</v>
      </c>
      <c r="D1679" s="1" t="s">
        <v>49</v>
      </c>
      <c r="E1679" s="1" t="s">
        <v>32</v>
      </c>
      <c r="F1679" s="1" t="s">
        <v>20</v>
      </c>
      <c r="G1679" s="1" t="s">
        <v>2482</v>
      </c>
      <c r="H1679" s="1" t="s">
        <v>22</v>
      </c>
      <c r="I1679" s="1">
        <v>42</v>
      </c>
      <c r="J1679" s="1">
        <v>74249</v>
      </c>
      <c r="K1679" s="1" t="s">
        <v>23</v>
      </c>
      <c r="L1679" s="1" t="s">
        <v>24</v>
      </c>
      <c r="M1679" s="1" t="s">
        <v>984</v>
      </c>
      <c r="N1679" s="1">
        <v>9775</v>
      </c>
      <c r="O1679" s="12">
        <v>10250</v>
      </c>
      <c r="P1679" s="3" t="s">
        <v>26</v>
      </c>
      <c r="Q1679" s="1" cm="1">
        <f t="array" ref="Q1679">VALUE(INDEX(_xlfn.TEXTSPLIT(P1679, " "), 4))</f>
        <v>2014</v>
      </c>
      <c r="R1679" s="1" t="str">
        <f t="shared" si="26"/>
        <v>Nissan Altima 2.5 S</v>
      </c>
      <c r="S1679" s="1" t="str" cm="1">
        <f t="array" ref="S1679">_xlfn.IFS(I1679 &gt;= 40, "High", I1679&gt;=20, "Medium", I1679&lt;20, "Low")</f>
        <v>High</v>
      </c>
      <c r="T1679" s="1" t="str" cm="1">
        <f t="array" ref="T1679">_xlfn.IFS(O1679&lt;18200, "Low", O1679&lt;=50000, "Medium", O1679&gt;50000, "High")</f>
        <v>Low</v>
      </c>
    </row>
    <row r="1680" spans="1:20" x14ac:dyDescent="0.25">
      <c r="A1680" s="2">
        <v>2012</v>
      </c>
      <c r="B1680" s="1" t="s">
        <v>47</v>
      </c>
      <c r="C1680" s="1" t="s">
        <v>48</v>
      </c>
      <c r="D1680" s="1" t="s">
        <v>49</v>
      </c>
      <c r="E1680" s="1" t="s">
        <v>32</v>
      </c>
      <c r="F1680" s="1" t="s">
        <v>20</v>
      </c>
      <c r="G1680" s="1" t="s">
        <v>2483</v>
      </c>
      <c r="H1680" s="1" t="s">
        <v>22</v>
      </c>
      <c r="I1680" s="1">
        <v>21</v>
      </c>
      <c r="J1680" s="1">
        <v>34994</v>
      </c>
      <c r="K1680" s="1" t="s">
        <v>101</v>
      </c>
      <c r="L1680" s="1" t="s">
        <v>24</v>
      </c>
      <c r="M1680" s="1" t="s">
        <v>217</v>
      </c>
      <c r="N1680" s="1">
        <v>12350</v>
      </c>
      <c r="O1680" s="12">
        <v>11100</v>
      </c>
      <c r="P1680" s="3" t="s">
        <v>57</v>
      </c>
      <c r="Q1680" s="1" cm="1">
        <f t="array" ref="Q1680">VALUE(INDEX(_xlfn.TEXTSPLIT(P1680, " "), 4))</f>
        <v>2014</v>
      </c>
      <c r="R1680" s="1" t="str">
        <f t="shared" si="26"/>
        <v>Nissan Altima 2.5 S</v>
      </c>
      <c r="S1680" s="1" t="str" cm="1">
        <f t="array" ref="S1680">_xlfn.IFS(I1680 &gt;= 40, "High", I1680&gt;=20, "Medium", I1680&lt;20, "Low")</f>
        <v>Medium</v>
      </c>
      <c r="T1680" s="1" t="str" cm="1">
        <f t="array" ref="T1680">_xlfn.IFS(O1680&lt;18200, "Low", O1680&lt;=50000, "Medium", O1680&gt;50000, "High")</f>
        <v>Low</v>
      </c>
    </row>
    <row r="1681" spans="1:20" x14ac:dyDescent="0.25">
      <c r="A1681" s="2">
        <v>2012</v>
      </c>
      <c r="B1681" s="1" t="s">
        <v>47</v>
      </c>
      <c r="C1681" s="1" t="s">
        <v>959</v>
      </c>
      <c r="D1681" s="1" t="s">
        <v>960</v>
      </c>
      <c r="E1681" s="1" t="s">
        <v>227</v>
      </c>
      <c r="F1681" s="1" t="s">
        <v>20</v>
      </c>
      <c r="G1681" s="1" t="s">
        <v>2484</v>
      </c>
      <c r="H1681" s="1" t="s">
        <v>22</v>
      </c>
      <c r="I1681" s="1">
        <v>44</v>
      </c>
      <c r="J1681" s="1">
        <v>16312</v>
      </c>
      <c r="K1681" s="1" t="s">
        <v>101</v>
      </c>
      <c r="L1681" s="1" t="s">
        <v>34</v>
      </c>
      <c r="M1681" s="1" t="s">
        <v>217</v>
      </c>
      <c r="N1681" s="1">
        <v>11600</v>
      </c>
      <c r="O1681" s="12">
        <v>12750</v>
      </c>
      <c r="P1681" s="3" t="s">
        <v>26</v>
      </c>
      <c r="Q1681" s="1" cm="1">
        <f t="array" ref="Q1681">VALUE(INDEX(_xlfn.TEXTSPLIT(P1681, " "), 4))</f>
        <v>2014</v>
      </c>
      <c r="R1681" s="1" t="str">
        <f t="shared" si="26"/>
        <v>Nissan Leaf SL</v>
      </c>
      <c r="S1681" s="1" t="str" cm="1">
        <f t="array" ref="S1681">_xlfn.IFS(I1681 &gt;= 40, "High", I1681&gt;=20, "Medium", I1681&lt;20, "Low")</f>
        <v>High</v>
      </c>
      <c r="T1681" s="1" t="str" cm="1">
        <f t="array" ref="T1681">_xlfn.IFS(O1681&lt;18200, "Low", O1681&lt;=50000, "Medium", O1681&gt;50000, "High")</f>
        <v>Low</v>
      </c>
    </row>
    <row r="1682" spans="1:20" x14ac:dyDescent="0.25">
      <c r="A1682" s="2">
        <v>2012</v>
      </c>
      <c r="B1682" s="1" t="s">
        <v>47</v>
      </c>
      <c r="C1682" s="1" t="s">
        <v>48</v>
      </c>
      <c r="D1682" s="1" t="s">
        <v>49</v>
      </c>
      <c r="E1682" s="1" t="s">
        <v>32</v>
      </c>
      <c r="F1682" s="1" t="s">
        <v>20</v>
      </c>
      <c r="G1682" s="1" t="s">
        <v>2485</v>
      </c>
      <c r="H1682" s="1" t="s">
        <v>22</v>
      </c>
      <c r="I1682" s="1">
        <v>3</v>
      </c>
      <c r="J1682" s="1">
        <v>14887</v>
      </c>
      <c r="K1682" s="1" t="s">
        <v>28</v>
      </c>
      <c r="L1682" s="1" t="s">
        <v>28</v>
      </c>
      <c r="M1682" s="1" t="s">
        <v>984</v>
      </c>
      <c r="N1682" s="1">
        <v>13700</v>
      </c>
      <c r="O1682" s="12">
        <v>11500</v>
      </c>
      <c r="P1682" s="3" t="s">
        <v>251</v>
      </c>
      <c r="Q1682" s="1" cm="1">
        <f t="array" ref="Q1682">VALUE(INDEX(_xlfn.TEXTSPLIT(P1682, " "), 4))</f>
        <v>2014</v>
      </c>
      <c r="R1682" s="1" t="str">
        <f t="shared" si="26"/>
        <v>Nissan Altima 2.5 S</v>
      </c>
      <c r="S1682" s="1" t="str" cm="1">
        <f t="array" ref="S1682">_xlfn.IFS(I1682 &gt;= 40, "High", I1682&gt;=20, "Medium", I1682&lt;20, "Low")</f>
        <v>Low</v>
      </c>
      <c r="T1682" s="1" t="str" cm="1">
        <f t="array" ref="T1682">_xlfn.IFS(O1682&lt;18200, "Low", O1682&lt;=50000, "Medium", O1682&gt;50000, "High")</f>
        <v>Low</v>
      </c>
    </row>
    <row r="1683" spans="1:20" x14ac:dyDescent="0.25">
      <c r="A1683" s="2">
        <v>2012</v>
      </c>
      <c r="B1683" s="1" t="s">
        <v>616</v>
      </c>
      <c r="C1683" s="1" t="s">
        <v>662</v>
      </c>
      <c r="D1683" s="1" t="s">
        <v>87</v>
      </c>
      <c r="E1683" s="1" t="s">
        <v>19</v>
      </c>
      <c r="F1683" s="1" t="s">
        <v>20</v>
      </c>
      <c r="G1683" s="1" t="s">
        <v>2486</v>
      </c>
      <c r="H1683" s="1" t="s">
        <v>22</v>
      </c>
      <c r="I1683" s="1">
        <v>39</v>
      </c>
      <c r="J1683" s="1">
        <v>28647</v>
      </c>
      <c r="K1683" s="1" t="s">
        <v>34</v>
      </c>
      <c r="L1683" s="1" t="s">
        <v>24</v>
      </c>
      <c r="M1683" s="1" t="s">
        <v>2487</v>
      </c>
      <c r="N1683" s="1">
        <v>11300</v>
      </c>
      <c r="O1683" s="12">
        <v>11200</v>
      </c>
      <c r="P1683" s="3" t="s">
        <v>26</v>
      </c>
      <c r="Q1683" s="1" cm="1">
        <f t="array" ref="Q1683">VALUE(INDEX(_xlfn.TEXTSPLIT(P1683, " "), 4))</f>
        <v>2014</v>
      </c>
      <c r="R1683" s="1" t="str">
        <f t="shared" si="26"/>
        <v>Mitsubishi Outlander Sport SE</v>
      </c>
      <c r="S1683" s="1" t="str" cm="1">
        <f t="array" ref="S1683">_xlfn.IFS(I1683 &gt;= 40, "High", I1683&gt;=20, "Medium", I1683&lt;20, "Low")</f>
        <v>Medium</v>
      </c>
      <c r="T1683" s="1" t="str" cm="1">
        <f t="array" ref="T1683">_xlfn.IFS(O1683&lt;18200, "Low", O1683&lt;=50000, "Medium", O1683&gt;50000, "High")</f>
        <v>Low</v>
      </c>
    </row>
    <row r="1684" spans="1:20" x14ac:dyDescent="0.25">
      <c r="A1684" s="2">
        <v>2012</v>
      </c>
      <c r="B1684" s="1" t="s">
        <v>47</v>
      </c>
      <c r="C1684" s="1" t="s">
        <v>48</v>
      </c>
      <c r="D1684" s="1" t="s">
        <v>49</v>
      </c>
      <c r="E1684" s="1" t="s">
        <v>32</v>
      </c>
      <c r="F1684" s="1" t="s">
        <v>20</v>
      </c>
      <c r="G1684" s="1" t="s">
        <v>2488</v>
      </c>
      <c r="H1684" s="1" t="s">
        <v>22</v>
      </c>
      <c r="I1684" s="1">
        <v>36</v>
      </c>
      <c r="J1684" s="1">
        <v>20526</v>
      </c>
      <c r="K1684" s="1" t="s">
        <v>23</v>
      </c>
      <c r="L1684" s="1" t="s">
        <v>34</v>
      </c>
      <c r="M1684" s="1" t="s">
        <v>217</v>
      </c>
      <c r="N1684" s="1">
        <v>13300</v>
      </c>
      <c r="O1684" s="12">
        <v>12500</v>
      </c>
      <c r="P1684" s="3" t="s">
        <v>26</v>
      </c>
      <c r="Q1684" s="1" cm="1">
        <f t="array" ref="Q1684">VALUE(INDEX(_xlfn.TEXTSPLIT(P1684, " "), 4))</f>
        <v>2014</v>
      </c>
      <c r="R1684" s="1" t="str">
        <f t="shared" si="26"/>
        <v>Nissan Altima 2.5 S</v>
      </c>
      <c r="S1684" s="1" t="str" cm="1">
        <f t="array" ref="S1684">_xlfn.IFS(I1684 &gt;= 40, "High", I1684&gt;=20, "Medium", I1684&lt;20, "Low")</f>
        <v>Medium</v>
      </c>
      <c r="T1684" s="1" t="str" cm="1">
        <f t="array" ref="T1684">_xlfn.IFS(O1684&lt;18200, "Low", O1684&lt;=50000, "Medium", O1684&gt;50000, "High")</f>
        <v>Low</v>
      </c>
    </row>
    <row r="1685" spans="1:20" x14ac:dyDescent="0.25">
      <c r="A1685" s="2">
        <v>2012</v>
      </c>
      <c r="B1685" s="1" t="s">
        <v>608</v>
      </c>
      <c r="C1685" s="1" t="s">
        <v>830</v>
      </c>
      <c r="D1685" s="1" t="s">
        <v>831</v>
      </c>
      <c r="E1685" s="1" t="s">
        <v>19</v>
      </c>
      <c r="F1685" s="1" t="s">
        <v>20</v>
      </c>
      <c r="G1685" s="1" t="s">
        <v>2489</v>
      </c>
      <c r="H1685" s="1" t="s">
        <v>22</v>
      </c>
      <c r="I1685" s="1">
        <v>34</v>
      </c>
      <c r="J1685" s="1">
        <v>59472</v>
      </c>
      <c r="K1685" s="1" t="s">
        <v>24</v>
      </c>
      <c r="L1685" s="1" t="s">
        <v>24</v>
      </c>
      <c r="M1685" s="1" t="s">
        <v>56</v>
      </c>
      <c r="N1685" s="1">
        <v>27500</v>
      </c>
      <c r="O1685" s="12">
        <v>28901</v>
      </c>
      <c r="P1685" s="3" t="s">
        <v>251</v>
      </c>
      <c r="Q1685" s="1" cm="1">
        <f t="array" ref="Q1685">VALUE(INDEX(_xlfn.TEXTSPLIT(P1685, " "), 4))</f>
        <v>2014</v>
      </c>
      <c r="R1685" s="1" t="str">
        <f t="shared" si="26"/>
        <v>Mercedes-Benz GL-Class GL450 4MATIC</v>
      </c>
      <c r="S1685" s="1" t="str" cm="1">
        <f t="array" ref="S1685">_xlfn.IFS(I1685 &gt;= 40, "High", I1685&gt;=20, "Medium", I1685&lt;20, "Low")</f>
        <v>Medium</v>
      </c>
      <c r="T1685" s="1" t="str" cm="1">
        <f t="array" ref="T1685">_xlfn.IFS(O1685&lt;18200, "Low", O1685&lt;=50000, "Medium", O1685&gt;50000, "High")</f>
        <v>Medium</v>
      </c>
    </row>
    <row r="1686" spans="1:20" x14ac:dyDescent="0.25">
      <c r="A1686" s="2">
        <v>2012</v>
      </c>
      <c r="B1686" s="1" t="s">
        <v>47</v>
      </c>
      <c r="C1686" s="1" t="s">
        <v>48</v>
      </c>
      <c r="D1686" s="1" t="s">
        <v>49</v>
      </c>
      <c r="E1686" s="1" t="s">
        <v>32</v>
      </c>
      <c r="F1686" s="1" t="s">
        <v>20</v>
      </c>
      <c r="G1686" s="1" t="s">
        <v>2490</v>
      </c>
      <c r="H1686" s="1" t="s">
        <v>22</v>
      </c>
      <c r="I1686" s="1">
        <v>37</v>
      </c>
      <c r="J1686" s="1">
        <v>25195</v>
      </c>
      <c r="K1686" s="1" t="s">
        <v>101</v>
      </c>
      <c r="L1686" s="1" t="s">
        <v>24</v>
      </c>
      <c r="M1686" s="1" t="s">
        <v>217</v>
      </c>
      <c r="N1686" s="1">
        <v>13000</v>
      </c>
      <c r="O1686" s="12">
        <v>12000</v>
      </c>
      <c r="P1686" s="3" t="s">
        <v>26</v>
      </c>
      <c r="Q1686" s="1" cm="1">
        <f t="array" ref="Q1686">VALUE(INDEX(_xlfn.TEXTSPLIT(P1686, " "), 4))</f>
        <v>2014</v>
      </c>
      <c r="R1686" s="1" t="str">
        <f t="shared" si="26"/>
        <v>Nissan Altima 2.5 S</v>
      </c>
      <c r="S1686" s="1" t="str" cm="1">
        <f t="array" ref="S1686">_xlfn.IFS(I1686 &gt;= 40, "High", I1686&gt;=20, "Medium", I1686&lt;20, "Low")</f>
        <v>Medium</v>
      </c>
      <c r="T1686" s="1" t="str" cm="1">
        <f t="array" ref="T1686">_xlfn.IFS(O1686&lt;18200, "Low", O1686&lt;=50000, "Medium", O1686&gt;50000, "High")</f>
        <v>Low</v>
      </c>
    </row>
    <row r="1687" spans="1:20" x14ac:dyDescent="0.25">
      <c r="A1687" s="2">
        <v>2012</v>
      </c>
      <c r="B1687" s="1" t="s">
        <v>616</v>
      </c>
      <c r="C1687" s="1" t="s">
        <v>617</v>
      </c>
      <c r="D1687" s="1" t="s">
        <v>87</v>
      </c>
      <c r="E1687" s="1" t="s">
        <v>19</v>
      </c>
      <c r="F1687" s="1" t="s">
        <v>20</v>
      </c>
      <c r="G1687" s="1" t="s">
        <v>2491</v>
      </c>
      <c r="H1687" s="1" t="s">
        <v>22</v>
      </c>
      <c r="I1687" s="1">
        <v>26</v>
      </c>
      <c r="J1687" s="1">
        <v>44491</v>
      </c>
      <c r="K1687" s="1" t="s">
        <v>94</v>
      </c>
      <c r="L1687" s="1" t="s">
        <v>24</v>
      </c>
      <c r="M1687" s="1" t="s">
        <v>109</v>
      </c>
      <c r="N1687" s="1">
        <v>12300</v>
      </c>
      <c r="O1687" s="12">
        <v>13000</v>
      </c>
      <c r="P1687" s="3" t="s">
        <v>68</v>
      </c>
      <c r="Q1687" s="1" cm="1">
        <f t="array" ref="Q1687">VALUE(INDEX(_xlfn.TEXTSPLIT(P1687, " "), 4))</f>
        <v>2014</v>
      </c>
      <c r="R1687" s="1" t="str">
        <f t="shared" si="26"/>
        <v>Mitsubishi Outlander SE</v>
      </c>
      <c r="S1687" s="1" t="str" cm="1">
        <f t="array" ref="S1687">_xlfn.IFS(I1687 &gt;= 40, "High", I1687&gt;=20, "Medium", I1687&lt;20, "Low")</f>
        <v>Medium</v>
      </c>
      <c r="T1687" s="1" t="str" cm="1">
        <f t="array" ref="T1687">_xlfn.IFS(O1687&lt;18200, "Low", O1687&lt;=50000, "Medium", O1687&gt;50000, "High")</f>
        <v>Low</v>
      </c>
    </row>
    <row r="1688" spans="1:20" x14ac:dyDescent="0.25">
      <c r="A1688" s="2">
        <v>2012</v>
      </c>
      <c r="B1688" s="1" t="s">
        <v>47</v>
      </c>
      <c r="C1688" s="1" t="s">
        <v>944</v>
      </c>
      <c r="D1688" s="1" t="s">
        <v>1062</v>
      </c>
      <c r="E1688" s="1" t="s">
        <v>19</v>
      </c>
      <c r="F1688" s="1" t="s">
        <v>20</v>
      </c>
      <c r="G1688" s="1" t="s">
        <v>2492</v>
      </c>
      <c r="H1688" s="1" t="s">
        <v>22</v>
      </c>
      <c r="I1688" s="1">
        <v>36</v>
      </c>
      <c r="J1688" s="1">
        <v>25635</v>
      </c>
      <c r="K1688" s="1" t="s">
        <v>34</v>
      </c>
      <c r="L1688" s="1" t="s">
        <v>24</v>
      </c>
      <c r="M1688" s="1" t="s">
        <v>217</v>
      </c>
      <c r="N1688" s="1">
        <v>16300</v>
      </c>
      <c r="O1688" s="12">
        <v>15250</v>
      </c>
      <c r="P1688" s="3" t="s">
        <v>26</v>
      </c>
      <c r="Q1688" s="1" cm="1">
        <f t="array" ref="Q1688">VALUE(INDEX(_xlfn.TEXTSPLIT(P1688, " "), 4))</f>
        <v>2014</v>
      </c>
      <c r="R1688" s="1" t="str">
        <f t="shared" si="26"/>
        <v>Nissan Rogue SV</v>
      </c>
      <c r="S1688" s="1" t="str" cm="1">
        <f t="array" ref="S1688">_xlfn.IFS(I1688 &gt;= 40, "High", I1688&gt;=20, "Medium", I1688&lt;20, "Low")</f>
        <v>Medium</v>
      </c>
      <c r="T1688" s="1" t="str" cm="1">
        <f t="array" ref="T1688">_xlfn.IFS(O1688&lt;18200, "Low", O1688&lt;=50000, "Medium", O1688&gt;50000, "High")</f>
        <v>Low</v>
      </c>
    </row>
    <row r="1689" spans="1:20" x14ac:dyDescent="0.25">
      <c r="A1689" s="2">
        <v>2012</v>
      </c>
      <c r="B1689" s="1" t="s">
        <v>47</v>
      </c>
      <c r="C1689" s="1" t="s">
        <v>48</v>
      </c>
      <c r="D1689" s="1" t="s">
        <v>49</v>
      </c>
      <c r="E1689" s="1" t="s">
        <v>32</v>
      </c>
      <c r="F1689" s="1" t="s">
        <v>20</v>
      </c>
      <c r="G1689" s="1" t="s">
        <v>2493</v>
      </c>
      <c r="H1689" s="1" t="s">
        <v>22</v>
      </c>
      <c r="I1689" s="1">
        <v>21</v>
      </c>
      <c r="J1689" s="1">
        <v>26220</v>
      </c>
      <c r="K1689" s="1" t="s">
        <v>23</v>
      </c>
      <c r="L1689" s="1" t="s">
        <v>82</v>
      </c>
      <c r="M1689" s="1" t="s">
        <v>217</v>
      </c>
      <c r="N1689" s="1">
        <v>12950</v>
      </c>
      <c r="O1689" s="12">
        <v>10750</v>
      </c>
      <c r="P1689" s="3" t="s">
        <v>26</v>
      </c>
      <c r="Q1689" s="1" cm="1">
        <f t="array" ref="Q1689">VALUE(INDEX(_xlfn.TEXTSPLIT(P1689, " "), 4))</f>
        <v>2014</v>
      </c>
      <c r="R1689" s="1" t="str">
        <f t="shared" si="26"/>
        <v>Nissan Altima 2.5 S</v>
      </c>
      <c r="S1689" s="1" t="str" cm="1">
        <f t="array" ref="S1689">_xlfn.IFS(I1689 &gt;= 40, "High", I1689&gt;=20, "Medium", I1689&lt;20, "Low")</f>
        <v>Medium</v>
      </c>
      <c r="T1689" s="1" t="str" cm="1">
        <f t="array" ref="T1689">_xlfn.IFS(O1689&lt;18200, "Low", O1689&lt;=50000, "Medium", O1689&gt;50000, "High")</f>
        <v>Low</v>
      </c>
    </row>
    <row r="1690" spans="1:20" x14ac:dyDescent="0.25">
      <c r="A1690" s="2">
        <v>2012</v>
      </c>
      <c r="B1690" s="1" t="s">
        <v>47</v>
      </c>
      <c r="C1690" s="1" t="s">
        <v>48</v>
      </c>
      <c r="D1690" s="1" t="s">
        <v>49</v>
      </c>
      <c r="E1690" s="1" t="s">
        <v>32</v>
      </c>
      <c r="F1690" s="1" t="s">
        <v>20</v>
      </c>
      <c r="G1690" s="1" t="s">
        <v>2494</v>
      </c>
      <c r="H1690" s="1" t="s">
        <v>22</v>
      </c>
      <c r="I1690" s="1">
        <v>35</v>
      </c>
      <c r="J1690" s="1">
        <v>11951</v>
      </c>
      <c r="K1690" s="1" t="s">
        <v>23</v>
      </c>
      <c r="L1690" s="1" t="s">
        <v>24</v>
      </c>
      <c r="M1690" s="1" t="s">
        <v>217</v>
      </c>
      <c r="N1690" s="1">
        <v>13900</v>
      </c>
      <c r="O1690" s="12">
        <v>13700</v>
      </c>
      <c r="P1690" s="3" t="s">
        <v>57</v>
      </c>
      <c r="Q1690" s="1" cm="1">
        <f t="array" ref="Q1690">VALUE(INDEX(_xlfn.TEXTSPLIT(P1690, " "), 4))</f>
        <v>2014</v>
      </c>
      <c r="R1690" s="1" t="str">
        <f t="shared" si="26"/>
        <v>Nissan Altima 2.5 S</v>
      </c>
      <c r="S1690" s="1" t="str" cm="1">
        <f t="array" ref="S1690">_xlfn.IFS(I1690 &gt;= 40, "High", I1690&gt;=20, "Medium", I1690&lt;20, "Low")</f>
        <v>Medium</v>
      </c>
      <c r="T1690" s="1" t="str" cm="1">
        <f t="array" ref="T1690">_xlfn.IFS(O1690&lt;18200, "Low", O1690&lt;=50000, "Medium", O1690&gt;50000, "High")</f>
        <v>Low</v>
      </c>
    </row>
    <row r="1691" spans="1:20" x14ac:dyDescent="0.25">
      <c r="A1691" s="2">
        <v>2012</v>
      </c>
      <c r="B1691" s="1" t="s">
        <v>978</v>
      </c>
      <c r="C1691" s="1" t="s">
        <v>1186</v>
      </c>
      <c r="D1691" s="1" t="s">
        <v>2368</v>
      </c>
      <c r="E1691" s="1" t="s">
        <v>32</v>
      </c>
      <c r="F1691" s="1" t="s">
        <v>214</v>
      </c>
      <c r="G1691" s="1" t="s">
        <v>2495</v>
      </c>
      <c r="H1691" s="1" t="s">
        <v>22</v>
      </c>
      <c r="I1691" s="1">
        <v>27</v>
      </c>
      <c r="J1691" s="1">
        <v>36323</v>
      </c>
      <c r="K1691" s="1" t="s">
        <v>94</v>
      </c>
      <c r="L1691" s="1" t="s">
        <v>24</v>
      </c>
      <c r="M1691" s="1" t="s">
        <v>2496</v>
      </c>
      <c r="N1691" s="1">
        <v>18550</v>
      </c>
      <c r="O1691" s="12">
        <v>20800</v>
      </c>
      <c r="P1691" s="3" t="s">
        <v>26</v>
      </c>
      <c r="Q1691" s="1" cm="1">
        <f t="array" ref="Q1691">VALUE(INDEX(_xlfn.TEXTSPLIT(P1691, " "), 4))</f>
        <v>2014</v>
      </c>
      <c r="R1691" s="1" t="str">
        <f t="shared" si="26"/>
        <v>Subaru Impreza WRX</v>
      </c>
      <c r="S1691" s="1" t="str" cm="1">
        <f t="array" ref="S1691">_xlfn.IFS(I1691 &gt;= 40, "High", I1691&gt;=20, "Medium", I1691&lt;20, "Low")</f>
        <v>Medium</v>
      </c>
      <c r="T1691" s="1" t="str" cm="1">
        <f t="array" ref="T1691">_xlfn.IFS(O1691&lt;18200, "Low", O1691&lt;=50000, "Medium", O1691&gt;50000, "High")</f>
        <v>Medium</v>
      </c>
    </row>
    <row r="1692" spans="1:20" x14ac:dyDescent="0.25">
      <c r="A1692" s="2">
        <v>2012</v>
      </c>
      <c r="B1692" s="1" t="s">
        <v>47</v>
      </c>
      <c r="C1692" s="1" t="s">
        <v>959</v>
      </c>
      <c r="D1692" s="1" t="s">
        <v>960</v>
      </c>
      <c r="E1692" s="1" t="s">
        <v>227</v>
      </c>
      <c r="F1692" s="1" t="s">
        <v>20</v>
      </c>
      <c r="G1692" s="1" t="s">
        <v>2497</v>
      </c>
      <c r="H1692" s="1" t="s">
        <v>22</v>
      </c>
      <c r="I1692" s="1">
        <v>45</v>
      </c>
      <c r="J1692" s="1">
        <v>38247</v>
      </c>
      <c r="K1692" s="1" t="s">
        <v>91</v>
      </c>
      <c r="L1692" s="1" t="s">
        <v>34</v>
      </c>
      <c r="M1692" s="1" t="s">
        <v>2498</v>
      </c>
      <c r="N1692" s="1">
        <v>10750</v>
      </c>
      <c r="O1692" s="12">
        <v>9000</v>
      </c>
      <c r="P1692" s="3" t="s">
        <v>783</v>
      </c>
      <c r="Q1692" s="1" cm="1">
        <f t="array" ref="Q1692">VALUE(INDEX(_xlfn.TEXTSPLIT(P1692, " "), 4))</f>
        <v>2015</v>
      </c>
      <c r="R1692" s="1" t="str">
        <f t="shared" si="26"/>
        <v>Nissan Leaf SL</v>
      </c>
      <c r="S1692" s="1" t="str" cm="1">
        <f t="array" ref="S1692">_xlfn.IFS(I1692 &gt;= 40, "High", I1692&gt;=20, "Medium", I1692&lt;20, "Low")</f>
        <v>High</v>
      </c>
      <c r="T1692" s="1" t="str" cm="1">
        <f t="array" ref="T1692">_xlfn.IFS(O1692&lt;18200, "Low", O1692&lt;=50000, "Medium", O1692&gt;50000, "High")</f>
        <v>Low</v>
      </c>
    </row>
    <row r="1693" spans="1:20" x14ac:dyDescent="0.25">
      <c r="A1693" s="2">
        <v>2012</v>
      </c>
      <c r="B1693" s="1" t="s">
        <v>47</v>
      </c>
      <c r="C1693" s="1" t="s">
        <v>959</v>
      </c>
      <c r="D1693" s="1" t="s">
        <v>960</v>
      </c>
      <c r="E1693" s="1" t="s">
        <v>227</v>
      </c>
      <c r="F1693" s="1" t="s">
        <v>20</v>
      </c>
      <c r="G1693" s="1" t="s">
        <v>2499</v>
      </c>
      <c r="H1693" s="1" t="s">
        <v>22</v>
      </c>
      <c r="I1693" s="1">
        <v>48</v>
      </c>
      <c r="J1693" s="1">
        <v>26920</v>
      </c>
      <c r="K1693" s="1" t="s">
        <v>24</v>
      </c>
      <c r="L1693" s="1" t="s">
        <v>28</v>
      </c>
      <c r="M1693" s="1" t="s">
        <v>217</v>
      </c>
      <c r="N1693" s="1">
        <v>11050</v>
      </c>
      <c r="O1693" s="12">
        <v>12000</v>
      </c>
      <c r="P1693" s="3" t="s">
        <v>251</v>
      </c>
      <c r="Q1693" s="1" cm="1">
        <f t="array" ref="Q1693">VALUE(INDEX(_xlfn.TEXTSPLIT(P1693, " "), 4))</f>
        <v>2014</v>
      </c>
      <c r="R1693" s="1" t="str">
        <f t="shared" si="26"/>
        <v>Nissan Leaf SL</v>
      </c>
      <c r="S1693" s="1" t="str" cm="1">
        <f t="array" ref="S1693">_xlfn.IFS(I1693 &gt;= 40, "High", I1693&gt;=20, "Medium", I1693&lt;20, "Low")</f>
        <v>High</v>
      </c>
      <c r="T1693" s="1" t="str" cm="1">
        <f t="array" ref="T1693">_xlfn.IFS(O1693&lt;18200, "Low", O1693&lt;=50000, "Medium", O1693&gt;50000, "High")</f>
        <v>Low</v>
      </c>
    </row>
    <row r="1694" spans="1:20" x14ac:dyDescent="0.25">
      <c r="A1694" s="2">
        <v>2012</v>
      </c>
      <c r="B1694" s="1" t="s">
        <v>47</v>
      </c>
      <c r="C1694" s="1" t="s">
        <v>48</v>
      </c>
      <c r="D1694" s="1" t="s">
        <v>49</v>
      </c>
      <c r="E1694" s="1" t="s">
        <v>32</v>
      </c>
      <c r="F1694" s="1" t="s">
        <v>20</v>
      </c>
      <c r="G1694" s="1" t="s">
        <v>2500</v>
      </c>
      <c r="H1694" s="1" t="s">
        <v>22</v>
      </c>
      <c r="I1694" s="1">
        <v>34</v>
      </c>
      <c r="J1694" s="1">
        <v>66364</v>
      </c>
      <c r="K1694" s="1" t="s">
        <v>24</v>
      </c>
      <c r="L1694" s="1" t="s">
        <v>24</v>
      </c>
      <c r="M1694" s="1" t="s">
        <v>56</v>
      </c>
      <c r="N1694" s="1">
        <v>9675</v>
      </c>
      <c r="O1694" s="12">
        <v>10500</v>
      </c>
      <c r="P1694" s="3" t="s">
        <v>26</v>
      </c>
      <c r="Q1694" s="1" cm="1">
        <f t="array" ref="Q1694">VALUE(INDEX(_xlfn.TEXTSPLIT(P1694, " "), 4))</f>
        <v>2014</v>
      </c>
      <c r="R1694" s="1" t="str">
        <f t="shared" si="26"/>
        <v>Nissan Altima 2.5 S</v>
      </c>
      <c r="S1694" s="1" t="str" cm="1">
        <f t="array" ref="S1694">_xlfn.IFS(I1694 &gt;= 40, "High", I1694&gt;=20, "Medium", I1694&lt;20, "Low")</f>
        <v>Medium</v>
      </c>
      <c r="T1694" s="1" t="str" cm="1">
        <f t="array" ref="T1694">_xlfn.IFS(O1694&lt;18200, "Low", O1694&lt;=50000, "Medium", O1694&gt;50000, "High")</f>
        <v>Low</v>
      </c>
    </row>
    <row r="1695" spans="1:20" x14ac:dyDescent="0.25">
      <c r="A1695" s="2">
        <v>2012</v>
      </c>
      <c r="B1695" s="1" t="s">
        <v>47</v>
      </c>
      <c r="C1695" s="1" t="s">
        <v>48</v>
      </c>
      <c r="D1695" s="1" t="s">
        <v>49</v>
      </c>
      <c r="E1695" s="1" t="s">
        <v>32</v>
      </c>
      <c r="F1695" s="1" t="s">
        <v>20</v>
      </c>
      <c r="G1695" s="1" t="s">
        <v>2501</v>
      </c>
      <c r="H1695" s="1" t="s">
        <v>22</v>
      </c>
      <c r="I1695" s="1">
        <v>37</v>
      </c>
      <c r="J1695" s="1">
        <v>36688</v>
      </c>
      <c r="K1695" s="1" t="s">
        <v>101</v>
      </c>
      <c r="L1695" s="1" t="s">
        <v>34</v>
      </c>
      <c r="M1695" s="1" t="s">
        <v>217</v>
      </c>
      <c r="N1695" s="1">
        <v>12250</v>
      </c>
      <c r="O1695" s="12">
        <v>12400</v>
      </c>
      <c r="P1695" s="3" t="s">
        <v>57</v>
      </c>
      <c r="Q1695" s="1" cm="1">
        <f t="array" ref="Q1695">VALUE(INDEX(_xlfn.TEXTSPLIT(P1695, " "), 4))</f>
        <v>2014</v>
      </c>
      <c r="R1695" s="1" t="str">
        <f t="shared" si="26"/>
        <v>Nissan Altima 2.5 S</v>
      </c>
      <c r="S1695" s="1" t="str" cm="1">
        <f t="array" ref="S1695">_xlfn.IFS(I1695 &gt;= 40, "High", I1695&gt;=20, "Medium", I1695&lt;20, "Low")</f>
        <v>Medium</v>
      </c>
      <c r="T1695" s="1" t="str" cm="1">
        <f t="array" ref="T1695">_xlfn.IFS(O1695&lt;18200, "Low", O1695&lt;=50000, "Medium", O1695&gt;50000, "High")</f>
        <v>Low</v>
      </c>
    </row>
    <row r="1696" spans="1:20" x14ac:dyDescent="0.25">
      <c r="A1696" s="2">
        <v>2012</v>
      </c>
      <c r="B1696" s="1" t="s">
        <v>47</v>
      </c>
      <c r="C1696" s="1" t="s">
        <v>940</v>
      </c>
      <c r="D1696" s="1">
        <v>2</v>
      </c>
      <c r="E1696" s="1" t="s">
        <v>32</v>
      </c>
      <c r="F1696" s="1" t="s">
        <v>20</v>
      </c>
      <c r="G1696" s="1" t="s">
        <v>2502</v>
      </c>
      <c r="H1696" s="1" t="s">
        <v>22</v>
      </c>
      <c r="I1696" s="1">
        <v>35</v>
      </c>
      <c r="J1696" s="1">
        <v>34155</v>
      </c>
      <c r="K1696" s="1" t="s">
        <v>24</v>
      </c>
      <c r="L1696" s="1" t="s">
        <v>34</v>
      </c>
      <c r="M1696" s="1" t="s">
        <v>109</v>
      </c>
      <c r="N1696" s="1">
        <v>9300</v>
      </c>
      <c r="O1696" s="12">
        <v>10400</v>
      </c>
      <c r="P1696" s="3" t="s">
        <v>68</v>
      </c>
      <c r="Q1696" s="1" cm="1">
        <f t="array" ref="Q1696">VALUE(INDEX(_xlfn.TEXTSPLIT(P1696, " "), 4))</f>
        <v>2014</v>
      </c>
      <c r="R1696" s="1" t="str">
        <f t="shared" si="26"/>
        <v>Nissan Sentra 2</v>
      </c>
      <c r="S1696" s="1" t="str" cm="1">
        <f t="array" ref="S1696">_xlfn.IFS(I1696 &gt;= 40, "High", I1696&gt;=20, "Medium", I1696&lt;20, "Low")</f>
        <v>Medium</v>
      </c>
      <c r="T1696" s="1" t="str" cm="1">
        <f t="array" ref="T1696">_xlfn.IFS(O1696&lt;18200, "Low", O1696&lt;=50000, "Medium", O1696&gt;50000, "High")</f>
        <v>Low</v>
      </c>
    </row>
    <row r="1697" spans="1:20" x14ac:dyDescent="0.25">
      <c r="A1697" s="2">
        <v>2012</v>
      </c>
      <c r="B1697" s="1" t="s">
        <v>47</v>
      </c>
      <c r="C1697" s="1" t="s">
        <v>959</v>
      </c>
      <c r="D1697" s="1" t="s">
        <v>960</v>
      </c>
      <c r="E1697" s="1" t="s">
        <v>227</v>
      </c>
      <c r="F1697" s="1" t="s">
        <v>20</v>
      </c>
      <c r="G1697" s="1" t="s">
        <v>2503</v>
      </c>
      <c r="H1697" s="1" t="s">
        <v>22</v>
      </c>
      <c r="I1697" s="1">
        <v>34</v>
      </c>
      <c r="J1697" s="1">
        <v>19395</v>
      </c>
      <c r="K1697" s="1" t="s">
        <v>24</v>
      </c>
      <c r="L1697" s="1" t="s">
        <v>28</v>
      </c>
      <c r="M1697" s="1" t="s">
        <v>217</v>
      </c>
      <c r="N1697" s="1">
        <v>11650</v>
      </c>
      <c r="O1697" s="12">
        <v>11000</v>
      </c>
      <c r="P1697" s="3" t="s">
        <v>1717</v>
      </c>
      <c r="Q1697" s="1" cm="1">
        <f t="array" ref="Q1697">VALUE(INDEX(_xlfn.TEXTSPLIT(P1697, " "), 4))</f>
        <v>2015</v>
      </c>
      <c r="R1697" s="1" t="str">
        <f t="shared" si="26"/>
        <v>Nissan Leaf SL</v>
      </c>
      <c r="S1697" s="1" t="str" cm="1">
        <f t="array" ref="S1697">_xlfn.IFS(I1697 &gt;= 40, "High", I1697&gt;=20, "Medium", I1697&lt;20, "Low")</f>
        <v>Medium</v>
      </c>
      <c r="T1697" s="1" t="str" cm="1">
        <f t="array" ref="T1697">_xlfn.IFS(O1697&lt;18200, "Low", O1697&lt;=50000, "Medium", O1697&gt;50000, "High")</f>
        <v>Low</v>
      </c>
    </row>
    <row r="1698" spans="1:20" x14ac:dyDescent="0.25">
      <c r="A1698" s="2">
        <v>2012</v>
      </c>
      <c r="B1698" s="1" t="s">
        <v>47</v>
      </c>
      <c r="C1698" s="1" t="s">
        <v>212</v>
      </c>
      <c r="D1698" s="1" t="s">
        <v>2336</v>
      </c>
      <c r="E1698" s="1" t="s">
        <v>227</v>
      </c>
      <c r="F1698" s="1" t="s">
        <v>20</v>
      </c>
      <c r="G1698" s="1" t="s">
        <v>2504</v>
      </c>
      <c r="H1698" s="1" t="s">
        <v>22</v>
      </c>
      <c r="I1698" s="1">
        <v>29</v>
      </c>
      <c r="J1698" s="1">
        <v>33641</v>
      </c>
      <c r="K1698" s="1" t="s">
        <v>73</v>
      </c>
      <c r="L1698" s="1" t="s">
        <v>24</v>
      </c>
      <c r="M1698" s="1" t="s">
        <v>946</v>
      </c>
      <c r="N1698" s="1">
        <v>8650</v>
      </c>
      <c r="O1698" s="12">
        <v>9600</v>
      </c>
      <c r="P1698" s="3" t="s">
        <v>68</v>
      </c>
      <c r="Q1698" s="1" cm="1">
        <f t="array" ref="Q1698">VALUE(INDEX(_xlfn.TEXTSPLIT(P1698, " "), 4))</f>
        <v>2014</v>
      </c>
      <c r="R1698" s="1" t="str">
        <f t="shared" si="26"/>
        <v>Nissan Versa 1.8 S</v>
      </c>
      <c r="S1698" s="1" t="str" cm="1">
        <f t="array" ref="S1698">_xlfn.IFS(I1698 &gt;= 40, "High", I1698&gt;=20, "Medium", I1698&lt;20, "Low")</f>
        <v>Medium</v>
      </c>
      <c r="T1698" s="1" t="str" cm="1">
        <f t="array" ref="T1698">_xlfn.IFS(O1698&lt;18200, "Low", O1698&lt;=50000, "Medium", O1698&gt;50000, "High")</f>
        <v>Low</v>
      </c>
    </row>
    <row r="1699" spans="1:20" x14ac:dyDescent="0.25">
      <c r="A1699" s="2">
        <v>2012</v>
      </c>
      <c r="B1699" s="1" t="s">
        <v>47</v>
      </c>
      <c r="C1699" s="1" t="s">
        <v>944</v>
      </c>
      <c r="D1699" s="1" t="s">
        <v>936</v>
      </c>
      <c r="E1699" s="1" t="s">
        <v>19</v>
      </c>
      <c r="F1699" s="1" t="s">
        <v>20</v>
      </c>
      <c r="G1699" s="1" t="s">
        <v>2505</v>
      </c>
      <c r="H1699" s="1" t="s">
        <v>22</v>
      </c>
      <c r="I1699" s="1">
        <v>29</v>
      </c>
      <c r="J1699" s="1">
        <v>41350</v>
      </c>
      <c r="K1699" s="1" t="s">
        <v>73</v>
      </c>
      <c r="L1699" s="1" t="s">
        <v>24</v>
      </c>
      <c r="M1699" s="1" t="s">
        <v>946</v>
      </c>
      <c r="N1699" s="1">
        <v>13000</v>
      </c>
      <c r="O1699" s="12">
        <v>14000</v>
      </c>
      <c r="P1699" s="3" t="s">
        <v>68</v>
      </c>
      <c r="Q1699" s="1" cm="1">
        <f t="array" ref="Q1699">VALUE(INDEX(_xlfn.TEXTSPLIT(P1699, " "), 4))</f>
        <v>2014</v>
      </c>
      <c r="R1699" s="1" t="str">
        <f t="shared" si="26"/>
        <v>Nissan Rogue S</v>
      </c>
      <c r="S1699" s="1" t="str" cm="1">
        <f t="array" ref="S1699">_xlfn.IFS(I1699 &gt;= 40, "High", I1699&gt;=20, "Medium", I1699&lt;20, "Low")</f>
        <v>Medium</v>
      </c>
      <c r="T1699" s="1" t="str" cm="1">
        <f t="array" ref="T1699">_xlfn.IFS(O1699&lt;18200, "Low", O1699&lt;=50000, "Medium", O1699&gt;50000, "High")</f>
        <v>Low</v>
      </c>
    </row>
    <row r="1700" spans="1:20" x14ac:dyDescent="0.25">
      <c r="A1700" s="2">
        <v>2012</v>
      </c>
      <c r="B1700" s="1" t="s">
        <v>47</v>
      </c>
      <c r="C1700" s="1" t="s">
        <v>48</v>
      </c>
      <c r="D1700" s="1" t="s">
        <v>49</v>
      </c>
      <c r="E1700" s="1" t="s">
        <v>32</v>
      </c>
      <c r="F1700" s="1" t="s">
        <v>20</v>
      </c>
      <c r="G1700" s="1" t="s">
        <v>2506</v>
      </c>
      <c r="H1700" s="1" t="s">
        <v>22</v>
      </c>
      <c r="I1700" s="1">
        <v>43</v>
      </c>
      <c r="J1700" s="1">
        <v>18891</v>
      </c>
      <c r="K1700" s="1" t="s">
        <v>34</v>
      </c>
      <c r="L1700" s="1" t="s">
        <v>24</v>
      </c>
      <c r="M1700" s="1" t="s">
        <v>217</v>
      </c>
      <c r="N1700" s="1">
        <v>13400</v>
      </c>
      <c r="O1700" s="12">
        <v>15500</v>
      </c>
      <c r="P1700" s="3" t="s">
        <v>26</v>
      </c>
      <c r="Q1700" s="1" cm="1">
        <f t="array" ref="Q1700">VALUE(INDEX(_xlfn.TEXTSPLIT(P1700, " "), 4))</f>
        <v>2014</v>
      </c>
      <c r="R1700" s="1" t="str">
        <f t="shared" si="26"/>
        <v>Nissan Altima 2.5 S</v>
      </c>
      <c r="S1700" s="1" t="str" cm="1">
        <f t="array" ref="S1700">_xlfn.IFS(I1700 &gt;= 40, "High", I1700&gt;=20, "Medium", I1700&lt;20, "Low")</f>
        <v>High</v>
      </c>
      <c r="T1700" s="1" t="str" cm="1">
        <f t="array" ref="T1700">_xlfn.IFS(O1700&lt;18200, "Low", O1700&lt;=50000, "Medium", O1700&gt;50000, "High")</f>
        <v>Low</v>
      </c>
    </row>
    <row r="1701" spans="1:20" x14ac:dyDescent="0.25">
      <c r="A1701" s="2">
        <v>2012</v>
      </c>
      <c r="B1701" s="1" t="s">
        <v>47</v>
      </c>
      <c r="C1701" s="1" t="s">
        <v>48</v>
      </c>
      <c r="D1701" s="1" t="s">
        <v>49</v>
      </c>
      <c r="E1701" s="1" t="s">
        <v>32</v>
      </c>
      <c r="F1701" s="1" t="s">
        <v>20</v>
      </c>
      <c r="G1701" s="1" t="s">
        <v>2507</v>
      </c>
      <c r="H1701" s="1" t="s">
        <v>22</v>
      </c>
      <c r="I1701" s="1">
        <v>32</v>
      </c>
      <c r="J1701" s="1">
        <v>40401</v>
      </c>
      <c r="K1701" s="1" t="s">
        <v>23</v>
      </c>
      <c r="L1701" s="1" t="s">
        <v>24</v>
      </c>
      <c r="M1701" s="1" t="s">
        <v>217</v>
      </c>
      <c r="N1701" s="1">
        <v>12000</v>
      </c>
      <c r="O1701" s="12">
        <v>12200</v>
      </c>
      <c r="P1701" s="3" t="s">
        <v>57</v>
      </c>
      <c r="Q1701" s="1" cm="1">
        <f t="array" ref="Q1701">VALUE(INDEX(_xlfn.TEXTSPLIT(P1701, " "), 4))</f>
        <v>2014</v>
      </c>
      <c r="R1701" s="1" t="str">
        <f t="shared" si="26"/>
        <v>Nissan Altima 2.5 S</v>
      </c>
      <c r="S1701" s="1" t="str" cm="1">
        <f t="array" ref="S1701">_xlfn.IFS(I1701 &gt;= 40, "High", I1701&gt;=20, "Medium", I1701&lt;20, "Low")</f>
        <v>Medium</v>
      </c>
      <c r="T1701" s="1" t="str" cm="1">
        <f t="array" ref="T1701">_xlfn.IFS(O1701&lt;18200, "Low", O1701&lt;=50000, "Medium", O1701&gt;50000, "High")</f>
        <v>Low</v>
      </c>
    </row>
    <row r="1702" spans="1:20" x14ac:dyDescent="0.25">
      <c r="A1702" s="2">
        <v>2012</v>
      </c>
      <c r="B1702" s="1" t="s">
        <v>978</v>
      </c>
      <c r="C1702" s="1" t="s">
        <v>1115</v>
      </c>
      <c r="D1702" s="1" t="s">
        <v>2508</v>
      </c>
      <c r="E1702" s="1" t="s">
        <v>32</v>
      </c>
      <c r="F1702" s="1" t="s">
        <v>20</v>
      </c>
      <c r="G1702" s="1" t="s">
        <v>2509</v>
      </c>
      <c r="H1702" s="1" t="s">
        <v>22</v>
      </c>
      <c r="I1702" s="1">
        <v>29</v>
      </c>
      <c r="J1702" s="1">
        <v>69460</v>
      </c>
      <c r="K1702" s="1" t="s">
        <v>34</v>
      </c>
      <c r="L1702" s="1" t="s">
        <v>24</v>
      </c>
      <c r="M1702" s="1" t="s">
        <v>1089</v>
      </c>
      <c r="N1702" s="1">
        <v>12050</v>
      </c>
      <c r="O1702" s="12">
        <v>12500</v>
      </c>
      <c r="P1702" s="3" t="s">
        <v>84</v>
      </c>
      <c r="Q1702" s="1" cm="1">
        <f t="array" ref="Q1702">VALUE(INDEX(_xlfn.TEXTSPLIT(P1702, " "), 4))</f>
        <v>2014</v>
      </c>
      <c r="R1702" s="1" t="str">
        <f t="shared" si="26"/>
        <v>Subaru Legacy 2.5i Premium</v>
      </c>
      <c r="S1702" s="1" t="str" cm="1">
        <f t="array" ref="S1702">_xlfn.IFS(I1702 &gt;= 40, "High", I1702&gt;=20, "Medium", I1702&lt;20, "Low")</f>
        <v>Medium</v>
      </c>
      <c r="T1702" s="1" t="str" cm="1">
        <f t="array" ref="T1702">_xlfn.IFS(O1702&lt;18200, "Low", O1702&lt;=50000, "Medium", O1702&gt;50000, "High")</f>
        <v>Low</v>
      </c>
    </row>
    <row r="1703" spans="1:20" x14ac:dyDescent="0.25">
      <c r="A1703" s="2">
        <v>2012</v>
      </c>
      <c r="B1703" s="1" t="s">
        <v>608</v>
      </c>
      <c r="C1703" s="1" t="s">
        <v>830</v>
      </c>
      <c r="D1703" s="1" t="s">
        <v>831</v>
      </c>
      <c r="E1703" s="1" t="s">
        <v>19</v>
      </c>
      <c r="F1703" s="1" t="s">
        <v>20</v>
      </c>
      <c r="G1703" s="1" t="s">
        <v>2510</v>
      </c>
      <c r="H1703" s="1" t="s">
        <v>22</v>
      </c>
      <c r="I1703" s="1">
        <v>45</v>
      </c>
      <c r="J1703" s="1">
        <v>68895</v>
      </c>
      <c r="K1703" s="1" t="s">
        <v>91</v>
      </c>
      <c r="L1703" s="1" t="s">
        <v>34</v>
      </c>
      <c r="M1703" s="1" t="s">
        <v>56</v>
      </c>
      <c r="N1703" s="1">
        <v>24600</v>
      </c>
      <c r="O1703" s="12">
        <v>25000</v>
      </c>
      <c r="P1703" s="3" t="s">
        <v>57</v>
      </c>
      <c r="Q1703" s="1" cm="1">
        <f t="array" ref="Q1703">VALUE(INDEX(_xlfn.TEXTSPLIT(P1703, " "), 4))</f>
        <v>2014</v>
      </c>
      <c r="R1703" s="1" t="str">
        <f t="shared" si="26"/>
        <v>Mercedes-Benz GL-Class GL450 4MATIC</v>
      </c>
      <c r="S1703" s="1" t="str" cm="1">
        <f t="array" ref="S1703">_xlfn.IFS(I1703 &gt;= 40, "High", I1703&gt;=20, "Medium", I1703&lt;20, "Low")</f>
        <v>High</v>
      </c>
      <c r="T1703" s="1" t="str" cm="1">
        <f t="array" ref="T1703">_xlfn.IFS(O1703&lt;18200, "Low", O1703&lt;=50000, "Medium", O1703&gt;50000, "High")</f>
        <v>Medium</v>
      </c>
    </row>
    <row r="1704" spans="1:20" x14ac:dyDescent="0.25">
      <c r="A1704" s="2">
        <v>2012</v>
      </c>
      <c r="B1704" s="1" t="s">
        <v>616</v>
      </c>
      <c r="C1704" s="1" t="s">
        <v>617</v>
      </c>
      <c r="D1704" s="1" t="s">
        <v>87</v>
      </c>
      <c r="E1704" s="1" t="s">
        <v>19</v>
      </c>
      <c r="F1704" s="1" t="s">
        <v>20</v>
      </c>
      <c r="G1704" s="1" t="s">
        <v>2511</v>
      </c>
      <c r="H1704" s="1" t="s">
        <v>22</v>
      </c>
      <c r="I1704" s="1">
        <v>42</v>
      </c>
      <c r="J1704" s="1">
        <v>37816</v>
      </c>
      <c r="K1704" s="1" t="s">
        <v>24</v>
      </c>
      <c r="L1704" s="1" t="s">
        <v>24</v>
      </c>
      <c r="M1704" s="1" t="s">
        <v>555</v>
      </c>
      <c r="N1704" s="1">
        <v>12150</v>
      </c>
      <c r="O1704" s="12">
        <v>12600</v>
      </c>
      <c r="P1704" s="3" t="s">
        <v>68</v>
      </c>
      <c r="Q1704" s="1" cm="1">
        <f t="array" ref="Q1704">VALUE(INDEX(_xlfn.TEXTSPLIT(P1704, " "), 4))</f>
        <v>2014</v>
      </c>
      <c r="R1704" s="1" t="str">
        <f t="shared" si="26"/>
        <v>Mitsubishi Outlander SE</v>
      </c>
      <c r="S1704" s="1" t="str" cm="1">
        <f t="array" ref="S1704">_xlfn.IFS(I1704 &gt;= 40, "High", I1704&gt;=20, "Medium", I1704&lt;20, "Low")</f>
        <v>High</v>
      </c>
      <c r="T1704" s="1" t="str" cm="1">
        <f t="array" ref="T1704">_xlfn.IFS(O1704&lt;18200, "Low", O1704&lt;=50000, "Medium", O1704&gt;50000, "High")</f>
        <v>Low</v>
      </c>
    </row>
    <row r="1705" spans="1:20" x14ac:dyDescent="0.25">
      <c r="A1705" s="2">
        <v>2012</v>
      </c>
      <c r="B1705" s="1" t="s">
        <v>47</v>
      </c>
      <c r="C1705" s="1" t="s">
        <v>944</v>
      </c>
      <c r="D1705" s="1" t="s">
        <v>936</v>
      </c>
      <c r="E1705" s="1" t="s">
        <v>19</v>
      </c>
      <c r="F1705" s="1" t="s">
        <v>20</v>
      </c>
      <c r="G1705" s="1" t="s">
        <v>2512</v>
      </c>
      <c r="H1705" s="1" t="s">
        <v>22</v>
      </c>
      <c r="I1705" s="1">
        <v>26</v>
      </c>
      <c r="J1705" s="1">
        <v>56424</v>
      </c>
      <c r="K1705" s="1" t="s">
        <v>91</v>
      </c>
      <c r="L1705" s="1" t="s">
        <v>24</v>
      </c>
      <c r="M1705" s="1" t="s">
        <v>984</v>
      </c>
      <c r="N1705" s="1">
        <v>15200</v>
      </c>
      <c r="O1705" s="12">
        <v>12250</v>
      </c>
      <c r="P1705" s="3" t="s">
        <v>26</v>
      </c>
      <c r="Q1705" s="1" cm="1">
        <f t="array" ref="Q1705">VALUE(INDEX(_xlfn.TEXTSPLIT(P1705, " "), 4))</f>
        <v>2014</v>
      </c>
      <c r="R1705" s="1" t="str">
        <f t="shared" si="26"/>
        <v>Nissan Rogue S</v>
      </c>
      <c r="S1705" s="1" t="str" cm="1">
        <f t="array" ref="S1705">_xlfn.IFS(I1705 &gt;= 40, "High", I1705&gt;=20, "Medium", I1705&lt;20, "Low")</f>
        <v>Medium</v>
      </c>
      <c r="T1705" s="1" t="str" cm="1">
        <f t="array" ref="T1705">_xlfn.IFS(O1705&lt;18200, "Low", O1705&lt;=50000, "Medium", O1705&gt;50000, "High")</f>
        <v>Low</v>
      </c>
    </row>
    <row r="1706" spans="1:20" x14ac:dyDescent="0.25">
      <c r="A1706" s="2">
        <v>2012</v>
      </c>
      <c r="B1706" s="1" t="s">
        <v>608</v>
      </c>
      <c r="C1706" s="1" t="s">
        <v>830</v>
      </c>
      <c r="D1706" s="1" t="s">
        <v>831</v>
      </c>
      <c r="E1706" s="1" t="s">
        <v>19</v>
      </c>
      <c r="F1706" s="1" t="s">
        <v>20</v>
      </c>
      <c r="G1706" s="1" t="s">
        <v>2513</v>
      </c>
      <c r="H1706" s="1" t="s">
        <v>22</v>
      </c>
      <c r="I1706" s="1">
        <v>31</v>
      </c>
      <c r="J1706" s="1">
        <v>60981</v>
      </c>
      <c r="K1706" s="1" t="s">
        <v>34</v>
      </c>
      <c r="L1706" s="1" t="s">
        <v>24</v>
      </c>
      <c r="M1706" s="1" t="s">
        <v>56</v>
      </c>
      <c r="N1706" s="1">
        <v>27000</v>
      </c>
      <c r="O1706" s="12">
        <v>26250</v>
      </c>
      <c r="P1706" s="3" t="s">
        <v>26</v>
      </c>
      <c r="Q1706" s="1" cm="1">
        <f t="array" ref="Q1706">VALUE(INDEX(_xlfn.TEXTSPLIT(P1706, " "), 4))</f>
        <v>2014</v>
      </c>
      <c r="R1706" s="1" t="str">
        <f t="shared" si="26"/>
        <v>Mercedes-Benz GL-Class GL450 4MATIC</v>
      </c>
      <c r="S1706" s="1" t="str" cm="1">
        <f t="array" ref="S1706">_xlfn.IFS(I1706 &gt;= 40, "High", I1706&gt;=20, "Medium", I1706&lt;20, "Low")</f>
        <v>Medium</v>
      </c>
      <c r="T1706" s="1" t="str" cm="1">
        <f t="array" ref="T1706">_xlfn.IFS(O1706&lt;18200, "Low", O1706&lt;=50000, "Medium", O1706&gt;50000, "High")</f>
        <v>Medium</v>
      </c>
    </row>
    <row r="1707" spans="1:20" x14ac:dyDescent="0.25">
      <c r="A1707" s="2">
        <v>2012</v>
      </c>
      <c r="B1707" s="1" t="s">
        <v>47</v>
      </c>
      <c r="C1707" s="1" t="s">
        <v>1061</v>
      </c>
      <c r="D1707" s="1" t="s">
        <v>1062</v>
      </c>
      <c r="E1707" s="1" t="s">
        <v>267</v>
      </c>
      <c r="F1707" s="1" t="s">
        <v>20</v>
      </c>
      <c r="G1707" s="1" t="s">
        <v>2514</v>
      </c>
      <c r="H1707" s="1" t="s">
        <v>22</v>
      </c>
      <c r="I1707" s="1">
        <v>21</v>
      </c>
      <c r="J1707" s="1">
        <v>81015</v>
      </c>
      <c r="K1707" s="1" t="s">
        <v>24</v>
      </c>
      <c r="L1707" s="1" t="s">
        <v>34</v>
      </c>
      <c r="M1707" s="1" t="s">
        <v>555</v>
      </c>
      <c r="N1707" s="1">
        <v>14200</v>
      </c>
      <c r="O1707" s="12">
        <v>13300</v>
      </c>
      <c r="P1707" s="3" t="s">
        <v>68</v>
      </c>
      <c r="Q1707" s="1" cm="1">
        <f t="array" ref="Q1707">VALUE(INDEX(_xlfn.TEXTSPLIT(P1707, " "), 4))</f>
        <v>2014</v>
      </c>
      <c r="R1707" s="1" t="str">
        <f t="shared" si="26"/>
        <v>Nissan Frontier SV</v>
      </c>
      <c r="S1707" s="1" t="str" cm="1">
        <f t="array" ref="S1707">_xlfn.IFS(I1707 &gt;= 40, "High", I1707&gt;=20, "Medium", I1707&lt;20, "Low")</f>
        <v>Medium</v>
      </c>
      <c r="T1707" s="1" t="str" cm="1">
        <f t="array" ref="T1707">_xlfn.IFS(O1707&lt;18200, "Low", O1707&lt;=50000, "Medium", O1707&gt;50000, "High")</f>
        <v>Low</v>
      </c>
    </row>
    <row r="1708" spans="1:20" x14ac:dyDescent="0.25">
      <c r="A1708" s="2">
        <v>2012</v>
      </c>
      <c r="B1708" s="1" t="s">
        <v>608</v>
      </c>
      <c r="C1708" s="1" t="s">
        <v>839</v>
      </c>
      <c r="D1708" s="1" t="s">
        <v>2381</v>
      </c>
      <c r="E1708" s="1" t="s">
        <v>19</v>
      </c>
      <c r="F1708" s="1" t="s">
        <v>20</v>
      </c>
      <c r="G1708" s="1" t="s">
        <v>2515</v>
      </c>
      <c r="H1708" s="1" t="s">
        <v>22</v>
      </c>
      <c r="I1708" s="1">
        <v>22</v>
      </c>
      <c r="J1708" s="1">
        <v>42503</v>
      </c>
      <c r="K1708" s="1" t="s">
        <v>34</v>
      </c>
      <c r="L1708" s="1" t="s">
        <v>24</v>
      </c>
      <c r="M1708" s="1" t="s">
        <v>2516</v>
      </c>
      <c r="N1708" s="1">
        <v>33700</v>
      </c>
      <c r="O1708" s="12">
        <v>29750</v>
      </c>
      <c r="P1708" s="3" t="s">
        <v>68</v>
      </c>
      <c r="Q1708" s="1" cm="1">
        <f t="array" ref="Q1708">VALUE(INDEX(_xlfn.TEXTSPLIT(P1708, " "), 4))</f>
        <v>2014</v>
      </c>
      <c r="R1708" s="1" t="str">
        <f t="shared" si="26"/>
        <v>Mercedes-Benz M-Class ML350 4MATIC</v>
      </c>
      <c r="S1708" s="1" t="str" cm="1">
        <f t="array" ref="S1708">_xlfn.IFS(I1708 &gt;= 40, "High", I1708&gt;=20, "Medium", I1708&lt;20, "Low")</f>
        <v>Medium</v>
      </c>
      <c r="T1708" s="1" t="str" cm="1">
        <f t="array" ref="T1708">_xlfn.IFS(O1708&lt;18200, "Low", O1708&lt;=50000, "Medium", O1708&gt;50000, "High")</f>
        <v>Medium</v>
      </c>
    </row>
    <row r="1709" spans="1:20" x14ac:dyDescent="0.25">
      <c r="A1709" s="2">
        <v>2012</v>
      </c>
      <c r="B1709" s="1" t="s">
        <v>608</v>
      </c>
      <c r="C1709" s="1" t="s">
        <v>830</v>
      </c>
      <c r="D1709" s="1" t="s">
        <v>831</v>
      </c>
      <c r="E1709" s="1" t="s">
        <v>19</v>
      </c>
      <c r="F1709" s="1" t="s">
        <v>20</v>
      </c>
      <c r="G1709" s="1" t="s">
        <v>2517</v>
      </c>
      <c r="H1709" s="1" t="s">
        <v>22</v>
      </c>
      <c r="I1709" s="1">
        <v>27</v>
      </c>
      <c r="J1709" s="1">
        <v>55050</v>
      </c>
      <c r="K1709" s="1" t="s">
        <v>34</v>
      </c>
      <c r="L1709" s="1" t="s">
        <v>24</v>
      </c>
      <c r="M1709" s="1" t="s">
        <v>56</v>
      </c>
      <c r="N1709" s="1">
        <v>28700</v>
      </c>
      <c r="O1709" s="12">
        <v>27900</v>
      </c>
      <c r="P1709" s="3" t="s">
        <v>783</v>
      </c>
      <c r="Q1709" s="1" cm="1">
        <f t="array" ref="Q1709">VALUE(INDEX(_xlfn.TEXTSPLIT(P1709, " "), 4))</f>
        <v>2015</v>
      </c>
      <c r="R1709" s="1" t="str">
        <f t="shared" si="26"/>
        <v>Mercedes-Benz GL-Class GL450 4MATIC</v>
      </c>
      <c r="S1709" s="1" t="str" cm="1">
        <f t="array" ref="S1709">_xlfn.IFS(I1709 &gt;= 40, "High", I1709&gt;=20, "Medium", I1709&lt;20, "Low")</f>
        <v>Medium</v>
      </c>
      <c r="T1709" s="1" t="str" cm="1">
        <f t="array" ref="T1709">_xlfn.IFS(O1709&lt;18200, "Low", O1709&lt;=50000, "Medium", O1709&gt;50000, "High")</f>
        <v>Medium</v>
      </c>
    </row>
    <row r="1710" spans="1:20" x14ac:dyDescent="0.25">
      <c r="A1710" s="2">
        <v>2012</v>
      </c>
      <c r="B1710" s="1" t="s">
        <v>47</v>
      </c>
      <c r="C1710" s="1" t="s">
        <v>48</v>
      </c>
      <c r="D1710" s="1" t="s">
        <v>49</v>
      </c>
      <c r="E1710" s="1" t="s">
        <v>107</v>
      </c>
      <c r="F1710" s="1" t="s">
        <v>20</v>
      </c>
      <c r="G1710" s="1" t="s">
        <v>2518</v>
      </c>
      <c r="H1710" s="1" t="s">
        <v>22</v>
      </c>
      <c r="I1710" s="1">
        <v>34</v>
      </c>
      <c r="J1710" s="1">
        <v>26958</v>
      </c>
      <c r="K1710" s="1" t="s">
        <v>91</v>
      </c>
      <c r="L1710" s="1" t="s">
        <v>24</v>
      </c>
      <c r="M1710" s="1" t="s">
        <v>2519</v>
      </c>
      <c r="N1710" s="1">
        <v>13850</v>
      </c>
      <c r="O1710" s="12">
        <v>13500</v>
      </c>
      <c r="P1710" s="3" t="s">
        <v>57</v>
      </c>
      <c r="Q1710" s="1" cm="1">
        <f t="array" ref="Q1710">VALUE(INDEX(_xlfn.TEXTSPLIT(P1710, " "), 4))</f>
        <v>2014</v>
      </c>
      <c r="R1710" s="1" t="str">
        <f t="shared" si="26"/>
        <v>Nissan Altima 2.5 S</v>
      </c>
      <c r="S1710" s="1" t="str" cm="1">
        <f t="array" ref="S1710">_xlfn.IFS(I1710 &gt;= 40, "High", I1710&gt;=20, "Medium", I1710&lt;20, "Low")</f>
        <v>Medium</v>
      </c>
      <c r="T1710" s="1" t="str" cm="1">
        <f t="array" ref="T1710">_xlfn.IFS(O1710&lt;18200, "Low", O1710&lt;=50000, "Medium", O1710&gt;50000, "High")</f>
        <v>Low</v>
      </c>
    </row>
    <row r="1711" spans="1:20" x14ac:dyDescent="0.25">
      <c r="A1711" s="2">
        <v>2012</v>
      </c>
      <c r="B1711" s="1" t="s">
        <v>47</v>
      </c>
      <c r="C1711" s="1" t="s">
        <v>48</v>
      </c>
      <c r="D1711" s="1">
        <v>2.5</v>
      </c>
      <c r="E1711" s="1" t="s">
        <v>32</v>
      </c>
      <c r="F1711" s="1" t="s">
        <v>20</v>
      </c>
      <c r="G1711" s="1" t="s">
        <v>2520</v>
      </c>
      <c r="H1711" s="1" t="s">
        <v>22</v>
      </c>
      <c r="I1711" s="1">
        <v>41</v>
      </c>
      <c r="J1711" s="1">
        <v>53345</v>
      </c>
      <c r="K1711" s="1" t="s">
        <v>23</v>
      </c>
      <c r="L1711" s="1" t="s">
        <v>24</v>
      </c>
      <c r="M1711" s="1" t="s">
        <v>2521</v>
      </c>
      <c r="N1711" s="1">
        <v>11150</v>
      </c>
      <c r="O1711" s="12">
        <v>8400</v>
      </c>
      <c r="P1711" s="3" t="s">
        <v>57</v>
      </c>
      <c r="Q1711" s="1" cm="1">
        <f t="array" ref="Q1711">VALUE(INDEX(_xlfn.TEXTSPLIT(P1711, " "), 4))</f>
        <v>2014</v>
      </c>
      <c r="R1711" s="1" t="str">
        <f t="shared" si="26"/>
        <v>Nissan Altima 2.5</v>
      </c>
      <c r="S1711" s="1" t="str" cm="1">
        <f t="array" ref="S1711">_xlfn.IFS(I1711 &gt;= 40, "High", I1711&gt;=20, "Medium", I1711&lt;20, "Low")</f>
        <v>High</v>
      </c>
      <c r="T1711" s="1" t="str" cm="1">
        <f t="array" ref="T1711">_xlfn.IFS(O1711&lt;18200, "Low", O1711&lt;=50000, "Medium", O1711&gt;50000, "High")</f>
        <v>Low</v>
      </c>
    </row>
    <row r="1712" spans="1:20" x14ac:dyDescent="0.25">
      <c r="A1712" s="2">
        <v>2012</v>
      </c>
      <c r="B1712" s="1" t="s">
        <v>608</v>
      </c>
      <c r="C1712" s="1" t="s">
        <v>830</v>
      </c>
      <c r="D1712" s="1" t="s">
        <v>831</v>
      </c>
      <c r="E1712" s="1" t="s">
        <v>19</v>
      </c>
      <c r="F1712" s="1" t="s">
        <v>20</v>
      </c>
      <c r="G1712" s="1" t="s">
        <v>2522</v>
      </c>
      <c r="H1712" s="1" t="s">
        <v>22</v>
      </c>
      <c r="I1712" s="1">
        <v>46</v>
      </c>
      <c r="J1712" s="1">
        <v>18330</v>
      </c>
      <c r="K1712" s="1" t="s">
        <v>23</v>
      </c>
      <c r="L1712" s="1" t="s">
        <v>132</v>
      </c>
      <c r="M1712" s="1" t="s">
        <v>676</v>
      </c>
      <c r="N1712" s="1">
        <v>41000</v>
      </c>
      <c r="O1712" s="12">
        <v>36750</v>
      </c>
      <c r="P1712" s="3" t="s">
        <v>68</v>
      </c>
      <c r="Q1712" s="1" cm="1">
        <f t="array" ref="Q1712">VALUE(INDEX(_xlfn.TEXTSPLIT(P1712, " "), 4))</f>
        <v>2014</v>
      </c>
      <c r="R1712" s="1" t="str">
        <f t="shared" si="26"/>
        <v>Mercedes-Benz GL-Class GL450 4MATIC</v>
      </c>
      <c r="S1712" s="1" t="str" cm="1">
        <f t="array" ref="S1712">_xlfn.IFS(I1712 &gt;= 40, "High", I1712&gt;=20, "Medium", I1712&lt;20, "Low")</f>
        <v>High</v>
      </c>
      <c r="T1712" s="1" t="str" cm="1">
        <f t="array" ref="T1712">_xlfn.IFS(O1712&lt;18200, "Low", O1712&lt;=50000, "Medium", O1712&gt;50000, "High")</f>
        <v>Medium</v>
      </c>
    </row>
    <row r="1713" spans="1:20" x14ac:dyDescent="0.25">
      <c r="A1713" s="2">
        <v>2012</v>
      </c>
      <c r="B1713" s="1" t="s">
        <v>47</v>
      </c>
      <c r="C1713" s="1" t="s">
        <v>48</v>
      </c>
      <c r="D1713" s="1" t="s">
        <v>49</v>
      </c>
      <c r="E1713" s="1" t="s">
        <v>32</v>
      </c>
      <c r="F1713" s="1" t="s">
        <v>20</v>
      </c>
      <c r="G1713" s="1" t="s">
        <v>2523</v>
      </c>
      <c r="H1713" s="1" t="s">
        <v>22</v>
      </c>
      <c r="I1713" s="1">
        <v>45</v>
      </c>
      <c r="J1713" s="1">
        <v>27499</v>
      </c>
      <c r="K1713" s="1" t="s">
        <v>23</v>
      </c>
      <c r="L1713" s="1" t="s">
        <v>34</v>
      </c>
      <c r="M1713" s="1" t="s">
        <v>217</v>
      </c>
      <c r="N1713" s="1">
        <v>12850</v>
      </c>
      <c r="O1713" s="12">
        <v>13000</v>
      </c>
      <c r="P1713" s="3" t="s">
        <v>26</v>
      </c>
      <c r="Q1713" s="1" cm="1">
        <f t="array" ref="Q1713">VALUE(INDEX(_xlfn.TEXTSPLIT(P1713, " "), 4))</f>
        <v>2014</v>
      </c>
      <c r="R1713" s="1" t="str">
        <f t="shared" si="26"/>
        <v>Nissan Altima 2.5 S</v>
      </c>
      <c r="S1713" s="1" t="str" cm="1">
        <f t="array" ref="S1713">_xlfn.IFS(I1713 &gt;= 40, "High", I1713&gt;=20, "Medium", I1713&lt;20, "Low")</f>
        <v>High</v>
      </c>
      <c r="T1713" s="1" t="str" cm="1">
        <f t="array" ref="T1713">_xlfn.IFS(O1713&lt;18200, "Low", O1713&lt;=50000, "Medium", O1713&gt;50000, "High")</f>
        <v>Low</v>
      </c>
    </row>
    <row r="1714" spans="1:20" x14ac:dyDescent="0.25">
      <c r="A1714" s="2">
        <v>2012</v>
      </c>
      <c r="B1714" s="1" t="s">
        <v>47</v>
      </c>
      <c r="C1714" s="1" t="s">
        <v>944</v>
      </c>
      <c r="D1714" s="1" t="s">
        <v>936</v>
      </c>
      <c r="E1714" s="1" t="s">
        <v>19</v>
      </c>
      <c r="F1714" s="1" t="s">
        <v>20</v>
      </c>
      <c r="G1714" s="1" t="s">
        <v>2524</v>
      </c>
      <c r="H1714" s="1" t="s">
        <v>22</v>
      </c>
      <c r="I1714" s="1">
        <v>41</v>
      </c>
      <c r="J1714" s="1">
        <v>44066</v>
      </c>
      <c r="K1714" s="1" t="s">
        <v>24</v>
      </c>
      <c r="L1714" s="1" t="s">
        <v>24</v>
      </c>
      <c r="M1714" s="1" t="s">
        <v>984</v>
      </c>
      <c r="N1714" s="1">
        <v>15650</v>
      </c>
      <c r="O1714" s="12">
        <v>14250</v>
      </c>
      <c r="P1714" s="3" t="s">
        <v>57</v>
      </c>
      <c r="Q1714" s="1" cm="1">
        <f t="array" ref="Q1714">VALUE(INDEX(_xlfn.TEXTSPLIT(P1714, " "), 4))</f>
        <v>2014</v>
      </c>
      <c r="R1714" s="1" t="str">
        <f t="shared" si="26"/>
        <v>Nissan Rogue S</v>
      </c>
      <c r="S1714" s="1" t="str" cm="1">
        <f t="array" ref="S1714">_xlfn.IFS(I1714 &gt;= 40, "High", I1714&gt;=20, "Medium", I1714&lt;20, "Low")</f>
        <v>High</v>
      </c>
      <c r="T1714" s="1" t="str" cm="1">
        <f t="array" ref="T1714">_xlfn.IFS(O1714&lt;18200, "Low", O1714&lt;=50000, "Medium", O1714&gt;50000, "High")</f>
        <v>Low</v>
      </c>
    </row>
    <row r="1715" spans="1:20" x14ac:dyDescent="0.25">
      <c r="A1715" s="2">
        <v>2012</v>
      </c>
      <c r="B1715" s="1" t="s">
        <v>47</v>
      </c>
      <c r="C1715" s="1" t="s">
        <v>48</v>
      </c>
      <c r="D1715" s="1">
        <v>2.5</v>
      </c>
      <c r="E1715" s="1" t="s">
        <v>32</v>
      </c>
      <c r="F1715" s="1" t="s">
        <v>20</v>
      </c>
      <c r="G1715" s="1" t="s">
        <v>2525</v>
      </c>
      <c r="H1715" s="1" t="s">
        <v>22</v>
      </c>
      <c r="I1715" s="1">
        <v>28</v>
      </c>
      <c r="J1715" s="1">
        <v>59724</v>
      </c>
      <c r="K1715" s="1" t="s">
        <v>23</v>
      </c>
      <c r="L1715" s="1" t="s">
        <v>24</v>
      </c>
      <c r="M1715" s="1" t="s">
        <v>56</v>
      </c>
      <c r="N1715" s="1">
        <v>10750</v>
      </c>
      <c r="O1715" s="12">
        <v>10600</v>
      </c>
      <c r="P1715" s="3" t="s">
        <v>57</v>
      </c>
      <c r="Q1715" s="1" cm="1">
        <f t="array" ref="Q1715">VALUE(INDEX(_xlfn.TEXTSPLIT(P1715, " "), 4))</f>
        <v>2014</v>
      </c>
      <c r="R1715" s="1" t="str">
        <f t="shared" si="26"/>
        <v>Nissan Altima 2.5</v>
      </c>
      <c r="S1715" s="1" t="str" cm="1">
        <f t="array" ref="S1715">_xlfn.IFS(I1715 &gt;= 40, "High", I1715&gt;=20, "Medium", I1715&lt;20, "Low")</f>
        <v>Medium</v>
      </c>
      <c r="T1715" s="1" t="str" cm="1">
        <f t="array" ref="T1715">_xlfn.IFS(O1715&lt;18200, "Low", O1715&lt;=50000, "Medium", O1715&gt;50000, "High")</f>
        <v>Low</v>
      </c>
    </row>
    <row r="1716" spans="1:20" x14ac:dyDescent="0.25">
      <c r="A1716" s="2">
        <v>2012</v>
      </c>
      <c r="B1716" s="1" t="s">
        <v>47</v>
      </c>
      <c r="C1716" s="1" t="s">
        <v>48</v>
      </c>
      <c r="D1716" s="1" t="s">
        <v>49</v>
      </c>
      <c r="E1716" s="1" t="s">
        <v>32</v>
      </c>
      <c r="F1716" s="1" t="s">
        <v>20</v>
      </c>
      <c r="G1716" s="1" t="s">
        <v>2526</v>
      </c>
      <c r="H1716" s="1" t="s">
        <v>22</v>
      </c>
      <c r="I1716" s="1">
        <v>48</v>
      </c>
      <c r="J1716" s="1">
        <v>33533</v>
      </c>
      <c r="K1716" s="1" t="s">
        <v>101</v>
      </c>
      <c r="L1716" s="1" t="s">
        <v>24</v>
      </c>
      <c r="M1716" s="1" t="s">
        <v>217</v>
      </c>
      <c r="N1716" s="1">
        <v>12450</v>
      </c>
      <c r="O1716" s="12">
        <v>12500</v>
      </c>
      <c r="P1716" s="3" t="s">
        <v>57</v>
      </c>
      <c r="Q1716" s="1" cm="1">
        <f t="array" ref="Q1716">VALUE(INDEX(_xlfn.TEXTSPLIT(P1716, " "), 4))</f>
        <v>2014</v>
      </c>
      <c r="R1716" s="1" t="str">
        <f t="shared" si="26"/>
        <v>Nissan Altima 2.5 S</v>
      </c>
      <c r="S1716" s="1" t="str" cm="1">
        <f t="array" ref="S1716">_xlfn.IFS(I1716 &gt;= 40, "High", I1716&gt;=20, "Medium", I1716&lt;20, "Low")</f>
        <v>High</v>
      </c>
      <c r="T1716" s="1" t="str" cm="1">
        <f t="array" ref="T1716">_xlfn.IFS(O1716&lt;18200, "Low", O1716&lt;=50000, "Medium", O1716&gt;50000, "High")</f>
        <v>Low</v>
      </c>
    </row>
    <row r="1717" spans="1:20" x14ac:dyDescent="0.25">
      <c r="A1717" s="2">
        <v>2012</v>
      </c>
      <c r="B1717" s="1" t="s">
        <v>47</v>
      </c>
      <c r="C1717" s="1" t="s">
        <v>959</v>
      </c>
      <c r="D1717" s="1" t="s">
        <v>960</v>
      </c>
      <c r="E1717" s="1" t="s">
        <v>227</v>
      </c>
      <c r="F1717" s="1" t="s">
        <v>20</v>
      </c>
      <c r="G1717" s="1" t="s">
        <v>2527</v>
      </c>
      <c r="H1717" s="1" t="s">
        <v>22</v>
      </c>
      <c r="I1717" s="1">
        <v>48</v>
      </c>
      <c r="J1717" s="1">
        <v>13406</v>
      </c>
      <c r="K1717" s="1" t="s">
        <v>24</v>
      </c>
      <c r="L1717" s="1" t="s">
        <v>28</v>
      </c>
      <c r="M1717" s="1" t="s">
        <v>984</v>
      </c>
      <c r="N1717" s="1">
        <v>11800</v>
      </c>
      <c r="O1717" s="12">
        <v>12900</v>
      </c>
      <c r="P1717" s="3" t="s">
        <v>57</v>
      </c>
      <c r="Q1717" s="1" cm="1">
        <f t="array" ref="Q1717">VALUE(INDEX(_xlfn.TEXTSPLIT(P1717, " "), 4))</f>
        <v>2014</v>
      </c>
      <c r="R1717" s="1" t="str">
        <f t="shared" si="26"/>
        <v>Nissan Leaf SL</v>
      </c>
      <c r="S1717" s="1" t="str" cm="1">
        <f t="array" ref="S1717">_xlfn.IFS(I1717 &gt;= 40, "High", I1717&gt;=20, "Medium", I1717&lt;20, "Low")</f>
        <v>High</v>
      </c>
      <c r="T1717" s="1" t="str" cm="1">
        <f t="array" ref="T1717">_xlfn.IFS(O1717&lt;18200, "Low", O1717&lt;=50000, "Medium", O1717&gt;50000, "High")</f>
        <v>Low</v>
      </c>
    </row>
    <row r="1718" spans="1:20" x14ac:dyDescent="0.25">
      <c r="A1718" s="2">
        <v>2012</v>
      </c>
      <c r="B1718" s="1" t="s">
        <v>47</v>
      </c>
      <c r="C1718" s="1" t="s">
        <v>959</v>
      </c>
      <c r="D1718" s="1" t="s">
        <v>960</v>
      </c>
      <c r="E1718" s="1" t="s">
        <v>227</v>
      </c>
      <c r="F1718" s="1" t="s">
        <v>20</v>
      </c>
      <c r="G1718" s="1" t="s">
        <v>2528</v>
      </c>
      <c r="H1718" s="1" t="s">
        <v>22</v>
      </c>
      <c r="I1718" s="1">
        <v>44</v>
      </c>
      <c r="J1718" s="1">
        <v>33846</v>
      </c>
      <c r="K1718" s="1" t="s">
        <v>24</v>
      </c>
      <c r="L1718" s="1" t="s">
        <v>34</v>
      </c>
      <c r="M1718" s="1" t="s">
        <v>217</v>
      </c>
      <c r="N1718" s="1">
        <v>10400</v>
      </c>
      <c r="O1718" s="12">
        <v>12100</v>
      </c>
      <c r="P1718" s="3" t="s">
        <v>57</v>
      </c>
      <c r="Q1718" s="1" cm="1">
        <f t="array" ref="Q1718">VALUE(INDEX(_xlfn.TEXTSPLIT(P1718, " "), 4))</f>
        <v>2014</v>
      </c>
      <c r="R1718" s="1" t="str">
        <f t="shared" si="26"/>
        <v>Nissan Leaf SL</v>
      </c>
      <c r="S1718" s="1" t="str" cm="1">
        <f t="array" ref="S1718">_xlfn.IFS(I1718 &gt;= 40, "High", I1718&gt;=20, "Medium", I1718&lt;20, "Low")</f>
        <v>High</v>
      </c>
      <c r="T1718" s="1" t="str" cm="1">
        <f t="array" ref="T1718">_xlfn.IFS(O1718&lt;18200, "Low", O1718&lt;=50000, "Medium", O1718&gt;50000, "High")</f>
        <v>Low</v>
      </c>
    </row>
    <row r="1719" spans="1:20" x14ac:dyDescent="0.25">
      <c r="A1719" s="2">
        <v>2012</v>
      </c>
      <c r="B1719" s="1" t="s">
        <v>47</v>
      </c>
      <c r="C1719" s="1" t="s">
        <v>940</v>
      </c>
      <c r="D1719" s="1">
        <v>2</v>
      </c>
      <c r="E1719" s="1" t="s">
        <v>32</v>
      </c>
      <c r="F1719" s="1" t="s">
        <v>20</v>
      </c>
      <c r="G1719" s="1" t="s">
        <v>2529</v>
      </c>
      <c r="H1719" s="1" t="s">
        <v>22</v>
      </c>
      <c r="I1719" s="1">
        <v>37</v>
      </c>
      <c r="J1719" s="1">
        <v>71281</v>
      </c>
      <c r="K1719" s="1" t="s">
        <v>91</v>
      </c>
      <c r="L1719" s="1" t="s">
        <v>34</v>
      </c>
      <c r="M1719" s="1" t="s">
        <v>2373</v>
      </c>
      <c r="N1719" s="1">
        <v>7750</v>
      </c>
      <c r="O1719" s="12">
        <v>9100</v>
      </c>
      <c r="P1719" s="3" t="s">
        <v>68</v>
      </c>
      <c r="Q1719" s="1" cm="1">
        <f t="array" ref="Q1719">VALUE(INDEX(_xlfn.TEXTSPLIT(P1719, " "), 4))</f>
        <v>2014</v>
      </c>
      <c r="R1719" s="1" t="str">
        <f t="shared" si="26"/>
        <v>Nissan Sentra 2</v>
      </c>
      <c r="S1719" s="1" t="str" cm="1">
        <f t="array" ref="S1719">_xlfn.IFS(I1719 &gt;= 40, "High", I1719&gt;=20, "Medium", I1719&lt;20, "Low")</f>
        <v>Medium</v>
      </c>
      <c r="T1719" s="1" t="str" cm="1">
        <f t="array" ref="T1719">_xlfn.IFS(O1719&lt;18200, "Low", O1719&lt;=50000, "Medium", O1719&gt;50000, "High")</f>
        <v>Low</v>
      </c>
    </row>
    <row r="1720" spans="1:20" x14ac:dyDescent="0.25">
      <c r="A1720" s="2">
        <v>2012</v>
      </c>
      <c r="B1720" s="1" t="s">
        <v>47</v>
      </c>
      <c r="C1720" s="1" t="s">
        <v>48</v>
      </c>
      <c r="D1720" s="1" t="s">
        <v>49</v>
      </c>
      <c r="E1720" s="1" t="s">
        <v>32</v>
      </c>
      <c r="F1720" s="1" t="s">
        <v>20</v>
      </c>
      <c r="G1720" s="1" t="s">
        <v>2530</v>
      </c>
      <c r="H1720" s="1" t="s">
        <v>22</v>
      </c>
      <c r="I1720" s="1">
        <v>39</v>
      </c>
      <c r="J1720" s="1">
        <v>52631</v>
      </c>
      <c r="K1720" s="1" t="s">
        <v>23</v>
      </c>
      <c r="L1720" s="1" t="s">
        <v>24</v>
      </c>
      <c r="M1720" s="1" t="s">
        <v>984</v>
      </c>
      <c r="N1720" s="1">
        <v>11200</v>
      </c>
      <c r="O1720" s="12">
        <v>11900</v>
      </c>
      <c r="P1720" s="3" t="s">
        <v>57</v>
      </c>
      <c r="Q1720" s="1" cm="1">
        <f t="array" ref="Q1720">VALUE(INDEX(_xlfn.TEXTSPLIT(P1720, " "), 4))</f>
        <v>2014</v>
      </c>
      <c r="R1720" s="1" t="str">
        <f t="shared" si="26"/>
        <v>Nissan Altima 2.5 S</v>
      </c>
      <c r="S1720" s="1" t="str" cm="1">
        <f t="array" ref="S1720">_xlfn.IFS(I1720 &gt;= 40, "High", I1720&gt;=20, "Medium", I1720&lt;20, "Low")</f>
        <v>Medium</v>
      </c>
      <c r="T1720" s="1" t="str" cm="1">
        <f t="array" ref="T1720">_xlfn.IFS(O1720&lt;18200, "Low", O1720&lt;=50000, "Medium", O1720&gt;50000, "High")</f>
        <v>Low</v>
      </c>
    </row>
    <row r="1721" spans="1:20" x14ac:dyDescent="0.25">
      <c r="A1721" s="2">
        <v>2012</v>
      </c>
      <c r="B1721" s="1" t="s">
        <v>47</v>
      </c>
      <c r="C1721" s="1" t="s">
        <v>48</v>
      </c>
      <c r="D1721" s="1" t="s">
        <v>49</v>
      </c>
      <c r="E1721" s="1" t="s">
        <v>32</v>
      </c>
      <c r="F1721" s="1" t="s">
        <v>20</v>
      </c>
      <c r="G1721" s="1" t="s">
        <v>2531</v>
      </c>
      <c r="H1721" s="1" t="s">
        <v>22</v>
      </c>
      <c r="I1721" s="1">
        <v>3</v>
      </c>
      <c r="J1721" s="1">
        <v>43615</v>
      </c>
      <c r="K1721" s="1" t="s">
        <v>23</v>
      </c>
      <c r="L1721" s="1" t="s">
        <v>34</v>
      </c>
      <c r="M1721" s="1" t="s">
        <v>217</v>
      </c>
      <c r="N1721" s="1">
        <v>11850</v>
      </c>
      <c r="O1721" s="12">
        <v>10000</v>
      </c>
      <c r="P1721" s="3" t="s">
        <v>251</v>
      </c>
      <c r="Q1721" s="1" cm="1">
        <f t="array" ref="Q1721">VALUE(INDEX(_xlfn.TEXTSPLIT(P1721, " "), 4))</f>
        <v>2014</v>
      </c>
      <c r="R1721" s="1" t="str">
        <f t="shared" si="26"/>
        <v>Nissan Altima 2.5 S</v>
      </c>
      <c r="S1721" s="1" t="str" cm="1">
        <f t="array" ref="S1721">_xlfn.IFS(I1721 &gt;= 40, "High", I1721&gt;=20, "Medium", I1721&lt;20, "Low")</f>
        <v>Low</v>
      </c>
      <c r="T1721" s="1" t="str" cm="1">
        <f t="array" ref="T1721">_xlfn.IFS(O1721&lt;18200, "Low", O1721&lt;=50000, "Medium", O1721&gt;50000, "High")</f>
        <v>Low</v>
      </c>
    </row>
    <row r="1722" spans="1:20" x14ac:dyDescent="0.25">
      <c r="A1722" s="2">
        <v>2012</v>
      </c>
      <c r="B1722" s="1" t="s">
        <v>608</v>
      </c>
      <c r="C1722" s="1" t="s">
        <v>830</v>
      </c>
      <c r="D1722" s="1" t="s">
        <v>831</v>
      </c>
      <c r="E1722" s="1" t="s">
        <v>19</v>
      </c>
      <c r="F1722" s="1" t="s">
        <v>20</v>
      </c>
      <c r="G1722" s="1" t="s">
        <v>2532</v>
      </c>
      <c r="H1722" s="1" t="s">
        <v>22</v>
      </c>
      <c r="I1722" s="1">
        <v>19</v>
      </c>
      <c r="J1722" s="1">
        <v>64548</v>
      </c>
      <c r="K1722" s="1" t="s">
        <v>34</v>
      </c>
      <c r="L1722" s="1" t="s">
        <v>24</v>
      </c>
      <c r="M1722" s="1" t="s">
        <v>56</v>
      </c>
      <c r="N1722" s="1">
        <v>25600</v>
      </c>
      <c r="O1722" s="12">
        <v>23500</v>
      </c>
      <c r="P1722" s="3" t="s">
        <v>251</v>
      </c>
      <c r="Q1722" s="1" cm="1">
        <f t="array" ref="Q1722">VALUE(INDEX(_xlfn.TEXTSPLIT(P1722, " "), 4))</f>
        <v>2014</v>
      </c>
      <c r="R1722" s="1" t="str">
        <f t="shared" si="26"/>
        <v>Mercedes-Benz GL-Class GL450 4MATIC</v>
      </c>
      <c r="S1722" s="1" t="str" cm="1">
        <f t="array" ref="S1722">_xlfn.IFS(I1722 &gt;= 40, "High", I1722&gt;=20, "Medium", I1722&lt;20, "Low")</f>
        <v>Low</v>
      </c>
      <c r="T1722" s="1" t="str" cm="1">
        <f t="array" ref="T1722">_xlfn.IFS(O1722&lt;18200, "Low", O1722&lt;=50000, "Medium", O1722&gt;50000, "High")</f>
        <v>Medium</v>
      </c>
    </row>
    <row r="1723" spans="1:20" x14ac:dyDescent="0.25">
      <c r="A1723" s="2">
        <v>2012</v>
      </c>
      <c r="B1723" s="1" t="s">
        <v>608</v>
      </c>
      <c r="C1723" s="1" t="s">
        <v>830</v>
      </c>
      <c r="D1723" s="1" t="s">
        <v>831</v>
      </c>
      <c r="E1723" s="1" t="s">
        <v>19</v>
      </c>
      <c r="F1723" s="1" t="s">
        <v>20</v>
      </c>
      <c r="G1723" s="1" t="s">
        <v>2533</v>
      </c>
      <c r="H1723" s="1" t="s">
        <v>22</v>
      </c>
      <c r="I1723" s="1">
        <v>27</v>
      </c>
      <c r="J1723" s="1">
        <v>60867</v>
      </c>
      <c r="K1723" s="1" t="s">
        <v>24</v>
      </c>
      <c r="L1723" s="1" t="s">
        <v>24</v>
      </c>
      <c r="M1723" s="1" t="s">
        <v>56</v>
      </c>
      <c r="N1723" s="1">
        <v>27100</v>
      </c>
      <c r="O1723" s="12">
        <v>26500</v>
      </c>
      <c r="P1723" s="3" t="s">
        <v>26</v>
      </c>
      <c r="Q1723" s="1" cm="1">
        <f t="array" ref="Q1723">VALUE(INDEX(_xlfn.TEXTSPLIT(P1723, " "), 4))</f>
        <v>2014</v>
      </c>
      <c r="R1723" s="1" t="str">
        <f t="shared" si="26"/>
        <v>Mercedes-Benz GL-Class GL450 4MATIC</v>
      </c>
      <c r="S1723" s="1" t="str" cm="1">
        <f t="array" ref="S1723">_xlfn.IFS(I1723 &gt;= 40, "High", I1723&gt;=20, "Medium", I1723&lt;20, "Low")</f>
        <v>Medium</v>
      </c>
      <c r="T1723" s="1" t="str" cm="1">
        <f t="array" ref="T1723">_xlfn.IFS(O1723&lt;18200, "Low", O1723&lt;=50000, "Medium", O1723&gt;50000, "High")</f>
        <v>Medium</v>
      </c>
    </row>
    <row r="1724" spans="1:20" x14ac:dyDescent="0.25">
      <c r="A1724" s="2">
        <v>2012</v>
      </c>
      <c r="B1724" s="1" t="s">
        <v>47</v>
      </c>
      <c r="C1724" s="1" t="s">
        <v>1030</v>
      </c>
      <c r="D1724" s="1" t="s">
        <v>1031</v>
      </c>
      <c r="E1724" s="1" t="s">
        <v>32</v>
      </c>
      <c r="F1724" s="1" t="s">
        <v>20</v>
      </c>
      <c r="G1724" s="1" t="s">
        <v>2534</v>
      </c>
      <c r="H1724" s="1" t="s">
        <v>22</v>
      </c>
      <c r="I1724" s="1">
        <v>31</v>
      </c>
      <c r="J1724" s="1">
        <v>55684</v>
      </c>
      <c r="K1724" s="1" t="s">
        <v>101</v>
      </c>
      <c r="L1724" s="1" t="s">
        <v>24</v>
      </c>
      <c r="M1724" s="1" t="s">
        <v>217</v>
      </c>
      <c r="N1724" s="1">
        <v>14500</v>
      </c>
      <c r="O1724" s="12">
        <v>16500</v>
      </c>
      <c r="P1724" s="3" t="s">
        <v>26</v>
      </c>
      <c r="Q1724" s="1" cm="1">
        <f t="array" ref="Q1724">VALUE(INDEX(_xlfn.TEXTSPLIT(P1724, " "), 4))</f>
        <v>2014</v>
      </c>
      <c r="R1724" s="1" t="str">
        <f t="shared" si="26"/>
        <v>Nissan Maxima 3.5 SV</v>
      </c>
      <c r="S1724" s="1" t="str" cm="1">
        <f t="array" ref="S1724">_xlfn.IFS(I1724 &gt;= 40, "High", I1724&gt;=20, "Medium", I1724&lt;20, "Low")</f>
        <v>Medium</v>
      </c>
      <c r="T1724" s="1" t="str" cm="1">
        <f t="array" ref="T1724">_xlfn.IFS(O1724&lt;18200, "Low", O1724&lt;=50000, "Medium", O1724&gt;50000, "High")</f>
        <v>Low</v>
      </c>
    </row>
    <row r="1725" spans="1:20" x14ac:dyDescent="0.25">
      <c r="A1725" s="2">
        <v>2012</v>
      </c>
      <c r="B1725" s="1" t="s">
        <v>608</v>
      </c>
      <c r="C1725" s="1" t="s">
        <v>839</v>
      </c>
      <c r="D1725" s="1" t="s">
        <v>2535</v>
      </c>
      <c r="E1725" s="1" t="s">
        <v>19</v>
      </c>
      <c r="F1725" s="1"/>
      <c r="G1725" s="1" t="s">
        <v>2536</v>
      </c>
      <c r="H1725" s="1" t="s">
        <v>22</v>
      </c>
      <c r="I1725" s="1"/>
      <c r="J1725" s="1">
        <v>1</v>
      </c>
      <c r="K1725" s="1"/>
      <c r="L1725" s="1"/>
      <c r="M1725" s="1" t="s">
        <v>625</v>
      </c>
      <c r="N1725" s="1">
        <v>69000</v>
      </c>
      <c r="O1725" s="12">
        <v>18500</v>
      </c>
      <c r="P1725" s="3" t="s">
        <v>68</v>
      </c>
      <c r="Q1725" s="1" cm="1">
        <f t="array" ref="Q1725">VALUE(INDEX(_xlfn.TEXTSPLIT(P1725, " "), 4))</f>
        <v>2014</v>
      </c>
      <c r="R1725" s="1" t="str">
        <f t="shared" si="26"/>
        <v>Mercedes-Benz M-Class ML63 AMG</v>
      </c>
      <c r="S1725" s="1" t="str" cm="1">
        <f t="array" ref="S1725">_xlfn.IFS(I1725 &gt;= 40, "High", I1725&gt;=20, "Medium", I1725&lt;20, "Low")</f>
        <v>Low</v>
      </c>
      <c r="T1725" s="1" t="str" cm="1">
        <f t="array" ref="T1725">_xlfn.IFS(O1725&lt;18200, "Low", O1725&lt;=50000, "Medium", O1725&gt;50000, "High")</f>
        <v>Medium</v>
      </c>
    </row>
    <row r="1726" spans="1:20" x14ac:dyDescent="0.25">
      <c r="A1726" s="2">
        <v>2012</v>
      </c>
      <c r="B1726" s="1" t="s">
        <v>608</v>
      </c>
      <c r="C1726" s="1" t="s">
        <v>830</v>
      </c>
      <c r="D1726" s="1" t="s">
        <v>831</v>
      </c>
      <c r="E1726" s="1" t="s">
        <v>19</v>
      </c>
      <c r="F1726" s="1" t="s">
        <v>20</v>
      </c>
      <c r="G1726" s="1" t="s">
        <v>2537</v>
      </c>
      <c r="H1726" s="1" t="s">
        <v>22</v>
      </c>
      <c r="I1726" s="1">
        <v>42</v>
      </c>
      <c r="J1726" s="1">
        <v>59052</v>
      </c>
      <c r="K1726" s="1" t="s">
        <v>24</v>
      </c>
      <c r="L1726" s="1" t="s">
        <v>34</v>
      </c>
      <c r="M1726" s="1" t="s">
        <v>669</v>
      </c>
      <c r="N1726" s="1">
        <v>27600</v>
      </c>
      <c r="O1726" s="12">
        <v>30250</v>
      </c>
      <c r="P1726" s="3" t="s">
        <v>46</v>
      </c>
      <c r="Q1726" s="1" cm="1">
        <f t="array" ref="Q1726">VALUE(INDEX(_xlfn.TEXTSPLIT(P1726, " "), 4))</f>
        <v>2014</v>
      </c>
      <c r="R1726" s="1" t="str">
        <f t="shared" si="26"/>
        <v>Mercedes-Benz GL-Class GL450 4MATIC</v>
      </c>
      <c r="S1726" s="1" t="str" cm="1">
        <f t="array" ref="S1726">_xlfn.IFS(I1726 &gt;= 40, "High", I1726&gt;=20, "Medium", I1726&lt;20, "Low")</f>
        <v>High</v>
      </c>
      <c r="T1726" s="1" t="str" cm="1">
        <f t="array" ref="T1726">_xlfn.IFS(O1726&lt;18200, "Low", O1726&lt;=50000, "Medium", O1726&gt;50000, "High")</f>
        <v>Medium</v>
      </c>
    </row>
    <row r="1727" spans="1:20" x14ac:dyDescent="0.25">
      <c r="A1727" s="2">
        <v>2012</v>
      </c>
      <c r="B1727" s="1" t="s">
        <v>927</v>
      </c>
      <c r="C1727" s="1" t="s">
        <v>963</v>
      </c>
      <c r="D1727" s="1" t="s">
        <v>87</v>
      </c>
      <c r="E1727" s="1" t="s">
        <v>32</v>
      </c>
      <c r="F1727" s="1" t="s">
        <v>20</v>
      </c>
      <c r="G1727" s="1" t="s">
        <v>2538</v>
      </c>
      <c r="H1727" s="1" t="s">
        <v>22</v>
      </c>
      <c r="I1727" s="1">
        <v>28</v>
      </c>
      <c r="J1727" s="1">
        <v>28605</v>
      </c>
      <c r="K1727" s="1" t="s">
        <v>91</v>
      </c>
      <c r="L1727" s="1" t="s">
        <v>24</v>
      </c>
      <c r="M1727" s="1" t="s">
        <v>278</v>
      </c>
      <c r="N1727" s="1">
        <v>14750</v>
      </c>
      <c r="O1727" s="12">
        <v>15200</v>
      </c>
      <c r="P1727" s="3" t="s">
        <v>68</v>
      </c>
      <c r="Q1727" s="1" cm="1">
        <f t="array" ref="Q1727">VALUE(INDEX(_xlfn.TEXTSPLIT(P1727, " "), 4))</f>
        <v>2014</v>
      </c>
      <c r="R1727" s="1" t="str">
        <f t="shared" si="26"/>
        <v>Toyota Camry SE</v>
      </c>
      <c r="S1727" s="1" t="str" cm="1">
        <f t="array" ref="S1727">_xlfn.IFS(I1727 &gt;= 40, "High", I1727&gt;=20, "Medium", I1727&lt;20, "Low")</f>
        <v>Medium</v>
      </c>
      <c r="T1727" s="1" t="str" cm="1">
        <f t="array" ref="T1727">_xlfn.IFS(O1727&lt;18200, "Low", O1727&lt;=50000, "Medium", O1727&gt;50000, "High")</f>
        <v>Low</v>
      </c>
    </row>
    <row r="1728" spans="1:20" x14ac:dyDescent="0.25">
      <c r="A1728" s="2">
        <v>2012</v>
      </c>
      <c r="B1728" s="1" t="s">
        <v>47</v>
      </c>
      <c r="C1728" s="1" t="s">
        <v>48</v>
      </c>
      <c r="D1728" s="1" t="s">
        <v>49</v>
      </c>
      <c r="E1728" s="1" t="s">
        <v>32</v>
      </c>
      <c r="F1728" s="1" t="s">
        <v>20</v>
      </c>
      <c r="G1728" s="1" t="s">
        <v>2539</v>
      </c>
      <c r="H1728" s="1" t="s">
        <v>22</v>
      </c>
      <c r="I1728" s="1">
        <v>2</v>
      </c>
      <c r="J1728" s="1">
        <v>27826</v>
      </c>
      <c r="K1728" s="1" t="s">
        <v>23</v>
      </c>
      <c r="L1728" s="1" t="s">
        <v>34</v>
      </c>
      <c r="M1728" s="1" t="s">
        <v>217</v>
      </c>
      <c r="N1728" s="1">
        <v>12850</v>
      </c>
      <c r="O1728" s="12">
        <v>11000</v>
      </c>
      <c r="P1728" s="3" t="s">
        <v>26</v>
      </c>
      <c r="Q1728" s="1" cm="1">
        <f t="array" ref="Q1728">VALUE(INDEX(_xlfn.TEXTSPLIT(P1728, " "), 4))</f>
        <v>2014</v>
      </c>
      <c r="R1728" s="1" t="str">
        <f t="shared" si="26"/>
        <v>Nissan Altima 2.5 S</v>
      </c>
      <c r="S1728" s="1" t="str" cm="1">
        <f t="array" ref="S1728">_xlfn.IFS(I1728 &gt;= 40, "High", I1728&gt;=20, "Medium", I1728&lt;20, "Low")</f>
        <v>Low</v>
      </c>
      <c r="T1728" s="1" t="str" cm="1">
        <f t="array" ref="T1728">_xlfn.IFS(O1728&lt;18200, "Low", O1728&lt;=50000, "Medium", O1728&gt;50000, "High")</f>
        <v>Low</v>
      </c>
    </row>
    <row r="1729" spans="1:20" x14ac:dyDescent="0.25">
      <c r="A1729" s="2">
        <v>2012</v>
      </c>
      <c r="B1729" s="1" t="s">
        <v>47</v>
      </c>
      <c r="C1729" s="1" t="s">
        <v>48</v>
      </c>
      <c r="D1729" s="1" t="s">
        <v>49</v>
      </c>
      <c r="E1729" s="1" t="s">
        <v>32</v>
      </c>
      <c r="F1729" s="1" t="s">
        <v>20</v>
      </c>
      <c r="G1729" s="1" t="s">
        <v>2540</v>
      </c>
      <c r="H1729" s="1" t="s">
        <v>22</v>
      </c>
      <c r="I1729" s="1">
        <v>23</v>
      </c>
      <c r="J1729" s="1">
        <v>31702</v>
      </c>
      <c r="K1729" s="1" t="s">
        <v>91</v>
      </c>
      <c r="L1729" s="1" t="s">
        <v>24</v>
      </c>
      <c r="M1729" s="1" t="s">
        <v>2541</v>
      </c>
      <c r="N1729" s="1">
        <v>11350</v>
      </c>
      <c r="O1729" s="12">
        <v>10250</v>
      </c>
      <c r="P1729" s="3" t="s">
        <v>57</v>
      </c>
      <c r="Q1729" s="1" cm="1">
        <f t="array" ref="Q1729">VALUE(INDEX(_xlfn.TEXTSPLIT(P1729, " "), 4))</f>
        <v>2014</v>
      </c>
      <c r="R1729" s="1" t="str">
        <f t="shared" si="26"/>
        <v>Nissan Altima 2.5 S</v>
      </c>
      <c r="S1729" s="1" t="str" cm="1">
        <f t="array" ref="S1729">_xlfn.IFS(I1729 &gt;= 40, "High", I1729&gt;=20, "Medium", I1729&lt;20, "Low")</f>
        <v>Medium</v>
      </c>
      <c r="T1729" s="1" t="str" cm="1">
        <f t="array" ref="T1729">_xlfn.IFS(O1729&lt;18200, "Low", O1729&lt;=50000, "Medium", O1729&gt;50000, "High")</f>
        <v>Low</v>
      </c>
    </row>
    <row r="1730" spans="1:20" x14ac:dyDescent="0.25">
      <c r="A1730" s="2">
        <v>2012</v>
      </c>
      <c r="B1730" s="1" t="s">
        <v>47</v>
      </c>
      <c r="C1730" s="1" t="s">
        <v>212</v>
      </c>
      <c r="D1730" s="1" t="s">
        <v>2542</v>
      </c>
      <c r="E1730" s="1" t="s">
        <v>32</v>
      </c>
      <c r="F1730" s="1"/>
      <c r="G1730" s="1" t="s">
        <v>2543</v>
      </c>
      <c r="H1730" s="1" t="s">
        <v>22</v>
      </c>
      <c r="I1730" s="1">
        <v>43</v>
      </c>
      <c r="J1730" s="1">
        <v>23402</v>
      </c>
      <c r="K1730" s="1" t="s">
        <v>34</v>
      </c>
      <c r="L1730" s="1" t="s">
        <v>24</v>
      </c>
      <c r="M1730" s="1" t="s">
        <v>109</v>
      </c>
      <c r="N1730" s="1">
        <v>9600</v>
      </c>
      <c r="O1730" s="12">
        <v>10800</v>
      </c>
      <c r="P1730" s="3" t="s">
        <v>68</v>
      </c>
      <c r="Q1730" s="1" cm="1">
        <f t="array" ref="Q1730">VALUE(INDEX(_xlfn.TEXTSPLIT(P1730, " "), 4))</f>
        <v>2014</v>
      </c>
      <c r="R1730" s="1" t="str">
        <f t="shared" si="26"/>
        <v>Nissan Versa 1.6 S</v>
      </c>
      <c r="S1730" s="1" t="str" cm="1">
        <f t="array" ref="S1730">_xlfn.IFS(I1730 &gt;= 40, "High", I1730&gt;=20, "Medium", I1730&lt;20, "Low")</f>
        <v>High</v>
      </c>
      <c r="T1730" s="1" t="str" cm="1">
        <f t="array" ref="T1730">_xlfn.IFS(O1730&lt;18200, "Low", O1730&lt;=50000, "Medium", O1730&gt;50000, "High")</f>
        <v>Low</v>
      </c>
    </row>
    <row r="1731" spans="1:20" x14ac:dyDescent="0.25">
      <c r="A1731" s="2">
        <v>2012</v>
      </c>
      <c r="B1731" s="1" t="s">
        <v>47</v>
      </c>
      <c r="C1731" s="1" t="s">
        <v>959</v>
      </c>
      <c r="D1731" s="1" t="s">
        <v>960</v>
      </c>
      <c r="E1731" s="1" t="s">
        <v>227</v>
      </c>
      <c r="F1731" s="1" t="s">
        <v>20</v>
      </c>
      <c r="G1731" s="1" t="s">
        <v>2544</v>
      </c>
      <c r="H1731" s="1" t="s">
        <v>22</v>
      </c>
      <c r="I1731" s="1">
        <v>41</v>
      </c>
      <c r="J1731" s="1">
        <v>35541</v>
      </c>
      <c r="K1731" s="1" t="s">
        <v>94</v>
      </c>
      <c r="L1731" s="1" t="s">
        <v>34</v>
      </c>
      <c r="M1731" s="1" t="s">
        <v>217</v>
      </c>
      <c r="N1731" s="1">
        <v>10500</v>
      </c>
      <c r="O1731" s="12">
        <v>11000</v>
      </c>
      <c r="P1731" s="3" t="s">
        <v>251</v>
      </c>
      <c r="Q1731" s="1" cm="1">
        <f t="array" ref="Q1731">VALUE(INDEX(_xlfn.TEXTSPLIT(P1731, " "), 4))</f>
        <v>2014</v>
      </c>
      <c r="R1731" s="1" t="str">
        <f t="shared" ref="R1731:R1794" si="27">_xlfn.TEXTJOIN(" ", TRUE, B1731, C1731, D1731)</f>
        <v>Nissan Leaf SL</v>
      </c>
      <c r="S1731" s="1" t="str" cm="1">
        <f t="array" ref="S1731">_xlfn.IFS(I1731 &gt;= 40, "High", I1731&gt;=20, "Medium", I1731&lt;20, "Low")</f>
        <v>High</v>
      </c>
      <c r="T1731" s="1" t="str" cm="1">
        <f t="array" ref="T1731">_xlfn.IFS(O1731&lt;18200, "Low", O1731&lt;=50000, "Medium", O1731&gt;50000, "High")</f>
        <v>Low</v>
      </c>
    </row>
    <row r="1732" spans="1:20" x14ac:dyDescent="0.25">
      <c r="A1732" s="2">
        <v>2012</v>
      </c>
      <c r="B1732" s="1" t="s">
        <v>47</v>
      </c>
      <c r="C1732" s="1" t="s">
        <v>48</v>
      </c>
      <c r="D1732" s="1" t="s">
        <v>49</v>
      </c>
      <c r="E1732" s="1" t="s">
        <v>32</v>
      </c>
      <c r="F1732" s="1" t="s">
        <v>20</v>
      </c>
      <c r="G1732" s="1" t="s">
        <v>2545</v>
      </c>
      <c r="H1732" s="1" t="s">
        <v>22</v>
      </c>
      <c r="I1732" s="1">
        <v>26</v>
      </c>
      <c r="J1732" s="1">
        <v>29636</v>
      </c>
      <c r="K1732" s="1" t="s">
        <v>23</v>
      </c>
      <c r="L1732" s="1" t="s">
        <v>24</v>
      </c>
      <c r="M1732" s="1" t="s">
        <v>217</v>
      </c>
      <c r="N1732" s="1">
        <v>12700</v>
      </c>
      <c r="O1732" s="12">
        <v>10750</v>
      </c>
      <c r="P1732" s="3" t="s">
        <v>26</v>
      </c>
      <c r="Q1732" s="1" cm="1">
        <f t="array" ref="Q1732">VALUE(INDEX(_xlfn.TEXTSPLIT(P1732, " "), 4))</f>
        <v>2014</v>
      </c>
      <c r="R1732" s="1" t="str">
        <f t="shared" si="27"/>
        <v>Nissan Altima 2.5 S</v>
      </c>
      <c r="S1732" s="1" t="str" cm="1">
        <f t="array" ref="S1732">_xlfn.IFS(I1732 &gt;= 40, "High", I1732&gt;=20, "Medium", I1732&lt;20, "Low")</f>
        <v>Medium</v>
      </c>
      <c r="T1732" s="1" t="str" cm="1">
        <f t="array" ref="T1732">_xlfn.IFS(O1732&lt;18200, "Low", O1732&lt;=50000, "Medium", O1732&gt;50000, "High")</f>
        <v>Low</v>
      </c>
    </row>
    <row r="1733" spans="1:20" x14ac:dyDescent="0.25">
      <c r="A1733" s="2">
        <v>2012</v>
      </c>
      <c r="B1733" s="1" t="s">
        <v>2340</v>
      </c>
      <c r="C1733" s="1">
        <v>1500</v>
      </c>
      <c r="D1733" s="1" t="s">
        <v>2400</v>
      </c>
      <c r="E1733" s="1" t="s">
        <v>2401</v>
      </c>
      <c r="F1733" s="1" t="s">
        <v>20</v>
      </c>
      <c r="G1733" s="1" t="s">
        <v>2546</v>
      </c>
      <c r="H1733" s="1" t="s">
        <v>22</v>
      </c>
      <c r="I1733" s="1">
        <v>45</v>
      </c>
      <c r="J1733" s="1">
        <v>62646</v>
      </c>
      <c r="K1733" s="1" t="s">
        <v>91</v>
      </c>
      <c r="L1733" s="1" t="s">
        <v>34</v>
      </c>
      <c r="M1733" s="1" t="s">
        <v>2547</v>
      </c>
      <c r="N1733" s="1">
        <v>14850</v>
      </c>
      <c r="O1733" s="12">
        <v>15750</v>
      </c>
      <c r="P1733" s="3" t="s">
        <v>26</v>
      </c>
      <c r="Q1733" s="1" cm="1">
        <f t="array" ref="Q1733">VALUE(INDEX(_xlfn.TEXTSPLIT(P1733, " "), 4))</f>
        <v>2014</v>
      </c>
      <c r="R1733" s="1" t="str">
        <f t="shared" si="27"/>
        <v>Ram 1500 SLT</v>
      </c>
      <c r="S1733" s="1" t="str" cm="1">
        <f t="array" ref="S1733">_xlfn.IFS(I1733 &gt;= 40, "High", I1733&gt;=20, "Medium", I1733&lt;20, "Low")</f>
        <v>High</v>
      </c>
      <c r="T1733" s="1" t="str" cm="1">
        <f t="array" ref="T1733">_xlfn.IFS(O1733&lt;18200, "Low", O1733&lt;=50000, "Medium", O1733&gt;50000, "High")</f>
        <v>Low</v>
      </c>
    </row>
    <row r="1734" spans="1:20" x14ac:dyDescent="0.25">
      <c r="A1734" s="2">
        <v>2012</v>
      </c>
      <c r="B1734" s="1" t="s">
        <v>47</v>
      </c>
      <c r="C1734" s="1" t="s">
        <v>48</v>
      </c>
      <c r="D1734" s="1" t="s">
        <v>49</v>
      </c>
      <c r="E1734" s="1" t="s">
        <v>32</v>
      </c>
      <c r="F1734" s="1" t="s">
        <v>20</v>
      </c>
      <c r="G1734" s="1" t="s">
        <v>2548</v>
      </c>
      <c r="H1734" s="1" t="s">
        <v>22</v>
      </c>
      <c r="I1734" s="1">
        <v>38</v>
      </c>
      <c r="J1734" s="1">
        <v>36396</v>
      </c>
      <c r="K1734" s="1" t="s">
        <v>101</v>
      </c>
      <c r="L1734" s="1" t="s">
        <v>24</v>
      </c>
      <c r="M1734" s="1" t="s">
        <v>217</v>
      </c>
      <c r="N1734" s="1">
        <v>12250</v>
      </c>
      <c r="O1734" s="12">
        <v>12400</v>
      </c>
      <c r="P1734" s="3" t="s">
        <v>57</v>
      </c>
      <c r="Q1734" s="1" cm="1">
        <f t="array" ref="Q1734">VALUE(INDEX(_xlfn.TEXTSPLIT(P1734, " "), 4))</f>
        <v>2014</v>
      </c>
      <c r="R1734" s="1" t="str">
        <f t="shared" si="27"/>
        <v>Nissan Altima 2.5 S</v>
      </c>
      <c r="S1734" s="1" t="str" cm="1">
        <f t="array" ref="S1734">_xlfn.IFS(I1734 &gt;= 40, "High", I1734&gt;=20, "Medium", I1734&lt;20, "Low")</f>
        <v>Medium</v>
      </c>
      <c r="T1734" s="1" t="str" cm="1">
        <f t="array" ref="T1734">_xlfn.IFS(O1734&lt;18200, "Low", O1734&lt;=50000, "Medium", O1734&gt;50000, "High")</f>
        <v>Low</v>
      </c>
    </row>
    <row r="1735" spans="1:20" x14ac:dyDescent="0.25">
      <c r="A1735" s="2">
        <v>2012</v>
      </c>
      <c r="B1735" s="1" t="s">
        <v>47</v>
      </c>
      <c r="C1735" s="1" t="s">
        <v>212</v>
      </c>
      <c r="D1735" s="1" t="s">
        <v>2542</v>
      </c>
      <c r="E1735" s="1" t="s">
        <v>32</v>
      </c>
      <c r="F1735" s="1" t="s">
        <v>20</v>
      </c>
      <c r="G1735" s="1" t="s">
        <v>2549</v>
      </c>
      <c r="H1735" s="1" t="s">
        <v>22</v>
      </c>
      <c r="I1735" s="1">
        <v>44</v>
      </c>
      <c r="J1735" s="1">
        <v>53923</v>
      </c>
      <c r="K1735" s="1" t="s">
        <v>94</v>
      </c>
      <c r="L1735" s="1" t="s">
        <v>24</v>
      </c>
      <c r="M1735" s="1" t="s">
        <v>635</v>
      </c>
      <c r="N1735" s="1">
        <v>7925</v>
      </c>
      <c r="O1735" s="12">
        <v>8200</v>
      </c>
      <c r="P1735" s="3" t="s">
        <v>68</v>
      </c>
      <c r="Q1735" s="1" cm="1">
        <f t="array" ref="Q1735">VALUE(INDEX(_xlfn.TEXTSPLIT(P1735, " "), 4))</f>
        <v>2014</v>
      </c>
      <c r="R1735" s="1" t="str">
        <f t="shared" si="27"/>
        <v>Nissan Versa 1.6 S</v>
      </c>
      <c r="S1735" s="1" t="str" cm="1">
        <f t="array" ref="S1735">_xlfn.IFS(I1735 &gt;= 40, "High", I1735&gt;=20, "Medium", I1735&lt;20, "Low")</f>
        <v>High</v>
      </c>
      <c r="T1735" s="1" t="str" cm="1">
        <f t="array" ref="T1735">_xlfn.IFS(O1735&lt;18200, "Low", O1735&lt;=50000, "Medium", O1735&gt;50000, "High")</f>
        <v>Low</v>
      </c>
    </row>
    <row r="1736" spans="1:20" x14ac:dyDescent="0.25">
      <c r="A1736" s="2">
        <v>2012</v>
      </c>
      <c r="B1736" s="1" t="s">
        <v>2550</v>
      </c>
      <c r="C1736" s="1" t="s">
        <v>2551</v>
      </c>
      <c r="D1736" s="1" t="s">
        <v>2552</v>
      </c>
      <c r="E1736" s="1" t="s">
        <v>227</v>
      </c>
      <c r="F1736" s="1" t="s">
        <v>20</v>
      </c>
      <c r="G1736" s="1" t="s">
        <v>2553</v>
      </c>
      <c r="H1736" s="1" t="s">
        <v>22</v>
      </c>
      <c r="I1736" s="1">
        <v>44</v>
      </c>
      <c r="J1736" s="1">
        <v>39963</v>
      </c>
      <c r="K1736" s="1" t="s">
        <v>91</v>
      </c>
      <c r="L1736" s="1" t="s">
        <v>24</v>
      </c>
      <c r="M1736" s="1" t="s">
        <v>612</v>
      </c>
      <c r="N1736" s="1">
        <v>5975</v>
      </c>
      <c r="O1736" s="12">
        <v>7250</v>
      </c>
      <c r="P1736" s="3" t="s">
        <v>46</v>
      </c>
      <c r="Q1736" s="1" cm="1">
        <f t="array" ref="Q1736">VALUE(INDEX(_xlfn.TEXTSPLIT(P1736, " "), 4))</f>
        <v>2014</v>
      </c>
      <c r="R1736" s="1" t="str">
        <f t="shared" si="27"/>
        <v>smart fortwo passion coupe</v>
      </c>
      <c r="S1736" s="1" t="str" cm="1">
        <f t="array" ref="S1736">_xlfn.IFS(I1736 &gt;= 40, "High", I1736&gt;=20, "Medium", I1736&lt;20, "Low")</f>
        <v>High</v>
      </c>
      <c r="T1736" s="1" t="str" cm="1">
        <f t="array" ref="T1736">_xlfn.IFS(O1736&lt;18200, "Low", O1736&lt;=50000, "Medium", O1736&gt;50000, "High")</f>
        <v>Low</v>
      </c>
    </row>
    <row r="1737" spans="1:20" x14ac:dyDescent="0.25">
      <c r="A1737" s="2">
        <v>2012</v>
      </c>
      <c r="B1737" s="1" t="s">
        <v>47</v>
      </c>
      <c r="C1737" s="1" t="s">
        <v>48</v>
      </c>
      <c r="D1737" s="1" t="s">
        <v>49</v>
      </c>
      <c r="E1737" s="1" t="s">
        <v>32</v>
      </c>
      <c r="F1737" s="1" t="s">
        <v>20</v>
      </c>
      <c r="G1737" s="1" t="s">
        <v>2554</v>
      </c>
      <c r="H1737" s="1" t="s">
        <v>22</v>
      </c>
      <c r="I1737" s="1">
        <v>41</v>
      </c>
      <c r="J1737" s="1">
        <v>6265</v>
      </c>
      <c r="K1737" s="1" t="s">
        <v>24</v>
      </c>
      <c r="L1737" s="1" t="s">
        <v>34</v>
      </c>
      <c r="M1737" s="1" t="s">
        <v>217</v>
      </c>
      <c r="N1737" s="1">
        <v>14250</v>
      </c>
      <c r="O1737" s="12">
        <v>13000</v>
      </c>
      <c r="P1737" s="3" t="s">
        <v>26</v>
      </c>
      <c r="Q1737" s="1" cm="1">
        <f t="array" ref="Q1737">VALUE(INDEX(_xlfn.TEXTSPLIT(P1737, " "), 4))</f>
        <v>2014</v>
      </c>
      <c r="R1737" s="1" t="str">
        <f t="shared" si="27"/>
        <v>Nissan Altima 2.5 S</v>
      </c>
      <c r="S1737" s="1" t="str" cm="1">
        <f t="array" ref="S1737">_xlfn.IFS(I1737 &gt;= 40, "High", I1737&gt;=20, "Medium", I1737&lt;20, "Low")</f>
        <v>High</v>
      </c>
      <c r="T1737" s="1" t="str" cm="1">
        <f t="array" ref="T1737">_xlfn.IFS(O1737&lt;18200, "Low", O1737&lt;=50000, "Medium", O1737&gt;50000, "High")</f>
        <v>Low</v>
      </c>
    </row>
    <row r="1738" spans="1:20" x14ac:dyDescent="0.25">
      <c r="A1738" s="2">
        <v>2012</v>
      </c>
      <c r="B1738" s="1" t="s">
        <v>2327</v>
      </c>
      <c r="C1738" s="1" t="s">
        <v>2328</v>
      </c>
      <c r="D1738" s="1"/>
      <c r="E1738" s="1"/>
      <c r="F1738" s="1" t="s">
        <v>20</v>
      </c>
      <c r="G1738" s="1" t="s">
        <v>2555</v>
      </c>
      <c r="H1738" s="1" t="s">
        <v>22</v>
      </c>
      <c r="I1738" s="1">
        <v>41</v>
      </c>
      <c r="J1738" s="1">
        <v>65632</v>
      </c>
      <c r="K1738" s="1" t="s">
        <v>23</v>
      </c>
      <c r="L1738" s="1" t="s">
        <v>34</v>
      </c>
      <c r="M1738" s="1" t="s">
        <v>431</v>
      </c>
      <c r="N1738" s="1">
        <v>7900</v>
      </c>
      <c r="O1738" s="12">
        <v>8000</v>
      </c>
      <c r="P1738" s="3" t="s">
        <v>57</v>
      </c>
      <c r="Q1738" s="1" cm="1">
        <f t="array" ref="Q1738">VALUE(INDEX(_xlfn.TEXTSPLIT(P1738, " "), 4))</f>
        <v>2014</v>
      </c>
      <c r="R1738" s="1" t="str">
        <f t="shared" si="27"/>
        <v>mitsubishi galant</v>
      </c>
      <c r="S1738" s="1" t="str" cm="1">
        <f t="array" ref="S1738">_xlfn.IFS(I1738 &gt;= 40, "High", I1738&gt;=20, "Medium", I1738&lt;20, "Low")</f>
        <v>High</v>
      </c>
      <c r="T1738" s="1" t="str" cm="1">
        <f t="array" ref="T1738">_xlfn.IFS(O1738&lt;18200, "Low", O1738&lt;=50000, "Medium", O1738&gt;50000, "High")</f>
        <v>Low</v>
      </c>
    </row>
    <row r="1739" spans="1:20" x14ac:dyDescent="0.25">
      <c r="A1739" s="2">
        <v>2012</v>
      </c>
      <c r="B1739" s="1" t="s">
        <v>47</v>
      </c>
      <c r="C1739" s="1" t="s">
        <v>48</v>
      </c>
      <c r="D1739" s="1" t="s">
        <v>49</v>
      </c>
      <c r="E1739" s="1" t="s">
        <v>32</v>
      </c>
      <c r="F1739" s="1" t="s">
        <v>20</v>
      </c>
      <c r="G1739" s="1" t="s">
        <v>2556</v>
      </c>
      <c r="H1739" s="1" t="s">
        <v>22</v>
      </c>
      <c r="I1739" s="1">
        <v>32</v>
      </c>
      <c r="J1739" s="1">
        <v>23090</v>
      </c>
      <c r="K1739" s="1" t="s">
        <v>23</v>
      </c>
      <c r="L1739" s="1" t="s">
        <v>24</v>
      </c>
      <c r="M1739" s="1" t="s">
        <v>217</v>
      </c>
      <c r="N1739" s="1">
        <v>13150</v>
      </c>
      <c r="O1739" s="12">
        <v>12750</v>
      </c>
      <c r="P1739" s="3" t="s">
        <v>26</v>
      </c>
      <c r="Q1739" s="1" cm="1">
        <f t="array" ref="Q1739">VALUE(INDEX(_xlfn.TEXTSPLIT(P1739, " "), 4))</f>
        <v>2014</v>
      </c>
      <c r="R1739" s="1" t="str">
        <f t="shared" si="27"/>
        <v>Nissan Altima 2.5 S</v>
      </c>
      <c r="S1739" s="1" t="str" cm="1">
        <f t="array" ref="S1739">_xlfn.IFS(I1739 &gt;= 40, "High", I1739&gt;=20, "Medium", I1739&lt;20, "Low")</f>
        <v>Medium</v>
      </c>
      <c r="T1739" s="1" t="str" cm="1">
        <f t="array" ref="T1739">_xlfn.IFS(O1739&lt;18200, "Low", O1739&lt;=50000, "Medium", O1739&gt;50000, "High")</f>
        <v>Low</v>
      </c>
    </row>
    <row r="1740" spans="1:20" x14ac:dyDescent="0.25">
      <c r="A1740" s="2">
        <v>2011</v>
      </c>
      <c r="B1740" s="1" t="s">
        <v>29</v>
      </c>
      <c r="C1740" s="1" t="s">
        <v>30</v>
      </c>
      <c r="D1740" s="1" t="s">
        <v>1282</v>
      </c>
      <c r="E1740" s="1" t="s">
        <v>107</v>
      </c>
      <c r="F1740" s="1" t="s">
        <v>20</v>
      </c>
      <c r="G1740" s="1" t="s">
        <v>2557</v>
      </c>
      <c r="H1740" s="1" t="s">
        <v>22</v>
      </c>
      <c r="I1740" s="1">
        <v>28</v>
      </c>
      <c r="J1740" s="1">
        <v>31272</v>
      </c>
      <c r="K1740" s="1" t="s">
        <v>23</v>
      </c>
      <c r="L1740" s="1" t="s">
        <v>24</v>
      </c>
      <c r="M1740" s="1" t="s">
        <v>35</v>
      </c>
      <c r="N1740" s="1">
        <v>20700</v>
      </c>
      <c r="O1740" s="12">
        <v>21750</v>
      </c>
      <c r="P1740" s="3" t="s">
        <v>46</v>
      </c>
      <c r="Q1740" s="1" cm="1">
        <f t="array" ref="Q1740">VALUE(INDEX(_xlfn.TEXTSPLIT(P1740, " "), 4))</f>
        <v>2014</v>
      </c>
      <c r="R1740" s="1" t="str">
        <f t="shared" si="27"/>
        <v>BMW 3 Series 328i</v>
      </c>
      <c r="S1740" s="1" t="str" cm="1">
        <f t="array" ref="S1740">_xlfn.IFS(I1740 &gt;= 40, "High", I1740&gt;=20, "Medium", I1740&lt;20, "Low")</f>
        <v>Medium</v>
      </c>
      <c r="T1740" s="1" t="str" cm="1">
        <f t="array" ref="T1740">_xlfn.IFS(O1740&lt;18200, "Low", O1740&lt;=50000, "Medium", O1740&gt;50000, "High")</f>
        <v>Medium</v>
      </c>
    </row>
    <row r="1741" spans="1:20" x14ac:dyDescent="0.25">
      <c r="A1741" s="2">
        <v>2011</v>
      </c>
      <c r="B1741" s="1" t="s">
        <v>29</v>
      </c>
      <c r="C1741" s="1" t="s">
        <v>30</v>
      </c>
      <c r="D1741" s="1" t="s">
        <v>1312</v>
      </c>
      <c r="E1741" s="1" t="s">
        <v>71</v>
      </c>
      <c r="F1741" s="1" t="s">
        <v>20</v>
      </c>
      <c r="G1741" s="1" t="s">
        <v>2558</v>
      </c>
      <c r="H1741" s="1" t="s">
        <v>22</v>
      </c>
      <c r="I1741" s="1">
        <v>39</v>
      </c>
      <c r="J1741" s="1">
        <v>31946</v>
      </c>
      <c r="K1741" s="1" t="s">
        <v>24</v>
      </c>
      <c r="L1741" s="1" t="s">
        <v>24</v>
      </c>
      <c r="M1741" s="1" t="s">
        <v>35</v>
      </c>
      <c r="N1741" s="1">
        <v>28200</v>
      </c>
      <c r="O1741" s="12">
        <v>27000</v>
      </c>
      <c r="P1741" s="3" t="s">
        <v>46</v>
      </c>
      <c r="Q1741" s="1" cm="1">
        <f t="array" ref="Q1741">VALUE(INDEX(_xlfn.TEXTSPLIT(P1741, " "), 4))</f>
        <v>2014</v>
      </c>
      <c r="R1741" s="1" t="str">
        <f t="shared" si="27"/>
        <v>BMW 3 Series 335i</v>
      </c>
      <c r="S1741" s="1" t="str" cm="1">
        <f t="array" ref="S1741">_xlfn.IFS(I1741 &gt;= 40, "High", I1741&gt;=20, "Medium", I1741&lt;20, "Low")</f>
        <v>Medium</v>
      </c>
      <c r="T1741" s="1" t="str" cm="1">
        <f t="array" ref="T1741">_xlfn.IFS(O1741&lt;18200, "Low", O1741&lt;=50000, "Medium", O1741&gt;50000, "High")</f>
        <v>Medium</v>
      </c>
    </row>
    <row r="1742" spans="1:20" x14ac:dyDescent="0.25">
      <c r="A1742" s="2">
        <v>2011</v>
      </c>
      <c r="B1742" s="1" t="s">
        <v>29</v>
      </c>
      <c r="C1742" s="1" t="s">
        <v>30</v>
      </c>
      <c r="D1742" s="1" t="s">
        <v>1282</v>
      </c>
      <c r="E1742" s="1" t="s">
        <v>32</v>
      </c>
      <c r="F1742" s="1" t="s">
        <v>20</v>
      </c>
      <c r="G1742" s="1" t="s">
        <v>2559</v>
      </c>
      <c r="H1742" s="1" t="s">
        <v>22</v>
      </c>
      <c r="I1742" s="1">
        <v>4</v>
      </c>
      <c r="J1742" s="1">
        <v>52875</v>
      </c>
      <c r="K1742" s="1" t="s">
        <v>24</v>
      </c>
      <c r="L1742" s="1" t="s">
        <v>28</v>
      </c>
      <c r="M1742" s="1" t="s">
        <v>35</v>
      </c>
      <c r="N1742" s="1">
        <v>16950</v>
      </c>
      <c r="O1742" s="12">
        <v>18000</v>
      </c>
      <c r="P1742" s="3" t="s">
        <v>46</v>
      </c>
      <c r="Q1742" s="1" cm="1">
        <f t="array" ref="Q1742">VALUE(INDEX(_xlfn.TEXTSPLIT(P1742, " "), 4))</f>
        <v>2014</v>
      </c>
      <c r="R1742" s="1" t="str">
        <f t="shared" si="27"/>
        <v>BMW 3 Series 328i</v>
      </c>
      <c r="S1742" s="1" t="str" cm="1">
        <f t="array" ref="S1742">_xlfn.IFS(I1742 &gt;= 40, "High", I1742&gt;=20, "Medium", I1742&lt;20, "Low")</f>
        <v>Low</v>
      </c>
      <c r="T1742" s="1" t="str" cm="1">
        <f t="array" ref="T1742">_xlfn.IFS(O1742&lt;18200, "Low", O1742&lt;=50000, "Medium", O1742&gt;50000, "High")</f>
        <v>Low</v>
      </c>
    </row>
    <row r="1743" spans="1:20" x14ac:dyDescent="0.25">
      <c r="A1743" s="2">
        <v>2011</v>
      </c>
      <c r="B1743" s="1" t="s">
        <v>29</v>
      </c>
      <c r="C1743" s="1" t="s">
        <v>30</v>
      </c>
      <c r="D1743" s="1" t="s">
        <v>1282</v>
      </c>
      <c r="E1743" s="1" t="s">
        <v>32</v>
      </c>
      <c r="F1743" s="1" t="s">
        <v>20</v>
      </c>
      <c r="G1743" s="1" t="s">
        <v>2560</v>
      </c>
      <c r="H1743" s="1" t="s">
        <v>22</v>
      </c>
      <c r="I1743" s="1">
        <v>43</v>
      </c>
      <c r="J1743" s="1">
        <v>31315</v>
      </c>
      <c r="K1743" s="1" t="s">
        <v>24</v>
      </c>
      <c r="L1743" s="1" t="s">
        <v>24</v>
      </c>
      <c r="M1743" s="1" t="s">
        <v>35</v>
      </c>
      <c r="N1743" s="1">
        <v>19850</v>
      </c>
      <c r="O1743" s="12">
        <v>20750</v>
      </c>
      <c r="P1743" s="3" t="s">
        <v>46</v>
      </c>
      <c r="Q1743" s="1" cm="1">
        <f t="array" ref="Q1743">VALUE(INDEX(_xlfn.TEXTSPLIT(P1743, " "), 4))</f>
        <v>2014</v>
      </c>
      <c r="R1743" s="1" t="str">
        <f t="shared" si="27"/>
        <v>BMW 3 Series 328i</v>
      </c>
      <c r="S1743" s="1" t="str" cm="1">
        <f t="array" ref="S1743">_xlfn.IFS(I1743 &gt;= 40, "High", I1743&gt;=20, "Medium", I1743&lt;20, "Low")</f>
        <v>High</v>
      </c>
      <c r="T1743" s="1" t="str" cm="1">
        <f t="array" ref="T1743">_xlfn.IFS(O1743&lt;18200, "Low", O1743&lt;=50000, "Medium", O1743&gt;50000, "High")</f>
        <v>Medium</v>
      </c>
    </row>
    <row r="1744" spans="1:20" x14ac:dyDescent="0.25">
      <c r="A1744" s="2">
        <v>2011</v>
      </c>
      <c r="B1744" s="1" t="s">
        <v>29</v>
      </c>
      <c r="C1744" s="1" t="s">
        <v>30</v>
      </c>
      <c r="D1744" s="1" t="s">
        <v>1282</v>
      </c>
      <c r="E1744" s="1" t="s">
        <v>32</v>
      </c>
      <c r="F1744" s="1" t="s">
        <v>20</v>
      </c>
      <c r="G1744" s="1" t="s">
        <v>2561</v>
      </c>
      <c r="H1744" s="1" t="s">
        <v>22</v>
      </c>
      <c r="I1744" s="1">
        <v>46</v>
      </c>
      <c r="J1744" s="1">
        <v>11802</v>
      </c>
      <c r="K1744" s="1" t="s">
        <v>34</v>
      </c>
      <c r="L1744" s="1" t="s">
        <v>28</v>
      </c>
      <c r="M1744" s="1" t="s">
        <v>35</v>
      </c>
      <c r="N1744" s="1">
        <v>22500</v>
      </c>
      <c r="O1744" s="12">
        <v>23000</v>
      </c>
      <c r="P1744" s="3" t="s">
        <v>46</v>
      </c>
      <c r="Q1744" s="1" cm="1">
        <f t="array" ref="Q1744">VALUE(INDEX(_xlfn.TEXTSPLIT(P1744, " "), 4))</f>
        <v>2014</v>
      </c>
      <c r="R1744" s="1" t="str">
        <f t="shared" si="27"/>
        <v>BMW 3 Series 328i</v>
      </c>
      <c r="S1744" s="1" t="str" cm="1">
        <f t="array" ref="S1744">_xlfn.IFS(I1744 &gt;= 40, "High", I1744&gt;=20, "Medium", I1744&lt;20, "Low")</f>
        <v>High</v>
      </c>
      <c r="T1744" s="1" t="str" cm="1">
        <f t="array" ref="T1744">_xlfn.IFS(O1744&lt;18200, "Low", O1744&lt;=50000, "Medium", O1744&gt;50000, "High")</f>
        <v>Medium</v>
      </c>
    </row>
    <row r="1745" spans="1:20" x14ac:dyDescent="0.25">
      <c r="A1745" s="2">
        <v>2011</v>
      </c>
      <c r="B1745" s="1" t="s">
        <v>29</v>
      </c>
      <c r="C1745" s="1" t="s">
        <v>117</v>
      </c>
      <c r="D1745" s="1" t="s">
        <v>1500</v>
      </c>
      <c r="E1745" s="1" t="s">
        <v>32</v>
      </c>
      <c r="F1745" s="1" t="s">
        <v>20</v>
      </c>
      <c r="G1745" s="1" t="s">
        <v>2562</v>
      </c>
      <c r="H1745" s="1" t="s">
        <v>22</v>
      </c>
      <c r="I1745" s="1">
        <v>43</v>
      </c>
      <c r="J1745" s="1">
        <v>40276</v>
      </c>
      <c r="K1745" s="1" t="s">
        <v>24</v>
      </c>
      <c r="L1745" s="1" t="s">
        <v>24</v>
      </c>
      <c r="M1745" s="1" t="s">
        <v>35</v>
      </c>
      <c r="N1745" s="1">
        <v>29000</v>
      </c>
      <c r="O1745" s="12">
        <v>28600</v>
      </c>
      <c r="P1745" s="3" t="s">
        <v>46</v>
      </c>
      <c r="Q1745" s="1" cm="1">
        <f t="array" ref="Q1745">VALUE(INDEX(_xlfn.TEXTSPLIT(P1745, " "), 4))</f>
        <v>2014</v>
      </c>
      <c r="R1745" s="1" t="str">
        <f t="shared" si="27"/>
        <v>BMW 5 Series 535i xDrive</v>
      </c>
      <c r="S1745" s="1" t="str" cm="1">
        <f t="array" ref="S1745">_xlfn.IFS(I1745 &gt;= 40, "High", I1745&gt;=20, "Medium", I1745&lt;20, "Low")</f>
        <v>High</v>
      </c>
      <c r="T1745" s="1" t="str" cm="1">
        <f t="array" ref="T1745">_xlfn.IFS(O1745&lt;18200, "Low", O1745&lt;=50000, "Medium", O1745&gt;50000, "High")</f>
        <v>Medium</v>
      </c>
    </row>
    <row r="1746" spans="1:20" x14ac:dyDescent="0.25">
      <c r="A1746" s="2">
        <v>2011</v>
      </c>
      <c r="B1746" s="1" t="s">
        <v>63</v>
      </c>
      <c r="C1746" s="1" t="s">
        <v>64</v>
      </c>
      <c r="D1746" s="1" t="s">
        <v>2563</v>
      </c>
      <c r="E1746" s="1" t="s">
        <v>32</v>
      </c>
      <c r="F1746" s="1" t="s">
        <v>20</v>
      </c>
      <c r="G1746" s="1" t="s">
        <v>2564</v>
      </c>
      <c r="H1746" s="1" t="s">
        <v>22</v>
      </c>
      <c r="I1746" s="1">
        <v>26</v>
      </c>
      <c r="J1746" s="1">
        <v>34058</v>
      </c>
      <c r="K1746" s="1" t="s">
        <v>24</v>
      </c>
      <c r="L1746" s="1" t="s">
        <v>24</v>
      </c>
      <c r="M1746" s="1" t="s">
        <v>625</v>
      </c>
      <c r="N1746" s="1">
        <v>17100</v>
      </c>
      <c r="O1746" s="12">
        <v>16000</v>
      </c>
      <c r="P1746" s="3" t="s">
        <v>362</v>
      </c>
      <c r="Q1746" s="1" cm="1">
        <f t="array" ref="Q1746">VALUE(INDEX(_xlfn.TEXTSPLIT(P1746, " "), 4))</f>
        <v>2014</v>
      </c>
      <c r="R1746" s="1" t="str">
        <f t="shared" si="27"/>
        <v>Audi A4 2.0T Premium</v>
      </c>
      <c r="S1746" s="1" t="str" cm="1">
        <f t="array" ref="S1746">_xlfn.IFS(I1746 &gt;= 40, "High", I1746&gt;=20, "Medium", I1746&lt;20, "Low")</f>
        <v>Medium</v>
      </c>
      <c r="T1746" s="1" t="str" cm="1">
        <f t="array" ref="T1746">_xlfn.IFS(O1746&lt;18200, "Low", O1746&lt;=50000, "Medium", O1746&gt;50000, "High")</f>
        <v>Low</v>
      </c>
    </row>
    <row r="1747" spans="1:20" x14ac:dyDescent="0.25">
      <c r="A1747" s="2">
        <v>2012</v>
      </c>
      <c r="B1747" s="1" t="s">
        <v>927</v>
      </c>
      <c r="C1747" s="1" t="s">
        <v>928</v>
      </c>
      <c r="D1747" s="1" t="s">
        <v>663</v>
      </c>
      <c r="E1747" s="1" t="s">
        <v>32</v>
      </c>
      <c r="F1747" s="1" t="s">
        <v>20</v>
      </c>
      <c r="G1747" s="1" t="s">
        <v>2565</v>
      </c>
      <c r="H1747" s="1" t="s">
        <v>22</v>
      </c>
      <c r="I1747" s="1">
        <v>21</v>
      </c>
      <c r="J1747" s="1">
        <v>60316</v>
      </c>
      <c r="K1747" s="1" t="s">
        <v>23</v>
      </c>
      <c r="L1747" s="1" t="s">
        <v>34</v>
      </c>
      <c r="M1747" s="1" t="s">
        <v>56</v>
      </c>
      <c r="N1747" s="1">
        <v>9450</v>
      </c>
      <c r="O1747" s="12">
        <v>8300</v>
      </c>
      <c r="P1747" s="3" t="s">
        <v>26</v>
      </c>
      <c r="Q1747" s="1" cm="1">
        <f t="array" ref="Q1747">VALUE(INDEX(_xlfn.TEXTSPLIT(P1747, " "), 4))</f>
        <v>2014</v>
      </c>
      <c r="R1747" s="1" t="str">
        <f t="shared" si="27"/>
        <v>Toyota Corolla LE</v>
      </c>
      <c r="S1747" s="1" t="str" cm="1">
        <f t="array" ref="S1747">_xlfn.IFS(I1747 &gt;= 40, "High", I1747&gt;=20, "Medium", I1747&lt;20, "Low")</f>
        <v>Medium</v>
      </c>
      <c r="T1747" s="1" t="str" cm="1">
        <f t="array" ref="T1747">_xlfn.IFS(O1747&lt;18200, "Low", O1747&lt;=50000, "Medium", O1747&gt;50000, "High")</f>
        <v>Low</v>
      </c>
    </row>
    <row r="1748" spans="1:20" x14ac:dyDescent="0.25">
      <c r="A1748" s="2">
        <v>2012</v>
      </c>
      <c r="B1748" s="1" t="s">
        <v>921</v>
      </c>
      <c r="C1748" s="1" t="s">
        <v>2566</v>
      </c>
      <c r="D1748" s="1" t="s">
        <v>2567</v>
      </c>
      <c r="E1748" s="1" t="s">
        <v>32</v>
      </c>
      <c r="F1748" s="1" t="s">
        <v>20</v>
      </c>
      <c r="G1748" s="1" t="s">
        <v>2568</v>
      </c>
      <c r="H1748" s="1" t="s">
        <v>22</v>
      </c>
      <c r="I1748" s="1">
        <v>1</v>
      </c>
      <c r="J1748" s="1">
        <v>31165</v>
      </c>
      <c r="K1748" s="1" t="s">
        <v>24</v>
      </c>
      <c r="L1748" s="1" t="s">
        <v>24</v>
      </c>
      <c r="M1748" s="1" t="s">
        <v>925</v>
      </c>
      <c r="N1748" s="1">
        <v>14600</v>
      </c>
      <c r="O1748" s="12">
        <v>11500</v>
      </c>
      <c r="P1748" s="3" t="s">
        <v>84</v>
      </c>
      <c r="Q1748" s="1" cm="1">
        <f t="array" ref="Q1748">VALUE(INDEX(_xlfn.TEXTSPLIT(P1748, " "), 4))</f>
        <v>2014</v>
      </c>
      <c r="R1748" s="1" t="str">
        <f t="shared" si="27"/>
        <v>Volkswagen GLI Autobahn PZEV</v>
      </c>
      <c r="S1748" s="1" t="str" cm="1">
        <f t="array" ref="S1748">_xlfn.IFS(I1748 &gt;= 40, "High", I1748&gt;=20, "Medium", I1748&lt;20, "Low")</f>
        <v>Low</v>
      </c>
      <c r="T1748" s="1" t="str" cm="1">
        <f t="array" ref="T1748">_xlfn.IFS(O1748&lt;18200, "Low", O1748&lt;=50000, "Medium", O1748&gt;50000, "High")</f>
        <v>Low</v>
      </c>
    </row>
    <row r="1749" spans="1:20" x14ac:dyDescent="0.25">
      <c r="A1749" s="2">
        <v>2011</v>
      </c>
      <c r="B1749" s="1" t="s">
        <v>29</v>
      </c>
      <c r="C1749" s="1" t="s">
        <v>30</v>
      </c>
      <c r="D1749" s="1" t="s">
        <v>1312</v>
      </c>
      <c r="E1749" s="1" t="s">
        <v>32</v>
      </c>
      <c r="F1749" s="1" t="s">
        <v>20</v>
      </c>
      <c r="G1749" s="1" t="s">
        <v>2569</v>
      </c>
      <c r="H1749" s="1" t="s">
        <v>22</v>
      </c>
      <c r="I1749" s="1">
        <v>43</v>
      </c>
      <c r="J1749" s="1">
        <v>42012</v>
      </c>
      <c r="K1749" s="1" t="s">
        <v>34</v>
      </c>
      <c r="L1749" s="1" t="s">
        <v>24</v>
      </c>
      <c r="M1749" s="1" t="s">
        <v>35</v>
      </c>
      <c r="N1749" s="1">
        <v>23700</v>
      </c>
      <c r="O1749" s="12">
        <v>25500</v>
      </c>
      <c r="P1749" s="3" t="s">
        <v>46</v>
      </c>
      <c r="Q1749" s="1" cm="1">
        <f t="array" ref="Q1749">VALUE(INDEX(_xlfn.TEXTSPLIT(P1749, " "), 4))</f>
        <v>2014</v>
      </c>
      <c r="R1749" s="1" t="str">
        <f t="shared" si="27"/>
        <v>BMW 3 Series 335i</v>
      </c>
      <c r="S1749" s="1" t="str" cm="1">
        <f t="array" ref="S1749">_xlfn.IFS(I1749 &gt;= 40, "High", I1749&gt;=20, "Medium", I1749&lt;20, "Low")</f>
        <v>High</v>
      </c>
      <c r="T1749" s="1" t="str" cm="1">
        <f t="array" ref="T1749">_xlfn.IFS(O1749&lt;18200, "Low", O1749&lt;=50000, "Medium", O1749&gt;50000, "High")</f>
        <v>Medium</v>
      </c>
    </row>
    <row r="1750" spans="1:20" x14ac:dyDescent="0.25">
      <c r="A1750" s="2">
        <v>2011</v>
      </c>
      <c r="B1750" s="1" t="s">
        <v>29</v>
      </c>
      <c r="C1750" s="1" t="s">
        <v>30</v>
      </c>
      <c r="D1750" s="1" t="s">
        <v>1282</v>
      </c>
      <c r="E1750" s="1" t="s">
        <v>32</v>
      </c>
      <c r="F1750" s="1" t="s">
        <v>20</v>
      </c>
      <c r="G1750" s="1" t="s">
        <v>2570</v>
      </c>
      <c r="H1750" s="1" t="s">
        <v>22</v>
      </c>
      <c r="I1750" s="1">
        <v>42</v>
      </c>
      <c r="J1750" s="1">
        <v>33322</v>
      </c>
      <c r="K1750" s="1" t="s">
        <v>94</v>
      </c>
      <c r="L1750" s="1" t="s">
        <v>24</v>
      </c>
      <c r="M1750" s="1" t="s">
        <v>35</v>
      </c>
      <c r="N1750" s="1">
        <v>19600</v>
      </c>
      <c r="O1750" s="12">
        <v>20000</v>
      </c>
      <c r="P1750" s="3" t="s">
        <v>46</v>
      </c>
      <c r="Q1750" s="1" cm="1">
        <f t="array" ref="Q1750">VALUE(INDEX(_xlfn.TEXTSPLIT(P1750, " "), 4))</f>
        <v>2014</v>
      </c>
      <c r="R1750" s="1" t="str">
        <f t="shared" si="27"/>
        <v>BMW 3 Series 328i</v>
      </c>
      <c r="S1750" s="1" t="str" cm="1">
        <f t="array" ref="S1750">_xlfn.IFS(I1750 &gt;= 40, "High", I1750&gt;=20, "Medium", I1750&lt;20, "Low")</f>
        <v>High</v>
      </c>
      <c r="T1750" s="1" t="str" cm="1">
        <f t="array" ref="T1750">_xlfn.IFS(O1750&lt;18200, "Low", O1750&lt;=50000, "Medium", O1750&gt;50000, "High")</f>
        <v>Medium</v>
      </c>
    </row>
    <row r="1751" spans="1:20" x14ac:dyDescent="0.25">
      <c r="A1751" s="2">
        <v>2011</v>
      </c>
      <c r="B1751" s="1" t="s">
        <v>29</v>
      </c>
      <c r="C1751" s="1" t="s">
        <v>30</v>
      </c>
      <c r="D1751" s="1" t="s">
        <v>1282</v>
      </c>
      <c r="E1751" s="1" t="s">
        <v>32</v>
      </c>
      <c r="F1751" s="1" t="s">
        <v>20</v>
      </c>
      <c r="G1751" s="1" t="s">
        <v>2571</v>
      </c>
      <c r="H1751" s="1" t="s">
        <v>22</v>
      </c>
      <c r="I1751" s="1">
        <v>43</v>
      </c>
      <c r="J1751" s="1">
        <v>13579</v>
      </c>
      <c r="K1751" s="1" t="s">
        <v>549</v>
      </c>
      <c r="L1751" s="1" t="s">
        <v>101</v>
      </c>
      <c r="M1751" s="1" t="s">
        <v>35</v>
      </c>
      <c r="N1751" s="1">
        <v>22400</v>
      </c>
      <c r="O1751" s="12">
        <v>20500</v>
      </c>
      <c r="P1751" s="3" t="s">
        <v>36</v>
      </c>
      <c r="Q1751" s="1" cm="1">
        <f t="array" ref="Q1751">VALUE(INDEX(_xlfn.TEXTSPLIT(P1751, " "), 4))</f>
        <v>2015</v>
      </c>
      <c r="R1751" s="1" t="str">
        <f t="shared" si="27"/>
        <v>BMW 3 Series 328i</v>
      </c>
      <c r="S1751" s="1" t="str" cm="1">
        <f t="array" ref="S1751">_xlfn.IFS(I1751 &gt;= 40, "High", I1751&gt;=20, "Medium", I1751&lt;20, "Low")</f>
        <v>High</v>
      </c>
      <c r="T1751" s="1" t="str" cm="1">
        <f t="array" ref="T1751">_xlfn.IFS(O1751&lt;18200, "Low", O1751&lt;=50000, "Medium", O1751&gt;50000, "High")</f>
        <v>Medium</v>
      </c>
    </row>
    <row r="1752" spans="1:20" x14ac:dyDescent="0.25">
      <c r="A1752" s="2">
        <v>2012</v>
      </c>
      <c r="B1752" s="1" t="s">
        <v>927</v>
      </c>
      <c r="C1752" s="1" t="s">
        <v>1053</v>
      </c>
      <c r="D1752" s="1" t="s">
        <v>2572</v>
      </c>
      <c r="E1752" s="1" t="s">
        <v>227</v>
      </c>
      <c r="F1752" s="1" t="s">
        <v>20</v>
      </c>
      <c r="G1752" s="1" t="s">
        <v>2573</v>
      </c>
      <c r="H1752" s="1" t="s">
        <v>22</v>
      </c>
      <c r="I1752" s="1">
        <v>4</v>
      </c>
      <c r="J1752" s="1">
        <v>36550</v>
      </c>
      <c r="K1752" s="1" t="s">
        <v>2574</v>
      </c>
      <c r="L1752" s="1" t="s">
        <v>34</v>
      </c>
      <c r="M1752" s="1" t="s">
        <v>1096</v>
      </c>
      <c r="N1752" s="1">
        <v>15800</v>
      </c>
      <c r="O1752" s="12">
        <v>16300</v>
      </c>
      <c r="P1752" s="3" t="s">
        <v>57</v>
      </c>
      <c r="Q1752" s="1" cm="1">
        <f t="array" ref="Q1752">VALUE(INDEX(_xlfn.TEXTSPLIT(P1752, " "), 4))</f>
        <v>2014</v>
      </c>
      <c r="R1752" s="1" t="str">
        <f t="shared" si="27"/>
        <v>Toyota Prius Three</v>
      </c>
      <c r="S1752" s="1" t="str" cm="1">
        <f t="array" ref="S1752">_xlfn.IFS(I1752 &gt;= 40, "High", I1752&gt;=20, "Medium", I1752&lt;20, "Low")</f>
        <v>Low</v>
      </c>
      <c r="T1752" s="1" t="str" cm="1">
        <f t="array" ref="T1752">_xlfn.IFS(O1752&lt;18200, "Low", O1752&lt;=50000, "Medium", O1752&gt;50000, "High")</f>
        <v>Low</v>
      </c>
    </row>
    <row r="1753" spans="1:20" x14ac:dyDescent="0.25">
      <c r="A1753" s="2">
        <v>2011</v>
      </c>
      <c r="B1753" s="1" t="s">
        <v>29</v>
      </c>
      <c r="C1753" s="1" t="s">
        <v>30</v>
      </c>
      <c r="D1753" s="1" t="s">
        <v>1312</v>
      </c>
      <c r="E1753" s="1" t="s">
        <v>32</v>
      </c>
      <c r="F1753" s="1" t="s">
        <v>20</v>
      </c>
      <c r="G1753" s="1" t="s">
        <v>2575</v>
      </c>
      <c r="H1753" s="1" t="s">
        <v>22</v>
      </c>
      <c r="I1753" s="1">
        <v>44</v>
      </c>
      <c r="J1753" s="1">
        <v>23723</v>
      </c>
      <c r="K1753" s="1" t="s">
        <v>23</v>
      </c>
      <c r="L1753" s="1" t="s">
        <v>24</v>
      </c>
      <c r="M1753" s="1" t="s">
        <v>35</v>
      </c>
      <c r="N1753" s="1">
        <v>26100</v>
      </c>
      <c r="O1753" s="12">
        <v>28500</v>
      </c>
      <c r="P1753" s="3" t="s">
        <v>46</v>
      </c>
      <c r="Q1753" s="1" cm="1">
        <f t="array" ref="Q1753">VALUE(INDEX(_xlfn.TEXTSPLIT(P1753, " "), 4))</f>
        <v>2014</v>
      </c>
      <c r="R1753" s="1" t="str">
        <f t="shared" si="27"/>
        <v>BMW 3 Series 335i</v>
      </c>
      <c r="S1753" s="1" t="str" cm="1">
        <f t="array" ref="S1753">_xlfn.IFS(I1753 &gt;= 40, "High", I1753&gt;=20, "Medium", I1753&lt;20, "Low")</f>
        <v>High</v>
      </c>
      <c r="T1753" s="1" t="str" cm="1">
        <f t="array" ref="T1753">_xlfn.IFS(O1753&lt;18200, "Low", O1753&lt;=50000, "Medium", O1753&gt;50000, "High")</f>
        <v>Medium</v>
      </c>
    </row>
    <row r="1754" spans="1:20" x14ac:dyDescent="0.25">
      <c r="A1754" s="2">
        <v>2012</v>
      </c>
      <c r="B1754" s="1" t="s">
        <v>37</v>
      </c>
      <c r="C1754" s="1" t="s">
        <v>38</v>
      </c>
      <c r="D1754" s="1" t="s">
        <v>39</v>
      </c>
      <c r="E1754" s="1" t="s">
        <v>32</v>
      </c>
      <c r="F1754" s="1" t="s">
        <v>20</v>
      </c>
      <c r="G1754" s="1" t="s">
        <v>2576</v>
      </c>
      <c r="H1754" s="1" t="s">
        <v>22</v>
      </c>
      <c r="I1754" s="1">
        <v>29</v>
      </c>
      <c r="J1754" s="1">
        <v>32782</v>
      </c>
      <c r="K1754" s="1" t="s">
        <v>34</v>
      </c>
      <c r="L1754" s="1" t="s">
        <v>24</v>
      </c>
      <c r="M1754" s="1" t="s">
        <v>1550</v>
      </c>
      <c r="N1754" s="1">
        <v>16250</v>
      </c>
      <c r="O1754" s="12">
        <v>15700</v>
      </c>
      <c r="P1754" s="3" t="s">
        <v>46</v>
      </c>
      <c r="Q1754" s="1" cm="1">
        <f t="array" ref="Q1754">VALUE(INDEX(_xlfn.TEXTSPLIT(P1754, " "), 4))</f>
        <v>2014</v>
      </c>
      <c r="R1754" s="1" t="str">
        <f t="shared" si="27"/>
        <v>Volvo S60 T5</v>
      </c>
      <c r="S1754" s="1" t="str" cm="1">
        <f t="array" ref="S1754">_xlfn.IFS(I1754 &gt;= 40, "High", I1754&gt;=20, "Medium", I1754&lt;20, "Low")</f>
        <v>Medium</v>
      </c>
      <c r="T1754" s="1" t="str" cm="1">
        <f t="array" ref="T1754">_xlfn.IFS(O1754&lt;18200, "Low", O1754&lt;=50000, "Medium", O1754&gt;50000, "High")</f>
        <v>Low</v>
      </c>
    </row>
    <row r="1755" spans="1:20" x14ac:dyDescent="0.25">
      <c r="A1755" s="2">
        <v>2011</v>
      </c>
      <c r="B1755" s="1" t="s">
        <v>29</v>
      </c>
      <c r="C1755" s="1" t="s">
        <v>2577</v>
      </c>
      <c r="D1755" s="1" t="s">
        <v>1500</v>
      </c>
      <c r="E1755" s="1" t="s">
        <v>227</v>
      </c>
      <c r="F1755" s="1" t="s">
        <v>20</v>
      </c>
      <c r="G1755" s="1" t="s">
        <v>2578</v>
      </c>
      <c r="H1755" s="1" t="s">
        <v>22</v>
      </c>
      <c r="I1755" s="1">
        <v>39</v>
      </c>
      <c r="J1755" s="1">
        <v>22507</v>
      </c>
      <c r="K1755" s="1" t="s">
        <v>34</v>
      </c>
      <c r="L1755" s="1" t="s">
        <v>24</v>
      </c>
      <c r="M1755" s="1" t="s">
        <v>35</v>
      </c>
      <c r="N1755" s="1">
        <v>31300</v>
      </c>
      <c r="O1755" s="12">
        <v>31500</v>
      </c>
      <c r="P1755" s="3" t="s">
        <v>46</v>
      </c>
      <c r="Q1755" s="1" cm="1">
        <f t="array" ref="Q1755">VALUE(INDEX(_xlfn.TEXTSPLIT(P1755, " "), 4))</f>
        <v>2014</v>
      </c>
      <c r="R1755" s="1" t="str">
        <f t="shared" si="27"/>
        <v>BMW 5 Series Gran Turismo 535i xDrive</v>
      </c>
      <c r="S1755" s="1" t="str" cm="1">
        <f t="array" ref="S1755">_xlfn.IFS(I1755 &gt;= 40, "High", I1755&gt;=20, "Medium", I1755&lt;20, "Low")</f>
        <v>Medium</v>
      </c>
      <c r="T1755" s="1" t="str" cm="1">
        <f t="array" ref="T1755">_xlfn.IFS(O1755&lt;18200, "Low", O1755&lt;=50000, "Medium", O1755&gt;50000, "High")</f>
        <v>Medium</v>
      </c>
    </row>
    <row r="1756" spans="1:20" x14ac:dyDescent="0.25">
      <c r="A1756" s="2">
        <v>2011</v>
      </c>
      <c r="B1756" s="1" t="s">
        <v>29</v>
      </c>
      <c r="C1756" s="1" t="s">
        <v>30</v>
      </c>
      <c r="D1756" s="1" t="s">
        <v>1282</v>
      </c>
      <c r="E1756" s="1" t="s">
        <v>32</v>
      </c>
      <c r="F1756" s="1" t="s">
        <v>20</v>
      </c>
      <c r="G1756" s="1" t="s">
        <v>2579</v>
      </c>
      <c r="H1756" s="1" t="s">
        <v>22</v>
      </c>
      <c r="I1756" s="1">
        <v>41</v>
      </c>
      <c r="J1756" s="1">
        <v>29856</v>
      </c>
      <c r="K1756" s="1" t="s">
        <v>34</v>
      </c>
      <c r="L1756" s="1" t="s">
        <v>24</v>
      </c>
      <c r="M1756" s="1" t="s">
        <v>35</v>
      </c>
      <c r="N1756" s="1">
        <v>20100</v>
      </c>
      <c r="O1756" s="12">
        <v>22000</v>
      </c>
      <c r="P1756" s="3" t="s">
        <v>46</v>
      </c>
      <c r="Q1756" s="1" cm="1">
        <f t="array" ref="Q1756">VALUE(INDEX(_xlfn.TEXTSPLIT(P1756, " "), 4))</f>
        <v>2014</v>
      </c>
      <c r="R1756" s="1" t="str">
        <f t="shared" si="27"/>
        <v>BMW 3 Series 328i</v>
      </c>
      <c r="S1756" s="1" t="str" cm="1">
        <f t="array" ref="S1756">_xlfn.IFS(I1756 &gt;= 40, "High", I1756&gt;=20, "Medium", I1756&lt;20, "Low")</f>
        <v>High</v>
      </c>
      <c r="T1756" s="1" t="str" cm="1">
        <f t="array" ref="T1756">_xlfn.IFS(O1756&lt;18200, "Low", O1756&lt;=50000, "Medium", O1756&gt;50000, "High")</f>
        <v>Medium</v>
      </c>
    </row>
    <row r="1757" spans="1:20" x14ac:dyDescent="0.25">
      <c r="A1757" s="2">
        <v>2011</v>
      </c>
      <c r="B1757" s="1" t="s">
        <v>29</v>
      </c>
      <c r="C1757" s="1" t="s">
        <v>30</v>
      </c>
      <c r="D1757" s="1" t="s">
        <v>1282</v>
      </c>
      <c r="E1757" s="1" t="s">
        <v>32</v>
      </c>
      <c r="F1757" s="1" t="s">
        <v>20</v>
      </c>
      <c r="G1757" s="1" t="s">
        <v>2580</v>
      </c>
      <c r="H1757" s="1" t="s">
        <v>22</v>
      </c>
      <c r="I1757" s="1">
        <v>49</v>
      </c>
      <c r="J1757" s="1">
        <v>24496</v>
      </c>
      <c r="K1757" s="1" t="s">
        <v>34</v>
      </c>
      <c r="L1757" s="1" t="s">
        <v>24</v>
      </c>
      <c r="M1757" s="1" t="s">
        <v>35</v>
      </c>
      <c r="N1757" s="1">
        <v>21000</v>
      </c>
      <c r="O1757" s="12">
        <v>20500</v>
      </c>
      <c r="P1757" s="3" t="s">
        <v>36</v>
      </c>
      <c r="Q1757" s="1" cm="1">
        <f t="array" ref="Q1757">VALUE(INDEX(_xlfn.TEXTSPLIT(P1757, " "), 4))</f>
        <v>2015</v>
      </c>
      <c r="R1757" s="1" t="str">
        <f t="shared" si="27"/>
        <v>BMW 3 Series 328i</v>
      </c>
      <c r="S1757" s="1" t="str" cm="1">
        <f t="array" ref="S1757">_xlfn.IFS(I1757 &gt;= 40, "High", I1757&gt;=20, "Medium", I1757&lt;20, "Low")</f>
        <v>High</v>
      </c>
      <c r="T1757" s="1" t="str" cm="1">
        <f t="array" ref="T1757">_xlfn.IFS(O1757&lt;18200, "Low", O1757&lt;=50000, "Medium", O1757&gt;50000, "High")</f>
        <v>Medium</v>
      </c>
    </row>
    <row r="1758" spans="1:20" x14ac:dyDescent="0.25">
      <c r="A1758" s="2">
        <v>2011</v>
      </c>
      <c r="B1758" s="1" t="s">
        <v>29</v>
      </c>
      <c r="C1758" s="1" t="s">
        <v>30</v>
      </c>
      <c r="D1758" s="1" t="s">
        <v>1282</v>
      </c>
      <c r="E1758" s="1" t="s">
        <v>32</v>
      </c>
      <c r="F1758" s="1" t="s">
        <v>20</v>
      </c>
      <c r="G1758" s="1" t="s">
        <v>2581</v>
      </c>
      <c r="H1758" s="1" t="s">
        <v>22</v>
      </c>
      <c r="I1758" s="1">
        <v>35</v>
      </c>
      <c r="J1758" s="1">
        <v>17914</v>
      </c>
      <c r="K1758" s="1" t="s">
        <v>24</v>
      </c>
      <c r="L1758" s="1" t="s">
        <v>24</v>
      </c>
      <c r="M1758" s="1" t="s">
        <v>35</v>
      </c>
      <c r="N1758" s="1">
        <v>21700</v>
      </c>
      <c r="O1758" s="12">
        <v>22250</v>
      </c>
      <c r="P1758" s="3" t="s">
        <v>46</v>
      </c>
      <c r="Q1758" s="1" cm="1">
        <f t="array" ref="Q1758">VALUE(INDEX(_xlfn.TEXTSPLIT(P1758, " "), 4))</f>
        <v>2014</v>
      </c>
      <c r="R1758" s="1" t="str">
        <f t="shared" si="27"/>
        <v>BMW 3 Series 328i</v>
      </c>
      <c r="S1758" s="1" t="str" cm="1">
        <f t="array" ref="S1758">_xlfn.IFS(I1758 &gt;= 40, "High", I1758&gt;=20, "Medium", I1758&lt;20, "Low")</f>
        <v>Medium</v>
      </c>
      <c r="T1758" s="1" t="str" cm="1">
        <f t="array" ref="T1758">_xlfn.IFS(O1758&lt;18200, "Low", O1758&lt;=50000, "Medium", O1758&gt;50000, "High")</f>
        <v>Medium</v>
      </c>
    </row>
    <row r="1759" spans="1:20" x14ac:dyDescent="0.25">
      <c r="A1759" s="2">
        <v>2012</v>
      </c>
      <c r="B1759" s="1" t="s">
        <v>37</v>
      </c>
      <c r="C1759" s="1" t="s">
        <v>2582</v>
      </c>
      <c r="D1759" s="1">
        <v>3.2</v>
      </c>
      <c r="E1759" s="1" t="s">
        <v>19</v>
      </c>
      <c r="F1759" s="1" t="s">
        <v>20</v>
      </c>
      <c r="G1759" s="1" t="s">
        <v>2583</v>
      </c>
      <c r="H1759" s="1" t="s">
        <v>22</v>
      </c>
      <c r="I1759" s="1">
        <v>34</v>
      </c>
      <c r="J1759" s="1">
        <v>32783</v>
      </c>
      <c r="K1759" s="1" t="s">
        <v>24</v>
      </c>
      <c r="L1759" s="1" t="s">
        <v>28</v>
      </c>
      <c r="M1759" s="1" t="s">
        <v>1550</v>
      </c>
      <c r="N1759" s="1">
        <v>22800</v>
      </c>
      <c r="O1759" s="12">
        <v>23000</v>
      </c>
      <c r="P1759" s="3" t="s">
        <v>46</v>
      </c>
      <c r="Q1759" s="1" cm="1">
        <f t="array" ref="Q1759">VALUE(INDEX(_xlfn.TEXTSPLIT(P1759, " "), 4))</f>
        <v>2014</v>
      </c>
      <c r="R1759" s="1" t="str">
        <f t="shared" si="27"/>
        <v>Volvo XC90 3.2</v>
      </c>
      <c r="S1759" s="1" t="str" cm="1">
        <f t="array" ref="S1759">_xlfn.IFS(I1759 &gt;= 40, "High", I1759&gt;=20, "Medium", I1759&lt;20, "Low")</f>
        <v>Medium</v>
      </c>
      <c r="T1759" s="1" t="str" cm="1">
        <f t="array" ref="T1759">_xlfn.IFS(O1759&lt;18200, "Low", O1759&lt;=50000, "Medium", O1759&gt;50000, "High")</f>
        <v>Medium</v>
      </c>
    </row>
    <row r="1760" spans="1:20" x14ac:dyDescent="0.25">
      <c r="A1760" s="2">
        <v>2011</v>
      </c>
      <c r="B1760" s="1" t="s">
        <v>184</v>
      </c>
      <c r="C1760" s="1" t="s">
        <v>1354</v>
      </c>
      <c r="D1760" s="1" t="s">
        <v>2584</v>
      </c>
      <c r="E1760" s="1" t="s">
        <v>19</v>
      </c>
      <c r="F1760" s="1" t="s">
        <v>20</v>
      </c>
      <c r="G1760" s="1" t="s">
        <v>2585</v>
      </c>
      <c r="H1760" s="1" t="s">
        <v>22</v>
      </c>
      <c r="I1760" s="1">
        <v>25</v>
      </c>
      <c r="J1760" s="1">
        <v>60189</v>
      </c>
      <c r="K1760" s="1" t="s">
        <v>34</v>
      </c>
      <c r="L1760" s="1" t="s">
        <v>24</v>
      </c>
      <c r="M1760" s="1" t="s">
        <v>1266</v>
      </c>
      <c r="N1760" s="1">
        <v>19250</v>
      </c>
      <c r="O1760" s="12">
        <v>18100</v>
      </c>
      <c r="P1760" s="3" t="s">
        <v>68</v>
      </c>
      <c r="Q1760" s="1" cm="1">
        <f t="array" ref="Q1760">VALUE(INDEX(_xlfn.TEXTSPLIT(P1760, " "), 4))</f>
        <v>2014</v>
      </c>
      <c r="R1760" s="1" t="str">
        <f t="shared" si="27"/>
        <v>Acura RDX SH-AWD</v>
      </c>
      <c r="S1760" s="1" t="str" cm="1">
        <f t="array" ref="S1760">_xlfn.IFS(I1760 &gt;= 40, "High", I1760&gt;=20, "Medium", I1760&lt;20, "Low")</f>
        <v>Medium</v>
      </c>
      <c r="T1760" s="1" t="str" cm="1">
        <f t="array" ref="T1760">_xlfn.IFS(O1760&lt;18200, "Low", O1760&lt;=50000, "Medium", O1760&gt;50000, "High")</f>
        <v>Low</v>
      </c>
    </row>
    <row r="1761" spans="1:20" x14ac:dyDescent="0.25">
      <c r="A1761" s="2">
        <v>2011</v>
      </c>
      <c r="B1761" s="1" t="s">
        <v>29</v>
      </c>
      <c r="C1761" s="1" t="s">
        <v>30</v>
      </c>
      <c r="D1761" s="1" t="s">
        <v>1282</v>
      </c>
      <c r="E1761" s="1" t="s">
        <v>32</v>
      </c>
      <c r="F1761" s="1" t="s">
        <v>20</v>
      </c>
      <c r="G1761" s="1" t="s">
        <v>2586</v>
      </c>
      <c r="H1761" s="1" t="s">
        <v>22</v>
      </c>
      <c r="I1761" s="1">
        <v>39</v>
      </c>
      <c r="J1761" s="1">
        <v>38514</v>
      </c>
      <c r="K1761" s="1" t="s">
        <v>94</v>
      </c>
      <c r="L1761" s="1" t="s">
        <v>34</v>
      </c>
      <c r="M1761" s="1" t="s">
        <v>35</v>
      </c>
      <c r="N1761" s="1">
        <v>18900</v>
      </c>
      <c r="O1761" s="12">
        <v>21000</v>
      </c>
      <c r="P1761" s="3" t="s">
        <v>46</v>
      </c>
      <c r="Q1761" s="1" cm="1">
        <f t="array" ref="Q1761">VALUE(INDEX(_xlfn.TEXTSPLIT(P1761, " "), 4))</f>
        <v>2014</v>
      </c>
      <c r="R1761" s="1" t="str">
        <f t="shared" si="27"/>
        <v>BMW 3 Series 328i</v>
      </c>
      <c r="S1761" s="1" t="str" cm="1">
        <f t="array" ref="S1761">_xlfn.IFS(I1761 &gt;= 40, "High", I1761&gt;=20, "Medium", I1761&lt;20, "Low")</f>
        <v>Medium</v>
      </c>
      <c r="T1761" s="1" t="str" cm="1">
        <f t="array" ref="T1761">_xlfn.IFS(O1761&lt;18200, "Low", O1761&lt;=50000, "Medium", O1761&gt;50000, "High")</f>
        <v>Medium</v>
      </c>
    </row>
    <row r="1762" spans="1:20" x14ac:dyDescent="0.25">
      <c r="A1762" s="2">
        <v>2011</v>
      </c>
      <c r="B1762" s="1" t="s">
        <v>29</v>
      </c>
      <c r="C1762" s="1" t="s">
        <v>30</v>
      </c>
      <c r="D1762" s="1" t="s">
        <v>1282</v>
      </c>
      <c r="E1762" s="1" t="s">
        <v>32</v>
      </c>
      <c r="F1762" s="1" t="s">
        <v>20</v>
      </c>
      <c r="G1762" s="1" t="s">
        <v>2587</v>
      </c>
      <c r="H1762" s="1" t="s">
        <v>22</v>
      </c>
      <c r="I1762" s="1">
        <v>48</v>
      </c>
      <c r="J1762" s="1">
        <v>24949</v>
      </c>
      <c r="K1762" s="1" t="s">
        <v>23</v>
      </c>
      <c r="L1762" s="1" t="s">
        <v>24</v>
      </c>
      <c r="M1762" s="1" t="s">
        <v>35</v>
      </c>
      <c r="N1762" s="1">
        <v>20700</v>
      </c>
      <c r="O1762" s="12">
        <v>22250</v>
      </c>
      <c r="P1762" s="3" t="s">
        <v>46</v>
      </c>
      <c r="Q1762" s="1" cm="1">
        <f t="array" ref="Q1762">VALUE(INDEX(_xlfn.TEXTSPLIT(P1762, " "), 4))</f>
        <v>2014</v>
      </c>
      <c r="R1762" s="1" t="str">
        <f t="shared" si="27"/>
        <v>BMW 3 Series 328i</v>
      </c>
      <c r="S1762" s="1" t="str" cm="1">
        <f t="array" ref="S1762">_xlfn.IFS(I1762 &gt;= 40, "High", I1762&gt;=20, "Medium", I1762&lt;20, "Low")</f>
        <v>High</v>
      </c>
      <c r="T1762" s="1" t="str" cm="1">
        <f t="array" ref="T1762">_xlfn.IFS(O1762&lt;18200, "Low", O1762&lt;=50000, "Medium", O1762&gt;50000, "High")</f>
        <v>Medium</v>
      </c>
    </row>
    <row r="1763" spans="1:20" x14ac:dyDescent="0.25">
      <c r="A1763" s="2">
        <v>2011</v>
      </c>
      <c r="B1763" s="1" t="s">
        <v>63</v>
      </c>
      <c r="C1763" s="1" t="s">
        <v>1320</v>
      </c>
      <c r="D1763" s="1" t="s">
        <v>1321</v>
      </c>
      <c r="E1763" s="1" t="s">
        <v>107</v>
      </c>
      <c r="F1763" s="1" t="s">
        <v>20</v>
      </c>
      <c r="G1763" s="1" t="s">
        <v>2588</v>
      </c>
      <c r="H1763" s="1" t="s">
        <v>22</v>
      </c>
      <c r="I1763" s="1">
        <v>26</v>
      </c>
      <c r="J1763" s="1">
        <v>77489</v>
      </c>
      <c r="K1763" s="1" t="s">
        <v>23</v>
      </c>
      <c r="L1763" s="1" t="s">
        <v>24</v>
      </c>
      <c r="M1763" s="1" t="s">
        <v>1297</v>
      </c>
      <c r="N1763" s="1">
        <v>18400</v>
      </c>
      <c r="O1763" s="12">
        <v>20250</v>
      </c>
      <c r="P1763" s="3" t="s">
        <v>26</v>
      </c>
      <c r="Q1763" s="1" cm="1">
        <f t="array" ref="Q1763">VALUE(INDEX(_xlfn.TEXTSPLIT(P1763, " "), 4))</f>
        <v>2014</v>
      </c>
      <c r="R1763" s="1" t="str">
        <f t="shared" si="27"/>
        <v>Audi A5 2.0T Premium quattro</v>
      </c>
      <c r="S1763" s="1" t="str" cm="1">
        <f t="array" ref="S1763">_xlfn.IFS(I1763 &gt;= 40, "High", I1763&gt;=20, "Medium", I1763&lt;20, "Low")</f>
        <v>Medium</v>
      </c>
      <c r="T1763" s="1" t="str" cm="1">
        <f t="array" ref="T1763">_xlfn.IFS(O1763&lt;18200, "Low", O1763&lt;=50000, "Medium", O1763&gt;50000, "High")</f>
        <v>Medium</v>
      </c>
    </row>
    <row r="1764" spans="1:20" x14ac:dyDescent="0.25">
      <c r="A1764" s="2">
        <v>2012</v>
      </c>
      <c r="B1764" s="1" t="s">
        <v>37</v>
      </c>
      <c r="C1764" s="1" t="s">
        <v>38</v>
      </c>
      <c r="D1764" s="1" t="s">
        <v>39</v>
      </c>
      <c r="E1764" s="1" t="s">
        <v>32</v>
      </c>
      <c r="F1764" s="1" t="s">
        <v>20</v>
      </c>
      <c r="G1764" s="1" t="s">
        <v>2589</v>
      </c>
      <c r="H1764" s="1" t="s">
        <v>22</v>
      </c>
      <c r="I1764" s="1">
        <v>41</v>
      </c>
      <c r="J1764" s="1">
        <v>60252</v>
      </c>
      <c r="K1764" s="1" t="s">
        <v>23</v>
      </c>
      <c r="L1764" s="1" t="s">
        <v>24</v>
      </c>
      <c r="M1764" s="1" t="s">
        <v>849</v>
      </c>
      <c r="N1764" s="1">
        <v>13900</v>
      </c>
      <c r="O1764" s="12">
        <v>14750</v>
      </c>
      <c r="P1764" s="3" t="s">
        <v>46</v>
      </c>
      <c r="Q1764" s="1" cm="1">
        <f t="array" ref="Q1764">VALUE(INDEX(_xlfn.TEXTSPLIT(P1764, " "), 4))</f>
        <v>2014</v>
      </c>
      <c r="R1764" s="1" t="str">
        <f t="shared" si="27"/>
        <v>Volvo S60 T5</v>
      </c>
      <c r="S1764" s="1" t="str" cm="1">
        <f t="array" ref="S1764">_xlfn.IFS(I1764 &gt;= 40, "High", I1764&gt;=20, "Medium", I1764&lt;20, "Low")</f>
        <v>High</v>
      </c>
      <c r="T1764" s="1" t="str" cm="1">
        <f t="array" ref="T1764">_xlfn.IFS(O1764&lt;18200, "Low", O1764&lt;=50000, "Medium", O1764&gt;50000, "High")</f>
        <v>Low</v>
      </c>
    </row>
    <row r="1765" spans="1:20" x14ac:dyDescent="0.25">
      <c r="A1765" s="2">
        <v>2011</v>
      </c>
      <c r="B1765" s="1" t="s">
        <v>29</v>
      </c>
      <c r="C1765" s="1" t="s">
        <v>30</v>
      </c>
      <c r="D1765" s="1" t="s">
        <v>1312</v>
      </c>
      <c r="E1765" s="1" t="s">
        <v>32</v>
      </c>
      <c r="F1765" s="1" t="s">
        <v>20</v>
      </c>
      <c r="G1765" s="1" t="s">
        <v>2590</v>
      </c>
      <c r="H1765" s="1" t="s">
        <v>22</v>
      </c>
      <c r="I1765" s="1">
        <v>45</v>
      </c>
      <c r="J1765" s="1">
        <v>10492</v>
      </c>
      <c r="K1765" s="1" t="s">
        <v>23</v>
      </c>
      <c r="L1765" s="1" t="s">
        <v>24</v>
      </c>
      <c r="M1765" s="1" t="s">
        <v>35</v>
      </c>
      <c r="N1765" s="1">
        <v>27800</v>
      </c>
      <c r="O1765" s="12">
        <v>30000</v>
      </c>
      <c r="P1765" s="3" t="s">
        <v>46</v>
      </c>
      <c r="Q1765" s="1" cm="1">
        <f t="array" ref="Q1765">VALUE(INDEX(_xlfn.TEXTSPLIT(P1765, " "), 4))</f>
        <v>2014</v>
      </c>
      <c r="R1765" s="1" t="str">
        <f t="shared" si="27"/>
        <v>BMW 3 Series 335i</v>
      </c>
      <c r="S1765" s="1" t="str" cm="1">
        <f t="array" ref="S1765">_xlfn.IFS(I1765 &gt;= 40, "High", I1765&gt;=20, "Medium", I1765&lt;20, "Low")</f>
        <v>High</v>
      </c>
      <c r="T1765" s="1" t="str" cm="1">
        <f t="array" ref="T1765">_xlfn.IFS(O1765&lt;18200, "Low", O1765&lt;=50000, "Medium", O1765&gt;50000, "High")</f>
        <v>Medium</v>
      </c>
    </row>
    <row r="1766" spans="1:20" x14ac:dyDescent="0.25">
      <c r="A1766" s="2">
        <v>2011</v>
      </c>
      <c r="B1766" s="1" t="s">
        <v>29</v>
      </c>
      <c r="C1766" s="1" t="s">
        <v>30</v>
      </c>
      <c r="D1766" s="1" t="s">
        <v>1282</v>
      </c>
      <c r="E1766" s="1" t="s">
        <v>32</v>
      </c>
      <c r="F1766" s="1" t="s">
        <v>20</v>
      </c>
      <c r="G1766" s="1" t="s">
        <v>2591</v>
      </c>
      <c r="H1766" s="1" t="s">
        <v>22</v>
      </c>
      <c r="I1766" s="1">
        <v>36</v>
      </c>
      <c r="J1766" s="1">
        <v>43616</v>
      </c>
      <c r="K1766" s="1" t="s">
        <v>24</v>
      </c>
      <c r="L1766" s="1" t="s">
        <v>28</v>
      </c>
      <c r="M1766" s="1" t="s">
        <v>35</v>
      </c>
      <c r="N1766" s="1">
        <v>18200</v>
      </c>
      <c r="O1766" s="12">
        <v>19000</v>
      </c>
      <c r="P1766" s="3" t="s">
        <v>46</v>
      </c>
      <c r="Q1766" s="1" cm="1">
        <f t="array" ref="Q1766">VALUE(INDEX(_xlfn.TEXTSPLIT(P1766, " "), 4))</f>
        <v>2014</v>
      </c>
      <c r="R1766" s="1" t="str">
        <f t="shared" si="27"/>
        <v>BMW 3 Series 328i</v>
      </c>
      <c r="S1766" s="1" t="str" cm="1">
        <f t="array" ref="S1766">_xlfn.IFS(I1766 &gt;= 40, "High", I1766&gt;=20, "Medium", I1766&lt;20, "Low")</f>
        <v>Medium</v>
      </c>
      <c r="T1766" s="1" t="str" cm="1">
        <f t="array" ref="T1766">_xlfn.IFS(O1766&lt;18200, "Low", O1766&lt;=50000, "Medium", O1766&gt;50000, "High")</f>
        <v>Medium</v>
      </c>
    </row>
    <row r="1767" spans="1:20" x14ac:dyDescent="0.25">
      <c r="A1767" s="2">
        <v>2012</v>
      </c>
      <c r="B1767" s="1" t="s">
        <v>927</v>
      </c>
      <c r="C1767" s="1" t="s">
        <v>1178</v>
      </c>
      <c r="D1767" s="1" t="s">
        <v>54</v>
      </c>
      <c r="E1767" s="1" t="s">
        <v>19</v>
      </c>
      <c r="F1767" s="1" t="s">
        <v>20</v>
      </c>
      <c r="G1767" s="1" t="s">
        <v>2592</v>
      </c>
      <c r="H1767" s="1" t="s">
        <v>22</v>
      </c>
      <c r="I1767" s="1">
        <v>38</v>
      </c>
      <c r="J1767" s="1">
        <v>31180</v>
      </c>
      <c r="K1767" s="1" t="s">
        <v>94</v>
      </c>
      <c r="L1767" s="1" t="s">
        <v>28</v>
      </c>
      <c r="M1767" s="1" t="s">
        <v>1176</v>
      </c>
      <c r="N1767" s="1">
        <v>22800</v>
      </c>
      <c r="O1767" s="12">
        <v>21500</v>
      </c>
      <c r="P1767" s="3" t="s">
        <v>68</v>
      </c>
      <c r="Q1767" s="1" cm="1">
        <f t="array" ref="Q1767">VALUE(INDEX(_xlfn.TEXTSPLIT(P1767, " "), 4))</f>
        <v>2014</v>
      </c>
      <c r="R1767" s="1" t="str">
        <f t="shared" si="27"/>
        <v>Toyota Highlander Base</v>
      </c>
      <c r="S1767" s="1" t="str" cm="1">
        <f t="array" ref="S1767">_xlfn.IFS(I1767 &gt;= 40, "High", I1767&gt;=20, "Medium", I1767&lt;20, "Low")</f>
        <v>Medium</v>
      </c>
      <c r="T1767" s="1" t="str" cm="1">
        <f t="array" ref="T1767">_xlfn.IFS(O1767&lt;18200, "Low", O1767&lt;=50000, "Medium", O1767&gt;50000, "High")</f>
        <v>Medium</v>
      </c>
    </row>
    <row r="1768" spans="1:20" x14ac:dyDescent="0.25">
      <c r="A1768" s="2">
        <v>2012</v>
      </c>
      <c r="B1768" s="1" t="s">
        <v>921</v>
      </c>
      <c r="C1768" s="1" t="s">
        <v>2593</v>
      </c>
      <c r="D1768" s="1" t="s">
        <v>936</v>
      </c>
      <c r="E1768" s="1" t="s">
        <v>19</v>
      </c>
      <c r="F1768" s="1" t="s">
        <v>20</v>
      </c>
      <c r="G1768" s="1" t="s">
        <v>2594</v>
      </c>
      <c r="H1768" s="1" t="s">
        <v>22</v>
      </c>
      <c r="I1768" s="1">
        <v>1</v>
      </c>
      <c r="J1768" s="1">
        <v>27673</v>
      </c>
      <c r="K1768" s="1" t="s">
        <v>23</v>
      </c>
      <c r="L1768" s="1" t="s">
        <v>24</v>
      </c>
      <c r="M1768" s="1" t="s">
        <v>925</v>
      </c>
      <c r="N1768" s="1">
        <v>14350</v>
      </c>
      <c r="O1768" s="12">
        <v>11300</v>
      </c>
      <c r="P1768" s="3" t="s">
        <v>84</v>
      </c>
      <c r="Q1768" s="1" cm="1">
        <f t="array" ref="Q1768">VALUE(INDEX(_xlfn.TEXTSPLIT(P1768, " "), 4))</f>
        <v>2014</v>
      </c>
      <c r="R1768" s="1" t="str">
        <f t="shared" si="27"/>
        <v>Volkswagen Tiguan S</v>
      </c>
      <c r="S1768" s="1" t="str" cm="1">
        <f t="array" ref="S1768">_xlfn.IFS(I1768 &gt;= 40, "High", I1768&gt;=20, "Medium", I1768&lt;20, "Low")</f>
        <v>Low</v>
      </c>
      <c r="T1768" s="1" t="str" cm="1">
        <f t="array" ref="T1768">_xlfn.IFS(O1768&lt;18200, "Low", O1768&lt;=50000, "Medium", O1768&gt;50000, "High")</f>
        <v>Low</v>
      </c>
    </row>
    <row r="1769" spans="1:20" x14ac:dyDescent="0.25">
      <c r="A1769" s="2">
        <v>2011</v>
      </c>
      <c r="B1769" s="1" t="s">
        <v>29</v>
      </c>
      <c r="C1769" s="1" t="s">
        <v>30</v>
      </c>
      <c r="D1769" s="1" t="s">
        <v>1312</v>
      </c>
      <c r="E1769" s="1" t="s">
        <v>71</v>
      </c>
      <c r="F1769" s="1" t="s">
        <v>20</v>
      </c>
      <c r="G1769" s="1" t="s">
        <v>2595</v>
      </c>
      <c r="H1769" s="1" t="s">
        <v>22</v>
      </c>
      <c r="I1769" s="1">
        <v>45</v>
      </c>
      <c r="J1769" s="1">
        <v>13179</v>
      </c>
      <c r="K1769" s="1" t="s">
        <v>24</v>
      </c>
      <c r="L1769" s="1" t="s">
        <v>34</v>
      </c>
      <c r="M1769" s="1" t="s">
        <v>35</v>
      </c>
      <c r="N1769" s="1">
        <v>30600</v>
      </c>
      <c r="O1769" s="12">
        <v>31750</v>
      </c>
      <c r="P1769" s="3" t="s">
        <v>46</v>
      </c>
      <c r="Q1769" s="1" cm="1">
        <f t="array" ref="Q1769">VALUE(INDEX(_xlfn.TEXTSPLIT(P1769, " "), 4))</f>
        <v>2014</v>
      </c>
      <c r="R1769" s="1" t="str">
        <f t="shared" si="27"/>
        <v>BMW 3 Series 335i</v>
      </c>
      <c r="S1769" s="1" t="str" cm="1">
        <f t="array" ref="S1769">_xlfn.IFS(I1769 &gt;= 40, "High", I1769&gt;=20, "Medium", I1769&lt;20, "Low")</f>
        <v>High</v>
      </c>
      <c r="T1769" s="1" t="str" cm="1">
        <f t="array" ref="T1769">_xlfn.IFS(O1769&lt;18200, "Low", O1769&lt;=50000, "Medium", O1769&gt;50000, "High")</f>
        <v>Medium</v>
      </c>
    </row>
    <row r="1770" spans="1:20" x14ac:dyDescent="0.25">
      <c r="A1770" s="2">
        <v>2011</v>
      </c>
      <c r="B1770" s="1" t="s">
        <v>29</v>
      </c>
      <c r="C1770" s="1" t="s">
        <v>30</v>
      </c>
      <c r="D1770" s="1" t="s">
        <v>1282</v>
      </c>
      <c r="E1770" s="1" t="s">
        <v>32</v>
      </c>
      <c r="F1770" s="1" t="s">
        <v>20</v>
      </c>
      <c r="G1770" s="1" t="s">
        <v>2596</v>
      </c>
      <c r="H1770" s="1" t="s">
        <v>22</v>
      </c>
      <c r="I1770" s="1">
        <v>36</v>
      </c>
      <c r="J1770" s="1">
        <v>28727</v>
      </c>
      <c r="K1770" s="1" t="s">
        <v>24</v>
      </c>
      <c r="L1770" s="1" t="s">
        <v>24</v>
      </c>
      <c r="M1770" s="1" t="s">
        <v>35</v>
      </c>
      <c r="N1770" s="1">
        <v>20200</v>
      </c>
      <c r="O1770" s="12">
        <v>20750</v>
      </c>
      <c r="P1770" s="3" t="s">
        <v>46</v>
      </c>
      <c r="Q1770" s="1" cm="1">
        <f t="array" ref="Q1770">VALUE(INDEX(_xlfn.TEXTSPLIT(P1770, " "), 4))</f>
        <v>2014</v>
      </c>
      <c r="R1770" s="1" t="str">
        <f t="shared" si="27"/>
        <v>BMW 3 Series 328i</v>
      </c>
      <c r="S1770" s="1" t="str" cm="1">
        <f t="array" ref="S1770">_xlfn.IFS(I1770 &gt;= 40, "High", I1770&gt;=20, "Medium", I1770&lt;20, "Low")</f>
        <v>Medium</v>
      </c>
      <c r="T1770" s="1" t="str" cm="1">
        <f t="array" ref="T1770">_xlfn.IFS(O1770&lt;18200, "Low", O1770&lt;=50000, "Medium", O1770&gt;50000, "High")</f>
        <v>Medium</v>
      </c>
    </row>
    <row r="1771" spans="1:20" x14ac:dyDescent="0.25">
      <c r="A1771" s="2">
        <v>2011</v>
      </c>
      <c r="B1771" s="1" t="s">
        <v>29</v>
      </c>
      <c r="C1771" s="1" t="s">
        <v>30</v>
      </c>
      <c r="D1771" s="1" t="s">
        <v>1282</v>
      </c>
      <c r="E1771" s="1" t="s">
        <v>32</v>
      </c>
      <c r="F1771" s="1" t="s">
        <v>20</v>
      </c>
      <c r="G1771" s="1" t="s">
        <v>2597</v>
      </c>
      <c r="H1771" s="1" t="s">
        <v>22</v>
      </c>
      <c r="I1771" s="1">
        <v>44</v>
      </c>
      <c r="J1771" s="1">
        <v>43583</v>
      </c>
      <c r="K1771" s="1" t="s">
        <v>24</v>
      </c>
      <c r="L1771" s="1" t="s">
        <v>24</v>
      </c>
      <c r="M1771" s="1" t="s">
        <v>35</v>
      </c>
      <c r="N1771" s="1">
        <v>18200</v>
      </c>
      <c r="O1771" s="12">
        <v>19250</v>
      </c>
      <c r="P1771" s="3" t="s">
        <v>46</v>
      </c>
      <c r="Q1771" s="1" cm="1">
        <f t="array" ref="Q1771">VALUE(INDEX(_xlfn.TEXTSPLIT(P1771, " "), 4))</f>
        <v>2014</v>
      </c>
      <c r="R1771" s="1" t="str">
        <f t="shared" si="27"/>
        <v>BMW 3 Series 328i</v>
      </c>
      <c r="S1771" s="1" t="str" cm="1">
        <f t="array" ref="S1771">_xlfn.IFS(I1771 &gt;= 40, "High", I1771&gt;=20, "Medium", I1771&lt;20, "Low")</f>
        <v>High</v>
      </c>
      <c r="T1771" s="1" t="str" cm="1">
        <f t="array" ref="T1771">_xlfn.IFS(O1771&lt;18200, "Low", O1771&lt;=50000, "Medium", O1771&gt;50000, "High")</f>
        <v>Medium</v>
      </c>
    </row>
    <row r="1772" spans="1:20" x14ac:dyDescent="0.25">
      <c r="A1772" s="2">
        <v>2011</v>
      </c>
      <c r="B1772" s="1" t="s">
        <v>29</v>
      </c>
      <c r="C1772" s="1" t="s">
        <v>30</v>
      </c>
      <c r="D1772" s="1" t="s">
        <v>1282</v>
      </c>
      <c r="E1772" s="1" t="s">
        <v>32</v>
      </c>
      <c r="F1772" s="1" t="s">
        <v>20</v>
      </c>
      <c r="G1772" s="1" t="s">
        <v>2598</v>
      </c>
      <c r="H1772" s="1" t="s">
        <v>22</v>
      </c>
      <c r="I1772" s="1">
        <v>43</v>
      </c>
      <c r="J1772" s="1">
        <v>36736</v>
      </c>
      <c r="K1772" s="1" t="s">
        <v>23</v>
      </c>
      <c r="L1772" s="1" t="s">
        <v>24</v>
      </c>
      <c r="M1772" s="1" t="s">
        <v>35</v>
      </c>
      <c r="N1772" s="1">
        <v>19150</v>
      </c>
      <c r="O1772" s="12">
        <v>20000</v>
      </c>
      <c r="P1772" s="3" t="s">
        <v>46</v>
      </c>
      <c r="Q1772" s="1" cm="1">
        <f t="array" ref="Q1772">VALUE(INDEX(_xlfn.TEXTSPLIT(P1772, " "), 4))</f>
        <v>2014</v>
      </c>
      <c r="R1772" s="1" t="str">
        <f t="shared" si="27"/>
        <v>BMW 3 Series 328i</v>
      </c>
      <c r="S1772" s="1" t="str" cm="1">
        <f t="array" ref="S1772">_xlfn.IFS(I1772 &gt;= 40, "High", I1772&gt;=20, "Medium", I1772&lt;20, "Low")</f>
        <v>High</v>
      </c>
      <c r="T1772" s="1" t="str" cm="1">
        <f t="array" ref="T1772">_xlfn.IFS(O1772&lt;18200, "Low", O1772&lt;=50000, "Medium", O1772&gt;50000, "High")</f>
        <v>Medium</v>
      </c>
    </row>
    <row r="1773" spans="1:20" x14ac:dyDescent="0.25">
      <c r="A1773" s="2">
        <v>2011</v>
      </c>
      <c r="B1773" s="1" t="s">
        <v>29</v>
      </c>
      <c r="C1773" s="1" t="s">
        <v>117</v>
      </c>
      <c r="D1773" s="1" t="s">
        <v>1292</v>
      </c>
      <c r="E1773" s="1" t="s">
        <v>32</v>
      </c>
      <c r="F1773" s="1" t="s">
        <v>20</v>
      </c>
      <c r="G1773" s="1" t="s">
        <v>2599</v>
      </c>
      <c r="H1773" s="1" t="s">
        <v>22</v>
      </c>
      <c r="I1773" s="1">
        <v>27</v>
      </c>
      <c r="J1773" s="1">
        <v>47803</v>
      </c>
      <c r="K1773" s="1" t="s">
        <v>34</v>
      </c>
      <c r="L1773" s="1" t="s">
        <v>101</v>
      </c>
      <c r="M1773" s="1" t="s">
        <v>35</v>
      </c>
      <c r="N1773" s="1">
        <v>27600</v>
      </c>
      <c r="O1773" s="12">
        <v>26000</v>
      </c>
      <c r="P1773" s="3" t="s">
        <v>173</v>
      </c>
      <c r="Q1773" s="1" cm="1">
        <f t="array" ref="Q1773">VALUE(INDEX(_xlfn.TEXTSPLIT(P1773, " "), 4))</f>
        <v>2015</v>
      </c>
      <c r="R1773" s="1" t="str">
        <f t="shared" si="27"/>
        <v>BMW 5 Series 535i</v>
      </c>
      <c r="S1773" s="1" t="str" cm="1">
        <f t="array" ref="S1773">_xlfn.IFS(I1773 &gt;= 40, "High", I1773&gt;=20, "Medium", I1773&lt;20, "Low")</f>
        <v>Medium</v>
      </c>
      <c r="T1773" s="1" t="str" cm="1">
        <f t="array" ref="T1773">_xlfn.IFS(O1773&lt;18200, "Low", O1773&lt;=50000, "Medium", O1773&gt;50000, "High")</f>
        <v>Medium</v>
      </c>
    </row>
    <row r="1774" spans="1:20" x14ac:dyDescent="0.25">
      <c r="A1774" s="2">
        <v>2011</v>
      </c>
      <c r="B1774" s="1" t="s">
        <v>29</v>
      </c>
      <c r="C1774" s="1" t="s">
        <v>30</v>
      </c>
      <c r="D1774" s="1" t="s">
        <v>1312</v>
      </c>
      <c r="E1774" s="1" t="s">
        <v>32</v>
      </c>
      <c r="F1774" s="1" t="s">
        <v>20</v>
      </c>
      <c r="G1774" s="1" t="s">
        <v>2600</v>
      </c>
      <c r="H1774" s="1" t="s">
        <v>22</v>
      </c>
      <c r="I1774" s="1">
        <v>44</v>
      </c>
      <c r="J1774" s="1">
        <v>31517</v>
      </c>
      <c r="K1774" s="1" t="s">
        <v>23</v>
      </c>
      <c r="L1774" s="1" t="s">
        <v>34</v>
      </c>
      <c r="M1774" s="1" t="s">
        <v>35</v>
      </c>
      <c r="N1774" s="1">
        <v>25000</v>
      </c>
      <c r="O1774" s="12">
        <v>26250</v>
      </c>
      <c r="P1774" s="3" t="s">
        <v>46</v>
      </c>
      <c r="Q1774" s="1" cm="1">
        <f t="array" ref="Q1774">VALUE(INDEX(_xlfn.TEXTSPLIT(P1774, " "), 4))</f>
        <v>2014</v>
      </c>
      <c r="R1774" s="1" t="str">
        <f t="shared" si="27"/>
        <v>BMW 3 Series 335i</v>
      </c>
      <c r="S1774" s="1" t="str" cm="1">
        <f t="array" ref="S1774">_xlfn.IFS(I1774 &gt;= 40, "High", I1774&gt;=20, "Medium", I1774&lt;20, "Low")</f>
        <v>High</v>
      </c>
      <c r="T1774" s="1" t="str" cm="1">
        <f t="array" ref="T1774">_xlfn.IFS(O1774&lt;18200, "Low", O1774&lt;=50000, "Medium", O1774&gt;50000, "High")</f>
        <v>Medium</v>
      </c>
    </row>
    <row r="1775" spans="1:20" x14ac:dyDescent="0.25">
      <c r="A1775" s="2">
        <v>2011</v>
      </c>
      <c r="B1775" s="1" t="s">
        <v>29</v>
      </c>
      <c r="C1775" s="1" t="s">
        <v>30</v>
      </c>
      <c r="D1775" s="1" t="s">
        <v>1282</v>
      </c>
      <c r="E1775" s="1" t="s">
        <v>32</v>
      </c>
      <c r="F1775" s="1" t="s">
        <v>20</v>
      </c>
      <c r="G1775" s="1" t="s">
        <v>2601</v>
      </c>
      <c r="H1775" s="1" t="s">
        <v>22</v>
      </c>
      <c r="I1775" s="1">
        <v>34</v>
      </c>
      <c r="J1775" s="1">
        <v>26258</v>
      </c>
      <c r="K1775" s="1" t="s">
        <v>23</v>
      </c>
      <c r="L1775" s="1" t="s">
        <v>24</v>
      </c>
      <c r="M1775" s="1" t="s">
        <v>35</v>
      </c>
      <c r="N1775" s="1">
        <v>20500</v>
      </c>
      <c r="O1775" s="12">
        <v>20500</v>
      </c>
      <c r="P1775" s="3" t="s">
        <v>46</v>
      </c>
      <c r="Q1775" s="1" cm="1">
        <f t="array" ref="Q1775">VALUE(INDEX(_xlfn.TEXTSPLIT(P1775, " "), 4))</f>
        <v>2014</v>
      </c>
      <c r="R1775" s="1" t="str">
        <f t="shared" si="27"/>
        <v>BMW 3 Series 328i</v>
      </c>
      <c r="S1775" s="1" t="str" cm="1">
        <f t="array" ref="S1775">_xlfn.IFS(I1775 &gt;= 40, "High", I1775&gt;=20, "Medium", I1775&lt;20, "Low")</f>
        <v>Medium</v>
      </c>
      <c r="T1775" s="1" t="str" cm="1">
        <f t="array" ref="T1775">_xlfn.IFS(O1775&lt;18200, "Low", O1775&lt;=50000, "Medium", O1775&gt;50000, "High")</f>
        <v>Medium</v>
      </c>
    </row>
    <row r="1776" spans="1:20" x14ac:dyDescent="0.25">
      <c r="A1776" s="2">
        <v>2011</v>
      </c>
      <c r="B1776" s="1" t="s">
        <v>29</v>
      </c>
      <c r="C1776" s="1" t="s">
        <v>117</v>
      </c>
      <c r="D1776" s="1" t="s">
        <v>118</v>
      </c>
      <c r="E1776" s="1" t="s">
        <v>32</v>
      </c>
      <c r="F1776" s="1" t="s">
        <v>20</v>
      </c>
      <c r="G1776" s="1" t="s">
        <v>2602</v>
      </c>
      <c r="H1776" s="1" t="s">
        <v>22</v>
      </c>
      <c r="I1776" s="1">
        <v>4</v>
      </c>
      <c r="J1776" s="1">
        <v>22808</v>
      </c>
      <c r="K1776" s="1" t="s">
        <v>24</v>
      </c>
      <c r="L1776" s="1" t="s">
        <v>24</v>
      </c>
      <c r="M1776" s="1" t="s">
        <v>35</v>
      </c>
      <c r="N1776" s="1">
        <v>26700</v>
      </c>
      <c r="O1776" s="12">
        <v>27500</v>
      </c>
      <c r="P1776" s="3" t="s">
        <v>36</v>
      </c>
      <c r="Q1776" s="1" cm="1">
        <f t="array" ref="Q1776">VALUE(INDEX(_xlfn.TEXTSPLIT(P1776, " "), 4))</f>
        <v>2015</v>
      </c>
      <c r="R1776" s="1" t="str">
        <f t="shared" si="27"/>
        <v>BMW 5 Series 528i</v>
      </c>
      <c r="S1776" s="1" t="str" cm="1">
        <f t="array" ref="S1776">_xlfn.IFS(I1776 &gt;= 40, "High", I1776&gt;=20, "Medium", I1776&lt;20, "Low")</f>
        <v>Low</v>
      </c>
      <c r="T1776" s="1" t="str" cm="1">
        <f t="array" ref="T1776">_xlfn.IFS(O1776&lt;18200, "Low", O1776&lt;=50000, "Medium", O1776&gt;50000, "High")</f>
        <v>Medium</v>
      </c>
    </row>
    <row r="1777" spans="1:20" x14ac:dyDescent="0.25">
      <c r="A1777" s="2">
        <v>2011</v>
      </c>
      <c r="B1777" s="1" t="s">
        <v>29</v>
      </c>
      <c r="C1777" s="1" t="s">
        <v>30</v>
      </c>
      <c r="D1777" s="1" t="s">
        <v>2603</v>
      </c>
      <c r="E1777" s="1" t="s">
        <v>32</v>
      </c>
      <c r="F1777" s="1" t="s">
        <v>20</v>
      </c>
      <c r="G1777" s="1" t="s">
        <v>2604</v>
      </c>
      <c r="H1777" s="1" t="s">
        <v>22</v>
      </c>
      <c r="I1777" s="1">
        <v>38</v>
      </c>
      <c r="J1777" s="1">
        <v>17332</v>
      </c>
      <c r="K1777" s="1" t="s">
        <v>24</v>
      </c>
      <c r="L1777" s="1" t="s">
        <v>34</v>
      </c>
      <c r="M1777" s="1" t="s">
        <v>35</v>
      </c>
      <c r="N1777" s="1">
        <v>21900</v>
      </c>
      <c r="O1777" s="12">
        <v>22250</v>
      </c>
      <c r="P1777" s="3" t="s">
        <v>46</v>
      </c>
      <c r="Q1777" s="1" cm="1">
        <f t="array" ref="Q1777">VALUE(INDEX(_xlfn.TEXTSPLIT(P1777, " "), 4))</f>
        <v>2014</v>
      </c>
      <c r="R1777" s="1" t="str">
        <f t="shared" si="27"/>
        <v>BMW 3 Series 328i xDrive</v>
      </c>
      <c r="S1777" s="1" t="str" cm="1">
        <f t="array" ref="S1777">_xlfn.IFS(I1777 &gt;= 40, "High", I1777&gt;=20, "Medium", I1777&lt;20, "Low")</f>
        <v>Medium</v>
      </c>
      <c r="T1777" s="1" t="str" cm="1">
        <f t="array" ref="T1777">_xlfn.IFS(O1777&lt;18200, "Low", O1777&lt;=50000, "Medium", O1777&gt;50000, "High")</f>
        <v>Medium</v>
      </c>
    </row>
    <row r="1778" spans="1:20" x14ac:dyDescent="0.25">
      <c r="A1778" s="2">
        <v>2011</v>
      </c>
      <c r="B1778" s="1" t="s">
        <v>29</v>
      </c>
      <c r="C1778" s="1" t="s">
        <v>30</v>
      </c>
      <c r="D1778" s="1" t="s">
        <v>2603</v>
      </c>
      <c r="E1778" s="1" t="s">
        <v>32</v>
      </c>
      <c r="F1778" s="1" t="s">
        <v>20</v>
      </c>
      <c r="G1778" s="1" t="s">
        <v>2605</v>
      </c>
      <c r="H1778" s="1" t="s">
        <v>22</v>
      </c>
      <c r="I1778" s="1">
        <v>43</v>
      </c>
      <c r="J1778" s="1">
        <v>25000</v>
      </c>
      <c r="K1778" s="1" t="s">
        <v>24</v>
      </c>
      <c r="L1778" s="1" t="s">
        <v>24</v>
      </c>
      <c r="M1778" s="1" t="s">
        <v>35</v>
      </c>
      <c r="N1778" s="1">
        <v>21100</v>
      </c>
      <c r="O1778" s="12">
        <v>22500</v>
      </c>
      <c r="P1778" s="3" t="s">
        <v>46</v>
      </c>
      <c r="Q1778" s="1" cm="1">
        <f t="array" ref="Q1778">VALUE(INDEX(_xlfn.TEXTSPLIT(P1778, " "), 4))</f>
        <v>2014</v>
      </c>
      <c r="R1778" s="1" t="str">
        <f t="shared" si="27"/>
        <v>BMW 3 Series 328i xDrive</v>
      </c>
      <c r="S1778" s="1" t="str" cm="1">
        <f t="array" ref="S1778">_xlfn.IFS(I1778 &gt;= 40, "High", I1778&gt;=20, "Medium", I1778&lt;20, "Low")</f>
        <v>High</v>
      </c>
      <c r="T1778" s="1" t="str" cm="1">
        <f t="array" ref="T1778">_xlfn.IFS(O1778&lt;18200, "Low", O1778&lt;=50000, "Medium", O1778&gt;50000, "High")</f>
        <v>Medium</v>
      </c>
    </row>
    <row r="1779" spans="1:20" x14ac:dyDescent="0.25">
      <c r="A1779" s="2">
        <v>2011</v>
      </c>
      <c r="B1779" s="1" t="s">
        <v>29</v>
      </c>
      <c r="C1779" s="1" t="s">
        <v>117</v>
      </c>
      <c r="D1779" s="1" t="s">
        <v>1292</v>
      </c>
      <c r="E1779" s="1" t="s">
        <v>32</v>
      </c>
      <c r="F1779" s="1" t="s">
        <v>20</v>
      </c>
      <c r="G1779" s="1" t="s">
        <v>2606</v>
      </c>
      <c r="H1779" s="1" t="s">
        <v>22</v>
      </c>
      <c r="I1779" s="1">
        <v>47</v>
      </c>
      <c r="J1779" s="1">
        <v>55951</v>
      </c>
      <c r="K1779" s="1" t="s">
        <v>24</v>
      </c>
      <c r="L1779" s="1" t="s">
        <v>24</v>
      </c>
      <c r="M1779" s="1" t="s">
        <v>2607</v>
      </c>
      <c r="N1779" s="1">
        <v>25000</v>
      </c>
      <c r="O1779" s="12">
        <v>23300</v>
      </c>
      <c r="P1779" s="3" t="s">
        <v>1717</v>
      </c>
      <c r="Q1779" s="1" cm="1">
        <f t="array" ref="Q1779">VALUE(INDEX(_xlfn.TEXTSPLIT(P1779, " "), 4))</f>
        <v>2015</v>
      </c>
      <c r="R1779" s="1" t="str">
        <f t="shared" si="27"/>
        <v>BMW 5 Series 535i</v>
      </c>
      <c r="S1779" s="1" t="str" cm="1">
        <f t="array" ref="S1779">_xlfn.IFS(I1779 &gt;= 40, "High", I1779&gt;=20, "Medium", I1779&lt;20, "Low")</f>
        <v>High</v>
      </c>
      <c r="T1779" s="1" t="str" cm="1">
        <f t="array" ref="T1779">_xlfn.IFS(O1779&lt;18200, "Low", O1779&lt;=50000, "Medium", O1779&gt;50000, "High")</f>
        <v>Medium</v>
      </c>
    </row>
    <row r="1780" spans="1:20" x14ac:dyDescent="0.25">
      <c r="A1780" s="2">
        <v>2011</v>
      </c>
      <c r="B1780" s="1" t="s">
        <v>29</v>
      </c>
      <c r="C1780" s="1" t="s">
        <v>30</v>
      </c>
      <c r="D1780" s="1" t="s">
        <v>1282</v>
      </c>
      <c r="E1780" s="1" t="s">
        <v>32</v>
      </c>
      <c r="F1780" s="1" t="s">
        <v>20</v>
      </c>
      <c r="G1780" s="1" t="s">
        <v>2608</v>
      </c>
      <c r="H1780" s="1" t="s">
        <v>22</v>
      </c>
      <c r="I1780" s="1">
        <v>34</v>
      </c>
      <c r="J1780" s="1">
        <v>61948</v>
      </c>
      <c r="K1780" s="1" t="s">
        <v>34</v>
      </c>
      <c r="L1780" s="1" t="s">
        <v>24</v>
      </c>
      <c r="M1780" s="1" t="s">
        <v>35</v>
      </c>
      <c r="N1780" s="1">
        <v>16250</v>
      </c>
      <c r="O1780" s="12">
        <v>17000</v>
      </c>
      <c r="P1780" s="3" t="s">
        <v>173</v>
      </c>
      <c r="Q1780" s="1" cm="1">
        <f t="array" ref="Q1780">VALUE(INDEX(_xlfn.TEXTSPLIT(P1780, " "), 4))</f>
        <v>2015</v>
      </c>
      <c r="R1780" s="1" t="str">
        <f t="shared" si="27"/>
        <v>BMW 3 Series 328i</v>
      </c>
      <c r="S1780" s="1" t="str" cm="1">
        <f t="array" ref="S1780">_xlfn.IFS(I1780 &gt;= 40, "High", I1780&gt;=20, "Medium", I1780&lt;20, "Low")</f>
        <v>Medium</v>
      </c>
      <c r="T1780" s="1" t="str" cm="1">
        <f t="array" ref="T1780">_xlfn.IFS(O1780&lt;18200, "Low", O1780&lt;=50000, "Medium", O1780&gt;50000, "High")</f>
        <v>Low</v>
      </c>
    </row>
    <row r="1781" spans="1:20" x14ac:dyDescent="0.25">
      <c r="A1781" s="2">
        <v>2011</v>
      </c>
      <c r="B1781" s="1" t="s">
        <v>29</v>
      </c>
      <c r="C1781" s="1" t="s">
        <v>30</v>
      </c>
      <c r="D1781" s="1" t="s">
        <v>1282</v>
      </c>
      <c r="E1781" s="1" t="s">
        <v>32</v>
      </c>
      <c r="F1781" s="1" t="s">
        <v>20</v>
      </c>
      <c r="G1781" s="1" t="s">
        <v>2609</v>
      </c>
      <c r="H1781" s="1" t="s">
        <v>22</v>
      </c>
      <c r="I1781" s="1">
        <v>36</v>
      </c>
      <c r="J1781" s="1">
        <v>57023</v>
      </c>
      <c r="K1781" s="1" t="s">
        <v>34</v>
      </c>
      <c r="L1781" s="1" t="s">
        <v>24</v>
      </c>
      <c r="M1781" s="1" t="s">
        <v>35</v>
      </c>
      <c r="N1781" s="1">
        <v>16400</v>
      </c>
      <c r="O1781" s="12">
        <v>17000</v>
      </c>
      <c r="P1781" s="3" t="s">
        <v>46</v>
      </c>
      <c r="Q1781" s="1" cm="1">
        <f t="array" ref="Q1781">VALUE(INDEX(_xlfn.TEXTSPLIT(P1781, " "), 4))</f>
        <v>2014</v>
      </c>
      <c r="R1781" s="1" t="str">
        <f t="shared" si="27"/>
        <v>BMW 3 Series 328i</v>
      </c>
      <c r="S1781" s="1" t="str" cm="1">
        <f t="array" ref="S1781">_xlfn.IFS(I1781 &gt;= 40, "High", I1781&gt;=20, "Medium", I1781&lt;20, "Low")</f>
        <v>Medium</v>
      </c>
      <c r="T1781" s="1" t="str" cm="1">
        <f t="array" ref="T1781">_xlfn.IFS(O1781&lt;18200, "Low", O1781&lt;=50000, "Medium", O1781&gt;50000, "High")</f>
        <v>Low</v>
      </c>
    </row>
    <row r="1782" spans="1:20" x14ac:dyDescent="0.25">
      <c r="A1782" s="2">
        <v>2011</v>
      </c>
      <c r="B1782" s="1" t="s">
        <v>29</v>
      </c>
      <c r="C1782" s="1" t="s">
        <v>30</v>
      </c>
      <c r="D1782" s="1" t="s">
        <v>1282</v>
      </c>
      <c r="E1782" s="1" t="s">
        <v>32</v>
      </c>
      <c r="F1782" s="1" t="s">
        <v>20</v>
      </c>
      <c r="G1782" s="1" t="s">
        <v>2610</v>
      </c>
      <c r="H1782" s="1" t="s">
        <v>22</v>
      </c>
      <c r="I1782" s="1">
        <v>43</v>
      </c>
      <c r="J1782" s="1">
        <v>30673</v>
      </c>
      <c r="K1782" s="1" t="s">
        <v>24</v>
      </c>
      <c r="L1782" s="1" t="s">
        <v>24</v>
      </c>
      <c r="M1782" s="1" t="s">
        <v>35</v>
      </c>
      <c r="N1782" s="1">
        <v>19950</v>
      </c>
      <c r="O1782" s="12">
        <v>21000</v>
      </c>
      <c r="P1782" s="3" t="s">
        <v>46</v>
      </c>
      <c r="Q1782" s="1" cm="1">
        <f t="array" ref="Q1782">VALUE(INDEX(_xlfn.TEXTSPLIT(P1782, " "), 4))</f>
        <v>2014</v>
      </c>
      <c r="R1782" s="1" t="str">
        <f t="shared" si="27"/>
        <v>BMW 3 Series 328i</v>
      </c>
      <c r="S1782" s="1" t="str" cm="1">
        <f t="array" ref="S1782">_xlfn.IFS(I1782 &gt;= 40, "High", I1782&gt;=20, "Medium", I1782&lt;20, "Low")</f>
        <v>High</v>
      </c>
      <c r="T1782" s="1" t="str" cm="1">
        <f t="array" ref="T1782">_xlfn.IFS(O1782&lt;18200, "Low", O1782&lt;=50000, "Medium", O1782&gt;50000, "High")</f>
        <v>Medium</v>
      </c>
    </row>
    <row r="1783" spans="1:20" x14ac:dyDescent="0.25">
      <c r="A1783" s="2">
        <v>2011</v>
      </c>
      <c r="B1783" s="1" t="s">
        <v>29</v>
      </c>
      <c r="C1783" s="1" t="s">
        <v>30</v>
      </c>
      <c r="D1783" s="1" t="s">
        <v>1282</v>
      </c>
      <c r="E1783" s="1" t="s">
        <v>32</v>
      </c>
      <c r="F1783" s="1" t="s">
        <v>20</v>
      </c>
      <c r="G1783" s="1" t="s">
        <v>2611</v>
      </c>
      <c r="H1783" s="1" t="s">
        <v>22</v>
      </c>
      <c r="I1783" s="1">
        <v>4</v>
      </c>
      <c r="J1783" s="1">
        <v>56559</v>
      </c>
      <c r="K1783" s="1" t="s">
        <v>23</v>
      </c>
      <c r="L1783" s="1" t="s">
        <v>24</v>
      </c>
      <c r="M1783" s="1" t="s">
        <v>361</v>
      </c>
      <c r="N1783" s="1">
        <v>16550</v>
      </c>
      <c r="O1783" s="12">
        <v>17250</v>
      </c>
      <c r="P1783" s="3" t="s">
        <v>362</v>
      </c>
      <c r="Q1783" s="1" cm="1">
        <f t="array" ref="Q1783">VALUE(INDEX(_xlfn.TEXTSPLIT(P1783, " "), 4))</f>
        <v>2014</v>
      </c>
      <c r="R1783" s="1" t="str">
        <f t="shared" si="27"/>
        <v>BMW 3 Series 328i</v>
      </c>
      <c r="S1783" s="1" t="str" cm="1">
        <f t="array" ref="S1783">_xlfn.IFS(I1783 &gt;= 40, "High", I1783&gt;=20, "Medium", I1783&lt;20, "Low")</f>
        <v>Low</v>
      </c>
      <c r="T1783" s="1" t="str" cm="1">
        <f t="array" ref="T1783">_xlfn.IFS(O1783&lt;18200, "Low", O1783&lt;=50000, "Medium", O1783&gt;50000, "High")</f>
        <v>Low</v>
      </c>
    </row>
    <row r="1784" spans="1:20" x14ac:dyDescent="0.25">
      <c r="A1784" s="2">
        <v>2011</v>
      </c>
      <c r="B1784" s="1" t="s">
        <v>29</v>
      </c>
      <c r="C1784" s="1" t="s">
        <v>30</v>
      </c>
      <c r="D1784" s="1" t="s">
        <v>1282</v>
      </c>
      <c r="E1784" s="1" t="s">
        <v>32</v>
      </c>
      <c r="F1784" s="1" t="s">
        <v>20</v>
      </c>
      <c r="G1784" s="1" t="s">
        <v>2612</v>
      </c>
      <c r="H1784" s="1" t="s">
        <v>22</v>
      </c>
      <c r="I1784" s="1">
        <v>31</v>
      </c>
      <c r="J1784" s="1">
        <v>29482</v>
      </c>
      <c r="K1784" s="1" t="s">
        <v>23</v>
      </c>
      <c r="L1784" s="1" t="s">
        <v>24</v>
      </c>
      <c r="M1784" s="1" t="s">
        <v>35</v>
      </c>
      <c r="N1784" s="1">
        <v>20700</v>
      </c>
      <c r="O1784" s="12">
        <v>15000</v>
      </c>
      <c r="P1784" s="3" t="s">
        <v>173</v>
      </c>
      <c r="Q1784" s="1" cm="1">
        <f t="array" ref="Q1784">VALUE(INDEX(_xlfn.TEXTSPLIT(P1784, " "), 4))</f>
        <v>2015</v>
      </c>
      <c r="R1784" s="1" t="str">
        <f t="shared" si="27"/>
        <v>BMW 3 Series 328i</v>
      </c>
      <c r="S1784" s="1" t="str" cm="1">
        <f t="array" ref="S1784">_xlfn.IFS(I1784 &gt;= 40, "High", I1784&gt;=20, "Medium", I1784&lt;20, "Low")</f>
        <v>Medium</v>
      </c>
      <c r="T1784" s="1" t="str" cm="1">
        <f t="array" ref="T1784">_xlfn.IFS(O1784&lt;18200, "Low", O1784&lt;=50000, "Medium", O1784&gt;50000, "High")</f>
        <v>Low</v>
      </c>
    </row>
    <row r="1785" spans="1:20" x14ac:dyDescent="0.25">
      <c r="A1785" s="2">
        <v>2012</v>
      </c>
      <c r="B1785" s="1" t="s">
        <v>927</v>
      </c>
      <c r="C1785" s="1" t="s">
        <v>928</v>
      </c>
      <c r="D1785" s="1" t="s">
        <v>663</v>
      </c>
      <c r="E1785" s="1" t="s">
        <v>32</v>
      </c>
      <c r="F1785" s="1" t="s">
        <v>20</v>
      </c>
      <c r="G1785" s="1" t="s">
        <v>2613</v>
      </c>
      <c r="H1785" s="1" t="s">
        <v>22</v>
      </c>
      <c r="I1785" s="1">
        <v>34</v>
      </c>
      <c r="J1785" s="1">
        <v>61702</v>
      </c>
      <c r="K1785" s="1" t="s">
        <v>23</v>
      </c>
      <c r="L1785" s="1" t="s">
        <v>34</v>
      </c>
      <c r="M1785" s="1" t="s">
        <v>1096</v>
      </c>
      <c r="N1785" s="1">
        <v>9200</v>
      </c>
      <c r="O1785" s="12">
        <v>10100</v>
      </c>
      <c r="P1785" s="3" t="s">
        <v>1108</v>
      </c>
      <c r="Q1785" s="1" cm="1">
        <f t="array" ref="Q1785">VALUE(INDEX(_xlfn.TEXTSPLIT(P1785, " "), 4))</f>
        <v>2014</v>
      </c>
      <c r="R1785" s="1" t="str">
        <f t="shared" si="27"/>
        <v>Toyota Corolla LE</v>
      </c>
      <c r="S1785" s="1" t="str" cm="1">
        <f t="array" ref="S1785">_xlfn.IFS(I1785 &gt;= 40, "High", I1785&gt;=20, "Medium", I1785&lt;20, "Low")</f>
        <v>Medium</v>
      </c>
      <c r="T1785" s="1" t="str" cm="1">
        <f t="array" ref="T1785">_xlfn.IFS(O1785&lt;18200, "Low", O1785&lt;=50000, "Medium", O1785&gt;50000, "High")</f>
        <v>Low</v>
      </c>
    </row>
    <row r="1786" spans="1:20" x14ac:dyDescent="0.25">
      <c r="A1786" s="2">
        <v>2011</v>
      </c>
      <c r="B1786" s="1" t="s">
        <v>29</v>
      </c>
      <c r="C1786" s="1" t="s">
        <v>30</v>
      </c>
      <c r="D1786" s="1" t="s">
        <v>2603</v>
      </c>
      <c r="E1786" s="1" t="s">
        <v>32</v>
      </c>
      <c r="F1786" s="1" t="s">
        <v>20</v>
      </c>
      <c r="G1786" s="1" t="s">
        <v>2614</v>
      </c>
      <c r="H1786" s="1" t="s">
        <v>22</v>
      </c>
      <c r="I1786" s="1">
        <v>35</v>
      </c>
      <c r="J1786" s="1">
        <v>27154</v>
      </c>
      <c r="K1786" s="1" t="s">
        <v>34</v>
      </c>
      <c r="L1786" s="1" t="s">
        <v>24</v>
      </c>
      <c r="M1786" s="1" t="s">
        <v>35</v>
      </c>
      <c r="N1786" s="1">
        <v>20800</v>
      </c>
      <c r="O1786" s="12">
        <v>21500</v>
      </c>
      <c r="P1786" s="3" t="s">
        <v>46</v>
      </c>
      <c r="Q1786" s="1" cm="1">
        <f t="array" ref="Q1786">VALUE(INDEX(_xlfn.TEXTSPLIT(P1786, " "), 4))</f>
        <v>2014</v>
      </c>
      <c r="R1786" s="1" t="str">
        <f t="shared" si="27"/>
        <v>BMW 3 Series 328i xDrive</v>
      </c>
      <c r="S1786" s="1" t="str" cm="1">
        <f t="array" ref="S1786">_xlfn.IFS(I1786 &gt;= 40, "High", I1786&gt;=20, "Medium", I1786&lt;20, "Low")</f>
        <v>Medium</v>
      </c>
      <c r="T1786" s="1" t="str" cm="1">
        <f t="array" ref="T1786">_xlfn.IFS(O1786&lt;18200, "Low", O1786&lt;=50000, "Medium", O1786&gt;50000, "High")</f>
        <v>Medium</v>
      </c>
    </row>
    <row r="1787" spans="1:20" x14ac:dyDescent="0.25">
      <c r="A1787" s="2">
        <v>2011</v>
      </c>
      <c r="B1787" s="1" t="s">
        <v>63</v>
      </c>
      <c r="C1787" s="1" t="s">
        <v>103</v>
      </c>
      <c r="D1787" s="1" t="s">
        <v>1476</v>
      </c>
      <c r="E1787" s="1" t="s">
        <v>19</v>
      </c>
      <c r="F1787" s="1" t="s">
        <v>20</v>
      </c>
      <c r="G1787" s="1" t="s">
        <v>2615</v>
      </c>
      <c r="H1787" s="1" t="s">
        <v>22</v>
      </c>
      <c r="I1787" s="1">
        <v>36</v>
      </c>
      <c r="J1787" s="1">
        <v>68316</v>
      </c>
      <c r="K1787" s="1" t="s">
        <v>34</v>
      </c>
      <c r="L1787" s="1" t="s">
        <v>34</v>
      </c>
      <c r="M1787" s="1" t="s">
        <v>625</v>
      </c>
      <c r="N1787" s="1">
        <v>24000</v>
      </c>
      <c r="O1787" s="12">
        <v>25000</v>
      </c>
      <c r="P1787" s="3" t="s">
        <v>68</v>
      </c>
      <c r="Q1787" s="1" cm="1">
        <f t="array" ref="Q1787">VALUE(INDEX(_xlfn.TEXTSPLIT(P1787, " "), 4))</f>
        <v>2014</v>
      </c>
      <c r="R1787" s="1" t="str">
        <f t="shared" si="27"/>
        <v>Audi Q5 3.2 Premium Plus quattro</v>
      </c>
      <c r="S1787" s="1" t="str" cm="1">
        <f t="array" ref="S1787">_xlfn.IFS(I1787 &gt;= 40, "High", I1787&gt;=20, "Medium", I1787&lt;20, "Low")</f>
        <v>Medium</v>
      </c>
      <c r="T1787" s="1" t="str" cm="1">
        <f t="array" ref="T1787">_xlfn.IFS(O1787&lt;18200, "Low", O1787&lt;=50000, "Medium", O1787&gt;50000, "High")</f>
        <v>Medium</v>
      </c>
    </row>
    <row r="1788" spans="1:20" x14ac:dyDescent="0.25">
      <c r="A1788" s="2">
        <v>2012</v>
      </c>
      <c r="B1788" s="1" t="s">
        <v>37</v>
      </c>
      <c r="C1788" s="1" t="s">
        <v>930</v>
      </c>
      <c r="D1788" s="1">
        <v>3.2</v>
      </c>
      <c r="E1788" s="1" t="s">
        <v>19</v>
      </c>
      <c r="F1788" s="1" t="s">
        <v>20</v>
      </c>
      <c r="G1788" s="1" t="s">
        <v>2616</v>
      </c>
      <c r="H1788" s="1" t="s">
        <v>22</v>
      </c>
      <c r="I1788" s="1">
        <v>44</v>
      </c>
      <c r="J1788" s="1">
        <v>65779</v>
      </c>
      <c r="K1788" s="1" t="s">
        <v>24</v>
      </c>
      <c r="L1788" s="1" t="s">
        <v>24</v>
      </c>
      <c r="M1788" s="1" t="s">
        <v>2617</v>
      </c>
      <c r="N1788" s="1">
        <v>17650</v>
      </c>
      <c r="O1788" s="12">
        <v>15500</v>
      </c>
      <c r="P1788" s="3" t="s">
        <v>210</v>
      </c>
      <c r="Q1788" s="1" cm="1">
        <f t="array" ref="Q1788">VALUE(INDEX(_xlfn.TEXTSPLIT(P1788, " "), 4))</f>
        <v>2015</v>
      </c>
      <c r="R1788" s="1" t="str">
        <f t="shared" si="27"/>
        <v>Volvo XC60 3.2</v>
      </c>
      <c r="S1788" s="1" t="str" cm="1">
        <f t="array" ref="S1788">_xlfn.IFS(I1788 &gt;= 40, "High", I1788&gt;=20, "Medium", I1788&lt;20, "Low")</f>
        <v>High</v>
      </c>
      <c r="T1788" s="1" t="str" cm="1">
        <f t="array" ref="T1788">_xlfn.IFS(O1788&lt;18200, "Low", O1788&lt;=50000, "Medium", O1788&gt;50000, "High")</f>
        <v>Low</v>
      </c>
    </row>
    <row r="1789" spans="1:20" x14ac:dyDescent="0.25">
      <c r="A1789" s="2">
        <v>2011</v>
      </c>
      <c r="B1789" s="1" t="s">
        <v>29</v>
      </c>
      <c r="C1789" s="1" t="s">
        <v>30</v>
      </c>
      <c r="D1789" s="1" t="s">
        <v>1282</v>
      </c>
      <c r="E1789" s="1" t="s">
        <v>32</v>
      </c>
      <c r="F1789" s="1" t="s">
        <v>20</v>
      </c>
      <c r="G1789" s="1" t="s">
        <v>2618</v>
      </c>
      <c r="H1789" s="1" t="s">
        <v>22</v>
      </c>
      <c r="I1789" s="1">
        <v>38</v>
      </c>
      <c r="J1789" s="1">
        <v>17962</v>
      </c>
      <c r="K1789" s="1" t="s">
        <v>24</v>
      </c>
      <c r="L1789" s="1" t="s">
        <v>24</v>
      </c>
      <c r="M1789" s="1" t="s">
        <v>35</v>
      </c>
      <c r="N1789" s="1">
        <v>21700</v>
      </c>
      <c r="O1789" s="12">
        <v>22500</v>
      </c>
      <c r="P1789" s="3" t="s">
        <v>46</v>
      </c>
      <c r="Q1789" s="1" cm="1">
        <f t="array" ref="Q1789">VALUE(INDEX(_xlfn.TEXTSPLIT(P1789, " "), 4))</f>
        <v>2014</v>
      </c>
      <c r="R1789" s="1" t="str">
        <f t="shared" si="27"/>
        <v>BMW 3 Series 328i</v>
      </c>
      <c r="S1789" s="1" t="str" cm="1">
        <f t="array" ref="S1789">_xlfn.IFS(I1789 &gt;= 40, "High", I1789&gt;=20, "Medium", I1789&lt;20, "Low")</f>
        <v>Medium</v>
      </c>
      <c r="T1789" s="1" t="str" cm="1">
        <f t="array" ref="T1789">_xlfn.IFS(O1789&lt;18200, "Low", O1789&lt;=50000, "Medium", O1789&gt;50000, "High")</f>
        <v>Medium</v>
      </c>
    </row>
    <row r="1790" spans="1:20" x14ac:dyDescent="0.25">
      <c r="A1790" s="2">
        <v>2012</v>
      </c>
      <c r="B1790" s="1" t="s">
        <v>927</v>
      </c>
      <c r="C1790" s="1" t="s">
        <v>1178</v>
      </c>
      <c r="D1790" s="1" t="s">
        <v>337</v>
      </c>
      <c r="E1790" s="1" t="s">
        <v>19</v>
      </c>
      <c r="F1790" s="1" t="s">
        <v>20</v>
      </c>
      <c r="G1790" s="1" t="s">
        <v>2619</v>
      </c>
      <c r="H1790" s="1" t="s">
        <v>22</v>
      </c>
      <c r="I1790" s="1">
        <v>28</v>
      </c>
      <c r="J1790" s="1">
        <v>31143</v>
      </c>
      <c r="K1790" s="1" t="s">
        <v>91</v>
      </c>
      <c r="L1790" s="1" t="s">
        <v>91</v>
      </c>
      <c r="M1790" s="1" t="s">
        <v>2620</v>
      </c>
      <c r="N1790" s="1">
        <v>26700</v>
      </c>
      <c r="O1790" s="12">
        <v>24000</v>
      </c>
      <c r="P1790" s="3" t="s">
        <v>57</v>
      </c>
      <c r="Q1790" s="1" cm="1">
        <f t="array" ref="Q1790">VALUE(INDEX(_xlfn.TEXTSPLIT(P1790, " "), 4))</f>
        <v>2014</v>
      </c>
      <c r="R1790" s="1" t="str">
        <f t="shared" si="27"/>
        <v>Toyota Highlander Limited</v>
      </c>
      <c r="S1790" s="1" t="str" cm="1">
        <f t="array" ref="S1790">_xlfn.IFS(I1790 &gt;= 40, "High", I1790&gt;=20, "Medium", I1790&lt;20, "Low")</f>
        <v>Medium</v>
      </c>
      <c r="T1790" s="1" t="str" cm="1">
        <f t="array" ref="T1790">_xlfn.IFS(O1790&lt;18200, "Low", O1790&lt;=50000, "Medium", O1790&gt;50000, "High")</f>
        <v>Medium</v>
      </c>
    </row>
    <row r="1791" spans="1:20" x14ac:dyDescent="0.25">
      <c r="A1791" s="2">
        <v>2012</v>
      </c>
      <c r="B1791" s="1" t="s">
        <v>921</v>
      </c>
      <c r="C1791" s="1" t="s">
        <v>2621</v>
      </c>
      <c r="D1791" s="1" t="s">
        <v>2622</v>
      </c>
      <c r="E1791" s="1" t="s">
        <v>227</v>
      </c>
      <c r="F1791" s="1" t="s">
        <v>20</v>
      </c>
      <c r="G1791" s="1" t="s">
        <v>2623</v>
      </c>
      <c r="H1791" s="1" t="s">
        <v>22</v>
      </c>
      <c r="I1791" s="1">
        <v>1</v>
      </c>
      <c r="J1791" s="1">
        <v>33529</v>
      </c>
      <c r="K1791" s="1" t="s">
        <v>73</v>
      </c>
      <c r="L1791" s="1" t="s">
        <v>24</v>
      </c>
      <c r="M1791" s="1" t="s">
        <v>925</v>
      </c>
      <c r="N1791" s="1">
        <v>15350</v>
      </c>
      <c r="O1791" s="12">
        <v>12200</v>
      </c>
      <c r="P1791" s="3" t="s">
        <v>84</v>
      </c>
      <c r="Q1791" s="1" cm="1">
        <f t="array" ref="Q1791">VALUE(INDEX(_xlfn.TEXTSPLIT(P1791, " "), 4))</f>
        <v>2014</v>
      </c>
      <c r="R1791" s="1" t="str">
        <f t="shared" si="27"/>
        <v>Volkswagen GTI PZEV</v>
      </c>
      <c r="S1791" s="1" t="str" cm="1">
        <f t="array" ref="S1791">_xlfn.IFS(I1791 &gt;= 40, "High", I1791&gt;=20, "Medium", I1791&lt;20, "Low")</f>
        <v>Low</v>
      </c>
      <c r="T1791" s="1" t="str" cm="1">
        <f t="array" ref="T1791">_xlfn.IFS(O1791&lt;18200, "Low", O1791&lt;=50000, "Medium", O1791&gt;50000, "High")</f>
        <v>Low</v>
      </c>
    </row>
    <row r="1792" spans="1:20" x14ac:dyDescent="0.25">
      <c r="A1792" s="2">
        <v>2011</v>
      </c>
      <c r="B1792" s="1" t="s">
        <v>29</v>
      </c>
      <c r="C1792" s="1" t="s">
        <v>30</v>
      </c>
      <c r="D1792" s="1" t="s">
        <v>1282</v>
      </c>
      <c r="E1792" s="1" t="s">
        <v>32</v>
      </c>
      <c r="F1792" s="1" t="s">
        <v>20</v>
      </c>
      <c r="G1792" s="1" t="s">
        <v>2624</v>
      </c>
      <c r="H1792" s="1" t="s">
        <v>22</v>
      </c>
      <c r="I1792" s="1">
        <v>45</v>
      </c>
      <c r="J1792" s="1">
        <v>27335</v>
      </c>
      <c r="K1792" s="1" t="s">
        <v>24</v>
      </c>
      <c r="L1792" s="1" t="s">
        <v>24</v>
      </c>
      <c r="M1792" s="1" t="s">
        <v>35</v>
      </c>
      <c r="N1792" s="1">
        <v>20400</v>
      </c>
      <c r="O1792" s="12">
        <v>25000</v>
      </c>
      <c r="P1792" s="3" t="s">
        <v>46</v>
      </c>
      <c r="Q1792" s="1" cm="1">
        <f t="array" ref="Q1792">VALUE(INDEX(_xlfn.TEXTSPLIT(P1792, " "), 4))</f>
        <v>2014</v>
      </c>
      <c r="R1792" s="1" t="str">
        <f t="shared" si="27"/>
        <v>BMW 3 Series 328i</v>
      </c>
      <c r="S1792" s="1" t="str" cm="1">
        <f t="array" ref="S1792">_xlfn.IFS(I1792 &gt;= 40, "High", I1792&gt;=20, "Medium", I1792&lt;20, "Low")</f>
        <v>High</v>
      </c>
      <c r="T1792" s="1" t="str" cm="1">
        <f t="array" ref="T1792">_xlfn.IFS(O1792&lt;18200, "Low", O1792&lt;=50000, "Medium", O1792&gt;50000, "High")</f>
        <v>Medium</v>
      </c>
    </row>
    <row r="1793" spans="1:20" x14ac:dyDescent="0.25">
      <c r="A1793" s="2">
        <v>2011</v>
      </c>
      <c r="B1793" s="1" t="s">
        <v>29</v>
      </c>
      <c r="C1793" s="1" t="s">
        <v>30</v>
      </c>
      <c r="D1793" s="1" t="s">
        <v>1282</v>
      </c>
      <c r="E1793" s="1" t="s">
        <v>32</v>
      </c>
      <c r="F1793" s="1" t="s">
        <v>20</v>
      </c>
      <c r="G1793" s="1" t="s">
        <v>2625</v>
      </c>
      <c r="H1793" s="1" t="s">
        <v>22</v>
      </c>
      <c r="I1793" s="1">
        <v>37</v>
      </c>
      <c r="J1793" s="1">
        <v>37846</v>
      </c>
      <c r="K1793" s="1" t="s">
        <v>24</v>
      </c>
      <c r="L1793" s="1" t="s">
        <v>28</v>
      </c>
      <c r="M1793" s="1" t="s">
        <v>1373</v>
      </c>
      <c r="N1793" s="1">
        <v>19050</v>
      </c>
      <c r="O1793" s="12">
        <v>16600</v>
      </c>
      <c r="P1793" s="3" t="s">
        <v>57</v>
      </c>
      <c r="Q1793" s="1" cm="1">
        <f t="array" ref="Q1793">VALUE(INDEX(_xlfn.TEXTSPLIT(P1793, " "), 4))</f>
        <v>2014</v>
      </c>
      <c r="R1793" s="1" t="str">
        <f t="shared" si="27"/>
        <v>BMW 3 Series 328i</v>
      </c>
      <c r="S1793" s="1" t="str" cm="1">
        <f t="array" ref="S1793">_xlfn.IFS(I1793 &gt;= 40, "High", I1793&gt;=20, "Medium", I1793&lt;20, "Low")</f>
        <v>Medium</v>
      </c>
      <c r="T1793" s="1" t="str" cm="1">
        <f t="array" ref="T1793">_xlfn.IFS(O1793&lt;18200, "Low", O1793&lt;=50000, "Medium", O1793&gt;50000, "High")</f>
        <v>Low</v>
      </c>
    </row>
    <row r="1794" spans="1:20" x14ac:dyDescent="0.25">
      <c r="A1794" s="2">
        <v>2011</v>
      </c>
      <c r="B1794" s="1" t="s">
        <v>29</v>
      </c>
      <c r="C1794" s="1" t="s">
        <v>30</v>
      </c>
      <c r="D1794" s="1" t="s">
        <v>1282</v>
      </c>
      <c r="E1794" s="1" t="s">
        <v>32</v>
      </c>
      <c r="F1794" s="1" t="s">
        <v>20</v>
      </c>
      <c r="G1794" s="1" t="s">
        <v>2626</v>
      </c>
      <c r="H1794" s="1" t="s">
        <v>22</v>
      </c>
      <c r="I1794" s="1">
        <v>42</v>
      </c>
      <c r="J1794" s="1">
        <v>40691</v>
      </c>
      <c r="K1794" s="1" t="s">
        <v>23</v>
      </c>
      <c r="L1794" s="1" t="s">
        <v>24</v>
      </c>
      <c r="M1794" s="1" t="s">
        <v>35</v>
      </c>
      <c r="N1794" s="1">
        <v>19050</v>
      </c>
      <c r="O1794" s="12">
        <v>18750</v>
      </c>
      <c r="P1794" s="3" t="s">
        <v>36</v>
      </c>
      <c r="Q1794" s="1" cm="1">
        <f t="array" ref="Q1794">VALUE(INDEX(_xlfn.TEXTSPLIT(P1794, " "), 4))</f>
        <v>2015</v>
      </c>
      <c r="R1794" s="1" t="str">
        <f t="shared" si="27"/>
        <v>BMW 3 Series 328i</v>
      </c>
      <c r="S1794" s="1" t="str" cm="1">
        <f t="array" ref="S1794">_xlfn.IFS(I1794 &gt;= 40, "High", I1794&gt;=20, "Medium", I1794&lt;20, "Low")</f>
        <v>High</v>
      </c>
      <c r="T1794" s="1" t="str" cm="1">
        <f t="array" ref="T1794">_xlfn.IFS(O1794&lt;18200, "Low", O1794&lt;=50000, "Medium", O1794&gt;50000, "High")</f>
        <v>Medium</v>
      </c>
    </row>
    <row r="1795" spans="1:20" x14ac:dyDescent="0.25">
      <c r="A1795" s="2">
        <v>2012</v>
      </c>
      <c r="B1795" s="1" t="s">
        <v>37</v>
      </c>
      <c r="C1795" s="1" t="s">
        <v>38</v>
      </c>
      <c r="D1795" s="1" t="s">
        <v>129</v>
      </c>
      <c r="E1795" s="1" t="s">
        <v>32</v>
      </c>
      <c r="F1795" s="1" t="s">
        <v>20</v>
      </c>
      <c r="G1795" s="1" t="s">
        <v>2627</v>
      </c>
      <c r="H1795" s="1" t="s">
        <v>22</v>
      </c>
      <c r="I1795" s="1">
        <v>41</v>
      </c>
      <c r="J1795" s="1">
        <v>16965</v>
      </c>
      <c r="K1795" s="1" t="s">
        <v>91</v>
      </c>
      <c r="L1795" s="1" t="s">
        <v>28</v>
      </c>
      <c r="M1795" s="1" t="s">
        <v>1550</v>
      </c>
      <c r="N1795" s="1">
        <v>23300</v>
      </c>
      <c r="O1795" s="12">
        <v>19000</v>
      </c>
      <c r="P1795" s="3" t="s">
        <v>46</v>
      </c>
      <c r="Q1795" s="1" cm="1">
        <f t="array" ref="Q1795">VALUE(INDEX(_xlfn.TEXTSPLIT(P1795, " "), 4))</f>
        <v>2014</v>
      </c>
      <c r="R1795" s="1" t="str">
        <f t="shared" ref="R1795:R1858" si="28">_xlfn.TEXTJOIN(" ", TRUE, B1795, C1795, D1795)</f>
        <v>Volvo S60 T6</v>
      </c>
      <c r="S1795" s="1" t="str" cm="1">
        <f t="array" ref="S1795">_xlfn.IFS(I1795 &gt;= 40, "High", I1795&gt;=20, "Medium", I1795&lt;20, "Low")</f>
        <v>High</v>
      </c>
      <c r="T1795" s="1" t="str" cm="1">
        <f t="array" ref="T1795">_xlfn.IFS(O1795&lt;18200, "Low", O1795&lt;=50000, "Medium", O1795&gt;50000, "High")</f>
        <v>Medium</v>
      </c>
    </row>
    <row r="1796" spans="1:20" x14ac:dyDescent="0.25">
      <c r="A1796" s="2">
        <v>2011</v>
      </c>
      <c r="B1796" s="1" t="s">
        <v>29</v>
      </c>
      <c r="C1796" s="1" t="s">
        <v>30</v>
      </c>
      <c r="D1796" s="1" t="s">
        <v>1282</v>
      </c>
      <c r="E1796" s="1" t="s">
        <v>32</v>
      </c>
      <c r="F1796" s="1" t="s">
        <v>20</v>
      </c>
      <c r="G1796" s="1" t="s">
        <v>2628</v>
      </c>
      <c r="H1796" s="1" t="s">
        <v>22</v>
      </c>
      <c r="I1796" s="1">
        <v>43</v>
      </c>
      <c r="J1796" s="1">
        <v>54792</v>
      </c>
      <c r="K1796" s="1" t="s">
        <v>34</v>
      </c>
      <c r="L1796" s="1" t="s">
        <v>24</v>
      </c>
      <c r="M1796" s="1" t="s">
        <v>35</v>
      </c>
      <c r="N1796" s="1">
        <v>16700</v>
      </c>
      <c r="O1796" s="12">
        <v>17500</v>
      </c>
      <c r="P1796" s="3" t="s">
        <v>46</v>
      </c>
      <c r="Q1796" s="1" cm="1">
        <f t="array" ref="Q1796">VALUE(INDEX(_xlfn.TEXTSPLIT(P1796, " "), 4))</f>
        <v>2014</v>
      </c>
      <c r="R1796" s="1" t="str">
        <f t="shared" si="28"/>
        <v>BMW 3 Series 328i</v>
      </c>
      <c r="S1796" s="1" t="str" cm="1">
        <f t="array" ref="S1796">_xlfn.IFS(I1796 &gt;= 40, "High", I1796&gt;=20, "Medium", I1796&lt;20, "Low")</f>
        <v>High</v>
      </c>
      <c r="T1796" s="1" t="str" cm="1">
        <f t="array" ref="T1796">_xlfn.IFS(O1796&lt;18200, "Low", O1796&lt;=50000, "Medium", O1796&gt;50000, "High")</f>
        <v>Low</v>
      </c>
    </row>
    <row r="1797" spans="1:20" x14ac:dyDescent="0.25">
      <c r="A1797" s="2">
        <v>2012</v>
      </c>
      <c r="B1797" s="1" t="s">
        <v>921</v>
      </c>
      <c r="C1797" s="1" t="s">
        <v>922</v>
      </c>
      <c r="D1797" s="1" t="s">
        <v>923</v>
      </c>
      <c r="E1797" s="1" t="s">
        <v>32</v>
      </c>
      <c r="F1797" s="1" t="s">
        <v>20</v>
      </c>
      <c r="G1797" s="1" t="s">
        <v>2629</v>
      </c>
      <c r="H1797" s="1" t="s">
        <v>22</v>
      </c>
      <c r="I1797" s="1">
        <v>26</v>
      </c>
      <c r="J1797" s="1">
        <v>51490</v>
      </c>
      <c r="K1797" s="1" t="s">
        <v>24</v>
      </c>
      <c r="L1797" s="1" t="s">
        <v>24</v>
      </c>
      <c r="M1797" s="1" t="s">
        <v>56</v>
      </c>
      <c r="N1797" s="1">
        <v>11350</v>
      </c>
      <c r="O1797" s="12">
        <v>10500</v>
      </c>
      <c r="P1797" s="3" t="s">
        <v>270</v>
      </c>
      <c r="Q1797" s="1" cm="1">
        <f t="array" ref="Q1797">VALUE(INDEX(_xlfn.TEXTSPLIT(P1797, " "), 4))</f>
        <v>2014</v>
      </c>
      <c r="R1797" s="1" t="str">
        <f t="shared" si="28"/>
        <v>Volkswagen Passat SE PZEV</v>
      </c>
      <c r="S1797" s="1" t="str" cm="1">
        <f t="array" ref="S1797">_xlfn.IFS(I1797 &gt;= 40, "High", I1797&gt;=20, "Medium", I1797&lt;20, "Low")</f>
        <v>Medium</v>
      </c>
      <c r="T1797" s="1" t="str" cm="1">
        <f t="array" ref="T1797">_xlfn.IFS(O1797&lt;18200, "Low", O1797&lt;=50000, "Medium", O1797&gt;50000, "High")</f>
        <v>Low</v>
      </c>
    </row>
    <row r="1798" spans="1:20" x14ac:dyDescent="0.25">
      <c r="A1798" s="2">
        <v>2011</v>
      </c>
      <c r="B1798" s="1" t="s">
        <v>29</v>
      </c>
      <c r="C1798" s="1" t="s">
        <v>30</v>
      </c>
      <c r="D1798" s="1" t="s">
        <v>1282</v>
      </c>
      <c r="E1798" s="1" t="s">
        <v>32</v>
      </c>
      <c r="F1798" s="1" t="s">
        <v>20</v>
      </c>
      <c r="G1798" s="1" t="s">
        <v>2630</v>
      </c>
      <c r="H1798" s="1" t="s">
        <v>22</v>
      </c>
      <c r="I1798" s="1">
        <v>49</v>
      </c>
      <c r="J1798" s="1">
        <v>25219</v>
      </c>
      <c r="K1798" s="1" t="s">
        <v>34</v>
      </c>
      <c r="L1798" s="1" t="s">
        <v>34</v>
      </c>
      <c r="M1798" s="1" t="s">
        <v>35</v>
      </c>
      <c r="N1798" s="1">
        <v>20700</v>
      </c>
      <c r="O1798" s="12">
        <v>21500</v>
      </c>
      <c r="P1798" s="3" t="s">
        <v>46</v>
      </c>
      <c r="Q1798" s="1" cm="1">
        <f t="array" ref="Q1798">VALUE(INDEX(_xlfn.TEXTSPLIT(P1798, " "), 4))</f>
        <v>2014</v>
      </c>
      <c r="R1798" s="1" t="str">
        <f t="shared" si="28"/>
        <v>BMW 3 Series 328i</v>
      </c>
      <c r="S1798" s="1" t="str" cm="1">
        <f t="array" ref="S1798">_xlfn.IFS(I1798 &gt;= 40, "High", I1798&gt;=20, "Medium", I1798&lt;20, "Low")</f>
        <v>High</v>
      </c>
      <c r="T1798" s="1" t="str" cm="1">
        <f t="array" ref="T1798">_xlfn.IFS(O1798&lt;18200, "Low", O1798&lt;=50000, "Medium", O1798&gt;50000, "High")</f>
        <v>Medium</v>
      </c>
    </row>
    <row r="1799" spans="1:20" x14ac:dyDescent="0.25">
      <c r="A1799" s="2">
        <v>2011</v>
      </c>
      <c r="B1799" s="1" t="s">
        <v>63</v>
      </c>
      <c r="C1799" s="1" t="s">
        <v>1307</v>
      </c>
      <c r="D1799" s="1" t="s">
        <v>151</v>
      </c>
      <c r="E1799" s="1" t="s">
        <v>32</v>
      </c>
      <c r="F1799" s="1" t="s">
        <v>20</v>
      </c>
      <c r="G1799" s="1" t="s">
        <v>2631</v>
      </c>
      <c r="H1799" s="1" t="s">
        <v>22</v>
      </c>
      <c r="I1799" s="1">
        <v>39</v>
      </c>
      <c r="J1799" s="1">
        <v>34952</v>
      </c>
      <c r="K1799" s="1" t="s">
        <v>34</v>
      </c>
      <c r="L1799" s="1" t="s">
        <v>24</v>
      </c>
      <c r="M1799" s="1" t="s">
        <v>1297</v>
      </c>
      <c r="N1799" s="1">
        <v>26100</v>
      </c>
      <c r="O1799" s="12">
        <v>29250</v>
      </c>
      <c r="P1799" s="3" t="s">
        <v>251</v>
      </c>
      <c r="Q1799" s="1" cm="1">
        <f t="array" ref="Q1799">VALUE(INDEX(_xlfn.TEXTSPLIT(P1799, " "), 4))</f>
        <v>2014</v>
      </c>
      <c r="R1799" s="1" t="str">
        <f t="shared" si="28"/>
        <v>Audi S4 Premium Plus quattro</v>
      </c>
      <c r="S1799" s="1" t="str" cm="1">
        <f t="array" ref="S1799">_xlfn.IFS(I1799 &gt;= 40, "High", I1799&gt;=20, "Medium", I1799&lt;20, "Low")</f>
        <v>Medium</v>
      </c>
      <c r="T1799" s="1" t="str" cm="1">
        <f t="array" ref="T1799">_xlfn.IFS(O1799&lt;18200, "Low", O1799&lt;=50000, "Medium", O1799&gt;50000, "High")</f>
        <v>Medium</v>
      </c>
    </row>
    <row r="1800" spans="1:20" x14ac:dyDescent="0.25">
      <c r="A1800" s="2">
        <v>2011</v>
      </c>
      <c r="B1800" s="1" t="s">
        <v>29</v>
      </c>
      <c r="C1800" s="1" t="s">
        <v>1356</v>
      </c>
      <c r="D1800" s="1" t="s">
        <v>54</v>
      </c>
      <c r="E1800" s="1" t="s">
        <v>32</v>
      </c>
      <c r="F1800" s="1" t="s">
        <v>20</v>
      </c>
      <c r="G1800" s="1" t="s">
        <v>2632</v>
      </c>
      <c r="H1800" s="1" t="s">
        <v>22</v>
      </c>
      <c r="I1800" s="1">
        <v>29</v>
      </c>
      <c r="J1800" s="1">
        <v>20585</v>
      </c>
      <c r="K1800" s="1" t="s">
        <v>24</v>
      </c>
      <c r="L1800" s="1" t="s">
        <v>24</v>
      </c>
      <c r="M1800" s="1" t="s">
        <v>35</v>
      </c>
      <c r="N1800" s="1">
        <v>42800</v>
      </c>
      <c r="O1800" s="12">
        <v>44000</v>
      </c>
      <c r="P1800" s="3" t="s">
        <v>26</v>
      </c>
      <c r="Q1800" s="1" cm="1">
        <f t="array" ref="Q1800">VALUE(INDEX(_xlfn.TEXTSPLIT(P1800, " "), 4))</f>
        <v>2014</v>
      </c>
      <c r="R1800" s="1" t="str">
        <f t="shared" si="28"/>
        <v>BMW M3 Base</v>
      </c>
      <c r="S1800" s="1" t="str" cm="1">
        <f t="array" ref="S1800">_xlfn.IFS(I1800 &gt;= 40, "High", I1800&gt;=20, "Medium", I1800&lt;20, "Low")</f>
        <v>Medium</v>
      </c>
      <c r="T1800" s="1" t="str" cm="1">
        <f t="array" ref="T1800">_xlfn.IFS(O1800&lt;18200, "Low", O1800&lt;=50000, "Medium", O1800&gt;50000, "High")</f>
        <v>Medium</v>
      </c>
    </row>
    <row r="1801" spans="1:20" x14ac:dyDescent="0.25">
      <c r="A1801" s="2">
        <v>2011</v>
      </c>
      <c r="B1801" s="1" t="s">
        <v>29</v>
      </c>
      <c r="C1801" s="1" t="s">
        <v>30</v>
      </c>
      <c r="D1801" s="1" t="s">
        <v>1282</v>
      </c>
      <c r="E1801" s="1" t="s">
        <v>32</v>
      </c>
      <c r="F1801" s="1" t="s">
        <v>20</v>
      </c>
      <c r="G1801" s="1" t="s">
        <v>2633</v>
      </c>
      <c r="H1801" s="1" t="s">
        <v>22</v>
      </c>
      <c r="I1801" s="1">
        <v>47</v>
      </c>
      <c r="J1801" s="1">
        <v>30014</v>
      </c>
      <c r="K1801" s="1" t="s">
        <v>23</v>
      </c>
      <c r="L1801" s="1" t="s">
        <v>28</v>
      </c>
      <c r="M1801" s="1" t="s">
        <v>35</v>
      </c>
      <c r="N1801" s="1">
        <v>20400</v>
      </c>
      <c r="O1801" s="12">
        <v>19500</v>
      </c>
      <c r="P1801" s="3" t="s">
        <v>36</v>
      </c>
      <c r="Q1801" s="1" cm="1">
        <f t="array" ref="Q1801">VALUE(INDEX(_xlfn.TEXTSPLIT(P1801, " "), 4))</f>
        <v>2015</v>
      </c>
      <c r="R1801" s="1" t="str">
        <f t="shared" si="28"/>
        <v>BMW 3 Series 328i</v>
      </c>
      <c r="S1801" s="1" t="str" cm="1">
        <f t="array" ref="S1801">_xlfn.IFS(I1801 &gt;= 40, "High", I1801&gt;=20, "Medium", I1801&lt;20, "Low")</f>
        <v>High</v>
      </c>
      <c r="T1801" s="1" t="str" cm="1">
        <f t="array" ref="T1801">_xlfn.IFS(O1801&lt;18200, "Low", O1801&lt;=50000, "Medium", O1801&gt;50000, "High")</f>
        <v>Medium</v>
      </c>
    </row>
    <row r="1802" spans="1:20" x14ac:dyDescent="0.25">
      <c r="A1802" s="2">
        <v>2011</v>
      </c>
      <c r="B1802" s="1" t="s">
        <v>29</v>
      </c>
      <c r="C1802" s="1" t="s">
        <v>30</v>
      </c>
      <c r="D1802" s="1" t="s">
        <v>1282</v>
      </c>
      <c r="E1802" s="1" t="s">
        <v>32</v>
      </c>
      <c r="F1802" s="1" t="s">
        <v>20</v>
      </c>
      <c r="G1802" s="1" t="s">
        <v>2634</v>
      </c>
      <c r="H1802" s="1" t="s">
        <v>22</v>
      </c>
      <c r="I1802" s="1">
        <v>37</v>
      </c>
      <c r="J1802" s="1">
        <v>31324</v>
      </c>
      <c r="K1802" s="1" t="s">
        <v>23</v>
      </c>
      <c r="L1802" s="1" t="s">
        <v>34</v>
      </c>
      <c r="M1802" s="1" t="s">
        <v>35</v>
      </c>
      <c r="N1802" s="1">
        <v>19850</v>
      </c>
      <c r="O1802" s="12">
        <v>20500</v>
      </c>
      <c r="P1802" s="3" t="s">
        <v>46</v>
      </c>
      <c r="Q1802" s="1" cm="1">
        <f t="array" ref="Q1802">VALUE(INDEX(_xlfn.TEXTSPLIT(P1802, " "), 4))</f>
        <v>2014</v>
      </c>
      <c r="R1802" s="1" t="str">
        <f t="shared" si="28"/>
        <v>BMW 3 Series 328i</v>
      </c>
      <c r="S1802" s="1" t="str" cm="1">
        <f t="array" ref="S1802">_xlfn.IFS(I1802 &gt;= 40, "High", I1802&gt;=20, "Medium", I1802&lt;20, "Low")</f>
        <v>Medium</v>
      </c>
      <c r="T1802" s="1" t="str" cm="1">
        <f t="array" ref="T1802">_xlfn.IFS(O1802&lt;18200, "Low", O1802&lt;=50000, "Medium", O1802&gt;50000, "High")</f>
        <v>Medium</v>
      </c>
    </row>
    <row r="1803" spans="1:20" x14ac:dyDescent="0.25">
      <c r="A1803" s="2">
        <v>2011</v>
      </c>
      <c r="B1803" s="1" t="s">
        <v>29</v>
      </c>
      <c r="C1803" s="1" t="s">
        <v>30</v>
      </c>
      <c r="D1803" s="1" t="s">
        <v>1282</v>
      </c>
      <c r="E1803" s="1" t="s">
        <v>32</v>
      </c>
      <c r="F1803" s="1" t="s">
        <v>20</v>
      </c>
      <c r="G1803" s="1" t="s">
        <v>2635</v>
      </c>
      <c r="H1803" s="1" t="s">
        <v>22</v>
      </c>
      <c r="I1803" s="1">
        <v>37</v>
      </c>
      <c r="J1803" s="1">
        <v>39447</v>
      </c>
      <c r="K1803" s="1" t="s">
        <v>23</v>
      </c>
      <c r="L1803" s="1" t="s">
        <v>82</v>
      </c>
      <c r="M1803" s="1" t="s">
        <v>35</v>
      </c>
      <c r="N1803" s="1">
        <v>18750</v>
      </c>
      <c r="O1803" s="12">
        <v>21750</v>
      </c>
      <c r="P1803" s="3" t="s">
        <v>46</v>
      </c>
      <c r="Q1803" s="1" cm="1">
        <f t="array" ref="Q1803">VALUE(INDEX(_xlfn.TEXTSPLIT(P1803, " "), 4))</f>
        <v>2014</v>
      </c>
      <c r="R1803" s="1" t="str">
        <f t="shared" si="28"/>
        <v>BMW 3 Series 328i</v>
      </c>
      <c r="S1803" s="1" t="str" cm="1">
        <f t="array" ref="S1803">_xlfn.IFS(I1803 &gt;= 40, "High", I1803&gt;=20, "Medium", I1803&lt;20, "Low")</f>
        <v>Medium</v>
      </c>
      <c r="T1803" s="1" t="str" cm="1">
        <f t="array" ref="T1803">_xlfn.IFS(O1803&lt;18200, "Low", O1803&lt;=50000, "Medium", O1803&gt;50000, "High")</f>
        <v>Medium</v>
      </c>
    </row>
    <row r="1804" spans="1:20" x14ac:dyDescent="0.25">
      <c r="A1804" s="2">
        <v>2011</v>
      </c>
      <c r="B1804" s="1" t="s">
        <v>29</v>
      </c>
      <c r="C1804" s="1" t="s">
        <v>30</v>
      </c>
      <c r="D1804" s="1" t="s">
        <v>1312</v>
      </c>
      <c r="E1804" s="1" t="s">
        <v>71</v>
      </c>
      <c r="F1804" s="1" t="s">
        <v>20</v>
      </c>
      <c r="G1804" s="1" t="s">
        <v>2636</v>
      </c>
      <c r="H1804" s="1" t="s">
        <v>22</v>
      </c>
      <c r="I1804" s="1">
        <v>29</v>
      </c>
      <c r="J1804" s="1">
        <v>28153</v>
      </c>
      <c r="K1804" s="1" t="s">
        <v>23</v>
      </c>
      <c r="L1804" s="1" t="s">
        <v>24</v>
      </c>
      <c r="M1804" s="1" t="s">
        <v>35</v>
      </c>
      <c r="N1804" s="1">
        <v>28700</v>
      </c>
      <c r="O1804" s="12">
        <v>28000</v>
      </c>
      <c r="P1804" s="3" t="s">
        <v>46</v>
      </c>
      <c r="Q1804" s="1" cm="1">
        <f t="array" ref="Q1804">VALUE(INDEX(_xlfn.TEXTSPLIT(P1804, " "), 4))</f>
        <v>2014</v>
      </c>
      <c r="R1804" s="1" t="str">
        <f t="shared" si="28"/>
        <v>BMW 3 Series 335i</v>
      </c>
      <c r="S1804" s="1" t="str" cm="1">
        <f t="array" ref="S1804">_xlfn.IFS(I1804 &gt;= 40, "High", I1804&gt;=20, "Medium", I1804&lt;20, "Low")</f>
        <v>Medium</v>
      </c>
      <c r="T1804" s="1" t="str" cm="1">
        <f t="array" ref="T1804">_xlfn.IFS(O1804&lt;18200, "Low", O1804&lt;=50000, "Medium", O1804&gt;50000, "High")</f>
        <v>Medium</v>
      </c>
    </row>
    <row r="1805" spans="1:20" x14ac:dyDescent="0.25">
      <c r="A1805" s="2">
        <v>2011</v>
      </c>
      <c r="B1805" s="1" t="s">
        <v>29</v>
      </c>
      <c r="C1805" s="1" t="s">
        <v>30</v>
      </c>
      <c r="D1805" s="1" t="s">
        <v>1312</v>
      </c>
      <c r="E1805" s="1" t="s">
        <v>32</v>
      </c>
      <c r="F1805" s="1" t="s">
        <v>20</v>
      </c>
      <c r="G1805" s="1" t="s">
        <v>2637</v>
      </c>
      <c r="H1805" s="1" t="s">
        <v>22</v>
      </c>
      <c r="I1805" s="1">
        <v>44</v>
      </c>
      <c r="J1805" s="1">
        <v>75058</v>
      </c>
      <c r="K1805" s="1" t="s">
        <v>24</v>
      </c>
      <c r="L1805" s="1" t="s">
        <v>24</v>
      </c>
      <c r="M1805" s="1" t="s">
        <v>2124</v>
      </c>
      <c r="N1805" s="1">
        <v>18950</v>
      </c>
      <c r="O1805" s="12">
        <v>20650</v>
      </c>
      <c r="P1805" s="3" t="s">
        <v>57</v>
      </c>
      <c r="Q1805" s="1" cm="1">
        <f t="array" ref="Q1805">VALUE(INDEX(_xlfn.TEXTSPLIT(P1805, " "), 4))</f>
        <v>2014</v>
      </c>
      <c r="R1805" s="1" t="str">
        <f t="shared" si="28"/>
        <v>BMW 3 Series 335i</v>
      </c>
      <c r="S1805" s="1" t="str" cm="1">
        <f t="array" ref="S1805">_xlfn.IFS(I1805 &gt;= 40, "High", I1805&gt;=20, "Medium", I1805&lt;20, "Low")</f>
        <v>High</v>
      </c>
      <c r="T1805" s="1" t="str" cm="1">
        <f t="array" ref="T1805">_xlfn.IFS(O1805&lt;18200, "Low", O1805&lt;=50000, "Medium", O1805&gt;50000, "High")</f>
        <v>Medium</v>
      </c>
    </row>
    <row r="1806" spans="1:20" x14ac:dyDescent="0.25">
      <c r="A1806" s="2">
        <v>2011</v>
      </c>
      <c r="B1806" s="1" t="s">
        <v>29</v>
      </c>
      <c r="C1806" s="1" t="s">
        <v>30</v>
      </c>
      <c r="D1806" s="1" t="s">
        <v>1282</v>
      </c>
      <c r="E1806" s="1" t="s">
        <v>107</v>
      </c>
      <c r="F1806" s="1" t="s">
        <v>20</v>
      </c>
      <c r="G1806" s="1" t="s">
        <v>2638</v>
      </c>
      <c r="H1806" s="1" t="s">
        <v>22</v>
      </c>
      <c r="I1806" s="1">
        <v>38</v>
      </c>
      <c r="J1806" s="1">
        <v>21150</v>
      </c>
      <c r="K1806" s="1" t="s">
        <v>23</v>
      </c>
      <c r="L1806" s="1" t="s">
        <v>34</v>
      </c>
      <c r="M1806" s="1" t="s">
        <v>35</v>
      </c>
      <c r="N1806" s="1">
        <v>21600</v>
      </c>
      <c r="O1806" s="12">
        <v>22250</v>
      </c>
      <c r="P1806" s="3" t="s">
        <v>46</v>
      </c>
      <c r="Q1806" s="1" cm="1">
        <f t="array" ref="Q1806">VALUE(INDEX(_xlfn.TEXTSPLIT(P1806, " "), 4))</f>
        <v>2014</v>
      </c>
      <c r="R1806" s="1" t="str">
        <f t="shared" si="28"/>
        <v>BMW 3 Series 328i</v>
      </c>
      <c r="S1806" s="1" t="str" cm="1">
        <f t="array" ref="S1806">_xlfn.IFS(I1806 &gt;= 40, "High", I1806&gt;=20, "Medium", I1806&lt;20, "Low")</f>
        <v>Medium</v>
      </c>
      <c r="T1806" s="1" t="str" cm="1">
        <f t="array" ref="T1806">_xlfn.IFS(O1806&lt;18200, "Low", O1806&lt;=50000, "Medium", O1806&gt;50000, "High")</f>
        <v>Medium</v>
      </c>
    </row>
    <row r="1807" spans="1:20" x14ac:dyDescent="0.25">
      <c r="A1807" s="2">
        <v>2011</v>
      </c>
      <c r="B1807" s="1" t="s">
        <v>29</v>
      </c>
      <c r="C1807" s="1" t="s">
        <v>30</v>
      </c>
      <c r="D1807" s="1" t="s">
        <v>1312</v>
      </c>
      <c r="E1807" s="1" t="s">
        <v>71</v>
      </c>
      <c r="F1807" s="1"/>
      <c r="G1807" s="1" t="s">
        <v>2639</v>
      </c>
      <c r="H1807" s="1" t="s">
        <v>22</v>
      </c>
      <c r="I1807" s="1">
        <v>37</v>
      </c>
      <c r="J1807" s="1">
        <v>26878</v>
      </c>
      <c r="K1807" s="1" t="s">
        <v>34</v>
      </c>
      <c r="L1807" s="1" t="s">
        <v>101</v>
      </c>
      <c r="M1807" s="1" t="s">
        <v>35</v>
      </c>
      <c r="N1807" s="1">
        <v>28100</v>
      </c>
      <c r="O1807" s="12">
        <v>26000</v>
      </c>
      <c r="P1807" s="3" t="s">
        <v>36</v>
      </c>
      <c r="Q1807" s="1" cm="1">
        <f t="array" ref="Q1807">VALUE(INDEX(_xlfn.TEXTSPLIT(P1807, " "), 4))</f>
        <v>2015</v>
      </c>
      <c r="R1807" s="1" t="str">
        <f t="shared" si="28"/>
        <v>BMW 3 Series 335i</v>
      </c>
      <c r="S1807" s="1" t="str" cm="1">
        <f t="array" ref="S1807">_xlfn.IFS(I1807 &gt;= 40, "High", I1807&gt;=20, "Medium", I1807&lt;20, "Low")</f>
        <v>Medium</v>
      </c>
      <c r="T1807" s="1" t="str" cm="1">
        <f t="array" ref="T1807">_xlfn.IFS(O1807&lt;18200, "Low", O1807&lt;=50000, "Medium", O1807&gt;50000, "High")</f>
        <v>Medium</v>
      </c>
    </row>
    <row r="1808" spans="1:20" x14ac:dyDescent="0.25">
      <c r="A1808" s="2">
        <v>2011</v>
      </c>
      <c r="B1808" s="1" t="s">
        <v>29</v>
      </c>
      <c r="C1808" s="1" t="s">
        <v>30</v>
      </c>
      <c r="D1808" s="1" t="s">
        <v>1282</v>
      </c>
      <c r="E1808" s="1" t="s">
        <v>71</v>
      </c>
      <c r="F1808" s="1" t="s">
        <v>20</v>
      </c>
      <c r="G1808" s="1" t="s">
        <v>2640</v>
      </c>
      <c r="H1808" s="1" t="s">
        <v>22</v>
      </c>
      <c r="I1808" s="1">
        <v>34</v>
      </c>
      <c r="J1808" s="1">
        <v>28610</v>
      </c>
      <c r="K1808" s="1" t="s">
        <v>24</v>
      </c>
      <c r="L1808" s="1" t="s">
        <v>24</v>
      </c>
      <c r="M1808" s="1" t="s">
        <v>35</v>
      </c>
      <c r="N1808" s="1">
        <v>26200</v>
      </c>
      <c r="O1808" s="12">
        <v>25000</v>
      </c>
      <c r="P1808" s="3" t="s">
        <v>46</v>
      </c>
      <c r="Q1808" s="1" cm="1">
        <f t="array" ref="Q1808">VALUE(INDEX(_xlfn.TEXTSPLIT(P1808, " "), 4))</f>
        <v>2014</v>
      </c>
      <c r="R1808" s="1" t="str">
        <f t="shared" si="28"/>
        <v>BMW 3 Series 328i</v>
      </c>
      <c r="S1808" s="1" t="str" cm="1">
        <f t="array" ref="S1808">_xlfn.IFS(I1808 &gt;= 40, "High", I1808&gt;=20, "Medium", I1808&lt;20, "Low")</f>
        <v>Medium</v>
      </c>
      <c r="T1808" s="1" t="str" cm="1">
        <f t="array" ref="T1808">_xlfn.IFS(O1808&lt;18200, "Low", O1808&lt;=50000, "Medium", O1808&gt;50000, "High")</f>
        <v>Medium</v>
      </c>
    </row>
    <row r="1809" spans="1:20" x14ac:dyDescent="0.25">
      <c r="A1809" s="2">
        <v>2011</v>
      </c>
      <c r="B1809" s="1" t="s">
        <v>29</v>
      </c>
      <c r="C1809" s="1" t="s">
        <v>1276</v>
      </c>
      <c r="D1809" s="1" t="s">
        <v>1277</v>
      </c>
      <c r="E1809" s="1" t="s">
        <v>32</v>
      </c>
      <c r="F1809" s="1" t="s">
        <v>20</v>
      </c>
      <c r="G1809" s="1" t="s">
        <v>2641</v>
      </c>
      <c r="H1809" s="1" t="s">
        <v>22</v>
      </c>
      <c r="I1809" s="1">
        <v>42</v>
      </c>
      <c r="J1809" s="1">
        <v>62079</v>
      </c>
      <c r="K1809" s="1" t="s">
        <v>24</v>
      </c>
      <c r="L1809" s="1" t="s">
        <v>24</v>
      </c>
      <c r="M1809" s="1" t="s">
        <v>147</v>
      </c>
      <c r="N1809" s="1">
        <v>28800</v>
      </c>
      <c r="O1809" s="12">
        <v>27750</v>
      </c>
      <c r="P1809" s="3" t="s">
        <v>362</v>
      </c>
      <c r="Q1809" s="1" cm="1">
        <f t="array" ref="Q1809">VALUE(INDEX(_xlfn.TEXTSPLIT(P1809, " "), 4))</f>
        <v>2014</v>
      </c>
      <c r="R1809" s="1" t="str">
        <f t="shared" si="28"/>
        <v>BMW 7 Series 740i</v>
      </c>
      <c r="S1809" s="1" t="str" cm="1">
        <f t="array" ref="S1809">_xlfn.IFS(I1809 &gt;= 40, "High", I1809&gt;=20, "Medium", I1809&lt;20, "Low")</f>
        <v>High</v>
      </c>
      <c r="T1809" s="1" t="str" cm="1">
        <f t="array" ref="T1809">_xlfn.IFS(O1809&lt;18200, "Low", O1809&lt;=50000, "Medium", O1809&gt;50000, "High")</f>
        <v>Medium</v>
      </c>
    </row>
    <row r="1810" spans="1:20" x14ac:dyDescent="0.25">
      <c r="A1810" s="2">
        <v>2011</v>
      </c>
      <c r="B1810" s="1" t="s">
        <v>29</v>
      </c>
      <c r="C1810" s="1" t="s">
        <v>1356</v>
      </c>
      <c r="D1810" s="1" t="s">
        <v>54</v>
      </c>
      <c r="E1810" s="1" t="s">
        <v>71</v>
      </c>
      <c r="F1810" s="1" t="s">
        <v>20</v>
      </c>
      <c r="G1810" s="1" t="s">
        <v>2642</v>
      </c>
      <c r="H1810" s="1" t="s">
        <v>22</v>
      </c>
      <c r="I1810" s="1">
        <v>39</v>
      </c>
      <c r="J1810" s="1">
        <v>37097</v>
      </c>
      <c r="K1810" s="1" t="s">
        <v>101</v>
      </c>
      <c r="L1810" s="1" t="s">
        <v>24</v>
      </c>
      <c r="M1810" s="1" t="s">
        <v>35</v>
      </c>
      <c r="N1810" s="1">
        <v>38700</v>
      </c>
      <c r="O1810" s="12">
        <v>38500</v>
      </c>
      <c r="P1810" s="3" t="s">
        <v>36</v>
      </c>
      <c r="Q1810" s="1" cm="1">
        <f t="array" ref="Q1810">VALUE(INDEX(_xlfn.TEXTSPLIT(P1810, " "), 4))</f>
        <v>2015</v>
      </c>
      <c r="R1810" s="1" t="str">
        <f t="shared" si="28"/>
        <v>BMW M3 Base</v>
      </c>
      <c r="S1810" s="1" t="str" cm="1">
        <f t="array" ref="S1810">_xlfn.IFS(I1810 &gt;= 40, "High", I1810&gt;=20, "Medium", I1810&lt;20, "Low")</f>
        <v>Medium</v>
      </c>
      <c r="T1810" s="1" t="str" cm="1">
        <f t="array" ref="T1810">_xlfn.IFS(O1810&lt;18200, "Low", O1810&lt;=50000, "Medium", O1810&gt;50000, "High")</f>
        <v>Medium</v>
      </c>
    </row>
    <row r="1811" spans="1:20" x14ac:dyDescent="0.25">
      <c r="A1811" s="2">
        <v>2012</v>
      </c>
      <c r="B1811" s="1" t="s">
        <v>37</v>
      </c>
      <c r="C1811" s="1" t="s">
        <v>38</v>
      </c>
      <c r="D1811" s="1" t="s">
        <v>39</v>
      </c>
      <c r="E1811" s="1" t="s">
        <v>32</v>
      </c>
      <c r="F1811" s="1" t="s">
        <v>20</v>
      </c>
      <c r="G1811" s="1" t="s">
        <v>2643</v>
      </c>
      <c r="H1811" s="1" t="s">
        <v>22</v>
      </c>
      <c r="I1811" s="1">
        <v>35</v>
      </c>
      <c r="J1811" s="1">
        <v>30389</v>
      </c>
      <c r="K1811" s="1" t="s">
        <v>73</v>
      </c>
      <c r="L1811" s="1" t="s">
        <v>82</v>
      </c>
      <c r="M1811" s="1" t="s">
        <v>1550</v>
      </c>
      <c r="N1811" s="1">
        <v>16500</v>
      </c>
      <c r="O1811" s="12">
        <v>15400</v>
      </c>
      <c r="P1811" s="3" t="s">
        <v>46</v>
      </c>
      <c r="Q1811" s="1" cm="1">
        <f t="array" ref="Q1811">VALUE(INDEX(_xlfn.TEXTSPLIT(P1811, " "), 4))</f>
        <v>2014</v>
      </c>
      <c r="R1811" s="1" t="str">
        <f t="shared" si="28"/>
        <v>Volvo S60 T5</v>
      </c>
      <c r="S1811" s="1" t="str" cm="1">
        <f t="array" ref="S1811">_xlfn.IFS(I1811 &gt;= 40, "High", I1811&gt;=20, "Medium", I1811&lt;20, "Low")</f>
        <v>Medium</v>
      </c>
      <c r="T1811" s="1" t="str" cm="1">
        <f t="array" ref="T1811">_xlfn.IFS(O1811&lt;18200, "Low", O1811&lt;=50000, "Medium", O1811&gt;50000, "High")</f>
        <v>Low</v>
      </c>
    </row>
    <row r="1812" spans="1:20" x14ac:dyDescent="0.25">
      <c r="A1812" s="2">
        <v>2011</v>
      </c>
      <c r="B1812" s="1" t="s">
        <v>29</v>
      </c>
      <c r="C1812" s="1" t="s">
        <v>30</v>
      </c>
      <c r="D1812" s="1" t="s">
        <v>1282</v>
      </c>
      <c r="E1812" s="1" t="s">
        <v>32</v>
      </c>
      <c r="F1812" s="1" t="s">
        <v>20</v>
      </c>
      <c r="G1812" s="1" t="s">
        <v>2644</v>
      </c>
      <c r="H1812" s="1" t="s">
        <v>22</v>
      </c>
      <c r="I1812" s="1">
        <v>4</v>
      </c>
      <c r="J1812" s="1">
        <v>30889</v>
      </c>
      <c r="K1812" s="1" t="s">
        <v>23</v>
      </c>
      <c r="L1812" s="1" t="s">
        <v>24</v>
      </c>
      <c r="M1812" s="1" t="s">
        <v>35</v>
      </c>
      <c r="N1812" s="1">
        <v>19900</v>
      </c>
      <c r="O1812" s="12">
        <v>21750</v>
      </c>
      <c r="P1812" s="3" t="s">
        <v>46</v>
      </c>
      <c r="Q1812" s="1" cm="1">
        <f t="array" ref="Q1812">VALUE(INDEX(_xlfn.TEXTSPLIT(P1812, " "), 4))</f>
        <v>2014</v>
      </c>
      <c r="R1812" s="1" t="str">
        <f t="shared" si="28"/>
        <v>BMW 3 Series 328i</v>
      </c>
      <c r="S1812" s="1" t="str" cm="1">
        <f t="array" ref="S1812">_xlfn.IFS(I1812 &gt;= 40, "High", I1812&gt;=20, "Medium", I1812&lt;20, "Low")</f>
        <v>Low</v>
      </c>
      <c r="T1812" s="1" t="str" cm="1">
        <f t="array" ref="T1812">_xlfn.IFS(O1812&lt;18200, "Low", O1812&lt;=50000, "Medium", O1812&gt;50000, "High")</f>
        <v>Medium</v>
      </c>
    </row>
    <row r="1813" spans="1:20" x14ac:dyDescent="0.25">
      <c r="A1813" s="2">
        <v>2011</v>
      </c>
      <c r="B1813" s="1" t="s">
        <v>29</v>
      </c>
      <c r="C1813" s="1" t="s">
        <v>30</v>
      </c>
      <c r="D1813" s="1" t="s">
        <v>1282</v>
      </c>
      <c r="E1813" s="1" t="s">
        <v>32</v>
      </c>
      <c r="F1813" s="1" t="s">
        <v>20</v>
      </c>
      <c r="G1813" s="1" t="s">
        <v>2645</v>
      </c>
      <c r="H1813" s="1" t="s">
        <v>22</v>
      </c>
      <c r="I1813" s="1">
        <v>45</v>
      </c>
      <c r="J1813" s="1">
        <v>14893</v>
      </c>
      <c r="K1813" s="1" t="s">
        <v>24</v>
      </c>
      <c r="L1813" s="1" t="s">
        <v>24</v>
      </c>
      <c r="M1813" s="1" t="s">
        <v>35</v>
      </c>
      <c r="N1813" s="1">
        <v>22100</v>
      </c>
      <c r="O1813" s="12">
        <v>23000</v>
      </c>
      <c r="P1813" s="3" t="s">
        <v>46</v>
      </c>
      <c r="Q1813" s="1" cm="1">
        <f t="array" ref="Q1813">VALUE(INDEX(_xlfn.TEXTSPLIT(P1813, " "), 4))</f>
        <v>2014</v>
      </c>
      <c r="R1813" s="1" t="str">
        <f t="shared" si="28"/>
        <v>BMW 3 Series 328i</v>
      </c>
      <c r="S1813" s="1" t="str" cm="1">
        <f t="array" ref="S1813">_xlfn.IFS(I1813 &gt;= 40, "High", I1813&gt;=20, "Medium", I1813&lt;20, "Low")</f>
        <v>High</v>
      </c>
      <c r="T1813" s="1" t="str" cm="1">
        <f t="array" ref="T1813">_xlfn.IFS(O1813&lt;18200, "Low", O1813&lt;=50000, "Medium", O1813&gt;50000, "High")</f>
        <v>Medium</v>
      </c>
    </row>
    <row r="1814" spans="1:20" x14ac:dyDescent="0.25">
      <c r="A1814" s="2">
        <v>2011</v>
      </c>
      <c r="B1814" s="1" t="s">
        <v>29</v>
      </c>
      <c r="C1814" s="1" t="s">
        <v>30</v>
      </c>
      <c r="D1814" s="1" t="s">
        <v>1312</v>
      </c>
      <c r="E1814" s="1" t="s">
        <v>32</v>
      </c>
      <c r="F1814" s="1" t="s">
        <v>20</v>
      </c>
      <c r="G1814" s="1" t="s">
        <v>2646</v>
      </c>
      <c r="H1814" s="1" t="s">
        <v>22</v>
      </c>
      <c r="I1814" s="1">
        <v>38</v>
      </c>
      <c r="J1814" s="1">
        <v>45284</v>
      </c>
      <c r="K1814" s="1" t="s">
        <v>23</v>
      </c>
      <c r="L1814" s="1" t="s">
        <v>24</v>
      </c>
      <c r="M1814" s="1" t="s">
        <v>35</v>
      </c>
      <c r="N1814" s="1">
        <v>23200</v>
      </c>
      <c r="O1814" s="12">
        <v>25750</v>
      </c>
      <c r="P1814" s="3" t="s">
        <v>46</v>
      </c>
      <c r="Q1814" s="1" cm="1">
        <f t="array" ref="Q1814">VALUE(INDEX(_xlfn.TEXTSPLIT(P1814, " "), 4))</f>
        <v>2014</v>
      </c>
      <c r="R1814" s="1" t="str">
        <f t="shared" si="28"/>
        <v>BMW 3 Series 335i</v>
      </c>
      <c r="S1814" s="1" t="str" cm="1">
        <f t="array" ref="S1814">_xlfn.IFS(I1814 &gt;= 40, "High", I1814&gt;=20, "Medium", I1814&lt;20, "Low")</f>
        <v>Medium</v>
      </c>
      <c r="T1814" s="1" t="str" cm="1">
        <f t="array" ref="T1814">_xlfn.IFS(O1814&lt;18200, "Low", O1814&lt;=50000, "Medium", O1814&gt;50000, "High")</f>
        <v>Medium</v>
      </c>
    </row>
    <row r="1815" spans="1:20" x14ac:dyDescent="0.25">
      <c r="A1815" s="2">
        <v>2011</v>
      </c>
      <c r="B1815" s="1" t="s">
        <v>29</v>
      </c>
      <c r="C1815" s="1" t="s">
        <v>30</v>
      </c>
      <c r="D1815" s="1" t="s">
        <v>1312</v>
      </c>
      <c r="E1815" s="1" t="s">
        <v>32</v>
      </c>
      <c r="F1815" s="1" t="s">
        <v>20</v>
      </c>
      <c r="G1815" s="1" t="s">
        <v>2647</v>
      </c>
      <c r="H1815" s="1" t="s">
        <v>22</v>
      </c>
      <c r="I1815" s="1">
        <v>46</v>
      </c>
      <c r="J1815" s="1">
        <v>40027</v>
      </c>
      <c r="K1815" s="1" t="s">
        <v>34</v>
      </c>
      <c r="L1815" s="1" t="s">
        <v>24</v>
      </c>
      <c r="M1815" s="1" t="s">
        <v>35</v>
      </c>
      <c r="N1815" s="1">
        <v>24200</v>
      </c>
      <c r="O1815" s="12">
        <v>24000</v>
      </c>
      <c r="P1815" s="3" t="s">
        <v>36</v>
      </c>
      <c r="Q1815" s="1" cm="1">
        <f t="array" ref="Q1815">VALUE(INDEX(_xlfn.TEXTSPLIT(P1815, " "), 4))</f>
        <v>2015</v>
      </c>
      <c r="R1815" s="1" t="str">
        <f t="shared" si="28"/>
        <v>BMW 3 Series 335i</v>
      </c>
      <c r="S1815" s="1" t="str" cm="1">
        <f t="array" ref="S1815">_xlfn.IFS(I1815 &gt;= 40, "High", I1815&gt;=20, "Medium", I1815&lt;20, "Low")</f>
        <v>High</v>
      </c>
      <c r="T1815" s="1" t="str" cm="1">
        <f t="array" ref="T1815">_xlfn.IFS(O1815&lt;18200, "Low", O1815&lt;=50000, "Medium", O1815&gt;50000, "High")</f>
        <v>Medium</v>
      </c>
    </row>
    <row r="1816" spans="1:20" x14ac:dyDescent="0.25">
      <c r="A1816" s="2">
        <v>2011</v>
      </c>
      <c r="B1816" s="1" t="s">
        <v>29</v>
      </c>
      <c r="C1816" s="1" t="s">
        <v>2577</v>
      </c>
      <c r="D1816" s="1" t="s">
        <v>1500</v>
      </c>
      <c r="E1816" s="1" t="s">
        <v>227</v>
      </c>
      <c r="F1816" s="1" t="s">
        <v>20</v>
      </c>
      <c r="G1816" s="1" t="s">
        <v>2648</v>
      </c>
      <c r="H1816" s="1" t="s">
        <v>22</v>
      </c>
      <c r="I1816" s="1"/>
      <c r="J1816" s="1">
        <v>72327</v>
      </c>
      <c r="K1816" s="1" t="s">
        <v>24</v>
      </c>
      <c r="L1816" s="1" t="s">
        <v>101</v>
      </c>
      <c r="M1816" s="1" t="s">
        <v>2649</v>
      </c>
      <c r="N1816" s="1">
        <v>25700</v>
      </c>
      <c r="O1816" s="12">
        <v>24000</v>
      </c>
      <c r="P1816" s="3" t="s">
        <v>57</v>
      </c>
      <c r="Q1816" s="1" cm="1">
        <f t="array" ref="Q1816">VALUE(INDEX(_xlfn.TEXTSPLIT(P1816, " "), 4))</f>
        <v>2014</v>
      </c>
      <c r="R1816" s="1" t="str">
        <f t="shared" si="28"/>
        <v>BMW 5 Series Gran Turismo 535i xDrive</v>
      </c>
      <c r="S1816" s="1" t="str" cm="1">
        <f t="array" ref="S1816">_xlfn.IFS(I1816 &gt;= 40, "High", I1816&gt;=20, "Medium", I1816&lt;20, "Low")</f>
        <v>Low</v>
      </c>
      <c r="T1816" s="1" t="str" cm="1">
        <f t="array" ref="T1816">_xlfn.IFS(O1816&lt;18200, "Low", O1816&lt;=50000, "Medium", O1816&gt;50000, "High")</f>
        <v>Medium</v>
      </c>
    </row>
    <row r="1817" spans="1:20" x14ac:dyDescent="0.25">
      <c r="A1817" s="2">
        <v>2012</v>
      </c>
      <c r="B1817" s="1" t="s">
        <v>927</v>
      </c>
      <c r="C1817" s="1" t="s">
        <v>1020</v>
      </c>
      <c r="D1817" s="1" t="s">
        <v>1020</v>
      </c>
      <c r="E1817" s="1" t="s">
        <v>1021</v>
      </c>
      <c r="F1817" s="1" t="s">
        <v>20</v>
      </c>
      <c r="G1817" s="1" t="s">
        <v>2650</v>
      </c>
      <c r="H1817" s="1" t="s">
        <v>22</v>
      </c>
      <c r="I1817" s="1">
        <v>29</v>
      </c>
      <c r="J1817" s="1">
        <v>91015</v>
      </c>
      <c r="K1817" s="1" t="s">
        <v>24</v>
      </c>
      <c r="L1817" s="1" t="s">
        <v>24</v>
      </c>
      <c r="M1817" s="1" t="s">
        <v>2651</v>
      </c>
      <c r="N1817" s="1">
        <v>23400</v>
      </c>
      <c r="O1817" s="12">
        <v>19750</v>
      </c>
      <c r="P1817" s="3" t="s">
        <v>143</v>
      </c>
      <c r="Q1817" s="1" cm="1">
        <f t="array" ref="Q1817">VALUE(INDEX(_xlfn.TEXTSPLIT(P1817, " "), 4))</f>
        <v>2014</v>
      </c>
      <c r="R1817" s="1" t="str">
        <f t="shared" si="28"/>
        <v>Toyota Tundra Tundra</v>
      </c>
      <c r="S1817" s="1" t="str" cm="1">
        <f t="array" ref="S1817">_xlfn.IFS(I1817 &gt;= 40, "High", I1817&gt;=20, "Medium", I1817&lt;20, "Low")</f>
        <v>Medium</v>
      </c>
      <c r="T1817" s="1" t="str" cm="1">
        <f t="array" ref="T1817">_xlfn.IFS(O1817&lt;18200, "Low", O1817&lt;=50000, "Medium", O1817&gt;50000, "High")</f>
        <v>Medium</v>
      </c>
    </row>
    <row r="1818" spans="1:20" x14ac:dyDescent="0.25">
      <c r="A1818" s="2">
        <v>2011</v>
      </c>
      <c r="B1818" s="1" t="s">
        <v>29</v>
      </c>
      <c r="C1818" s="1" t="s">
        <v>30</v>
      </c>
      <c r="D1818" s="1" t="s">
        <v>1282</v>
      </c>
      <c r="E1818" s="1" t="s">
        <v>32</v>
      </c>
      <c r="F1818" s="1" t="s">
        <v>20</v>
      </c>
      <c r="G1818" s="1" t="s">
        <v>2652</v>
      </c>
      <c r="H1818" s="1" t="s">
        <v>22</v>
      </c>
      <c r="I1818" s="1">
        <v>39</v>
      </c>
      <c r="J1818" s="1">
        <v>44401</v>
      </c>
      <c r="K1818" s="1" t="s">
        <v>24</v>
      </c>
      <c r="L1818" s="1" t="s">
        <v>34</v>
      </c>
      <c r="M1818" s="1" t="s">
        <v>35</v>
      </c>
      <c r="N1818" s="1">
        <v>18100</v>
      </c>
      <c r="O1818" s="12">
        <v>19500</v>
      </c>
      <c r="P1818" s="3" t="s">
        <v>46</v>
      </c>
      <c r="Q1818" s="1" cm="1">
        <f t="array" ref="Q1818">VALUE(INDEX(_xlfn.TEXTSPLIT(P1818, " "), 4))</f>
        <v>2014</v>
      </c>
      <c r="R1818" s="1" t="str">
        <f t="shared" si="28"/>
        <v>BMW 3 Series 328i</v>
      </c>
      <c r="S1818" s="1" t="str" cm="1">
        <f t="array" ref="S1818">_xlfn.IFS(I1818 &gt;= 40, "High", I1818&gt;=20, "Medium", I1818&lt;20, "Low")</f>
        <v>Medium</v>
      </c>
      <c r="T1818" s="1" t="str" cm="1">
        <f t="array" ref="T1818">_xlfn.IFS(O1818&lt;18200, "Low", O1818&lt;=50000, "Medium", O1818&gt;50000, "High")</f>
        <v>Medium</v>
      </c>
    </row>
    <row r="1819" spans="1:20" x14ac:dyDescent="0.25">
      <c r="A1819" s="2">
        <v>2011</v>
      </c>
      <c r="B1819" s="1" t="s">
        <v>29</v>
      </c>
      <c r="C1819" s="1" t="s">
        <v>30</v>
      </c>
      <c r="D1819" s="1" t="s">
        <v>1282</v>
      </c>
      <c r="E1819" s="1" t="s">
        <v>32</v>
      </c>
      <c r="F1819" s="1" t="s">
        <v>20</v>
      </c>
      <c r="G1819" s="1" t="s">
        <v>2653</v>
      </c>
      <c r="H1819" s="1" t="s">
        <v>22</v>
      </c>
      <c r="I1819" s="1">
        <v>49</v>
      </c>
      <c r="J1819" s="1">
        <v>10609</v>
      </c>
      <c r="K1819" s="1" t="s">
        <v>24</v>
      </c>
      <c r="L1819" s="1" t="s">
        <v>24</v>
      </c>
      <c r="M1819" s="1" t="s">
        <v>35</v>
      </c>
      <c r="N1819" s="1">
        <v>22600</v>
      </c>
      <c r="O1819" s="12">
        <v>23250</v>
      </c>
      <c r="P1819" s="3" t="s">
        <v>46</v>
      </c>
      <c r="Q1819" s="1" cm="1">
        <f t="array" ref="Q1819">VALUE(INDEX(_xlfn.TEXTSPLIT(P1819, " "), 4))</f>
        <v>2014</v>
      </c>
      <c r="R1819" s="1" t="str">
        <f t="shared" si="28"/>
        <v>BMW 3 Series 328i</v>
      </c>
      <c r="S1819" s="1" t="str" cm="1">
        <f t="array" ref="S1819">_xlfn.IFS(I1819 &gt;= 40, "High", I1819&gt;=20, "Medium", I1819&lt;20, "Low")</f>
        <v>High</v>
      </c>
      <c r="T1819" s="1" t="str" cm="1">
        <f t="array" ref="T1819">_xlfn.IFS(O1819&lt;18200, "Low", O1819&lt;=50000, "Medium", O1819&gt;50000, "High")</f>
        <v>Medium</v>
      </c>
    </row>
    <row r="1820" spans="1:20" x14ac:dyDescent="0.25">
      <c r="A1820" s="2">
        <v>2011</v>
      </c>
      <c r="B1820" s="1" t="s">
        <v>29</v>
      </c>
      <c r="C1820" s="1" t="s">
        <v>30</v>
      </c>
      <c r="D1820" s="1" t="s">
        <v>1282</v>
      </c>
      <c r="E1820" s="1" t="s">
        <v>32</v>
      </c>
      <c r="F1820" s="1" t="s">
        <v>20</v>
      </c>
      <c r="G1820" s="1" t="s">
        <v>2654</v>
      </c>
      <c r="H1820" s="1" t="s">
        <v>22</v>
      </c>
      <c r="I1820" s="1">
        <v>43</v>
      </c>
      <c r="J1820" s="1">
        <v>30669</v>
      </c>
      <c r="K1820" s="1" t="s">
        <v>23</v>
      </c>
      <c r="L1820" s="1" t="s">
        <v>24</v>
      </c>
      <c r="M1820" s="1" t="s">
        <v>35</v>
      </c>
      <c r="N1820" s="1">
        <v>19950</v>
      </c>
      <c r="O1820" s="12">
        <v>22750</v>
      </c>
      <c r="P1820" s="3" t="s">
        <v>46</v>
      </c>
      <c r="Q1820" s="1" cm="1">
        <f t="array" ref="Q1820">VALUE(INDEX(_xlfn.TEXTSPLIT(P1820, " "), 4))</f>
        <v>2014</v>
      </c>
      <c r="R1820" s="1" t="str">
        <f t="shared" si="28"/>
        <v>BMW 3 Series 328i</v>
      </c>
      <c r="S1820" s="1" t="str" cm="1">
        <f t="array" ref="S1820">_xlfn.IFS(I1820 &gt;= 40, "High", I1820&gt;=20, "Medium", I1820&lt;20, "Low")</f>
        <v>High</v>
      </c>
      <c r="T1820" s="1" t="str" cm="1">
        <f t="array" ref="T1820">_xlfn.IFS(O1820&lt;18200, "Low", O1820&lt;=50000, "Medium", O1820&gt;50000, "High")</f>
        <v>Medium</v>
      </c>
    </row>
    <row r="1821" spans="1:20" x14ac:dyDescent="0.25">
      <c r="A1821" s="2">
        <v>2011</v>
      </c>
      <c r="B1821" s="1" t="s">
        <v>29</v>
      </c>
      <c r="C1821" s="1" t="s">
        <v>30</v>
      </c>
      <c r="D1821" s="1" t="s">
        <v>1312</v>
      </c>
      <c r="E1821" s="1" t="s">
        <v>32</v>
      </c>
      <c r="F1821" s="1" t="s">
        <v>20</v>
      </c>
      <c r="G1821" s="1" t="s">
        <v>2655</v>
      </c>
      <c r="H1821" s="1" t="s">
        <v>22</v>
      </c>
      <c r="I1821" s="1">
        <v>27</v>
      </c>
      <c r="J1821" s="1">
        <v>34599</v>
      </c>
      <c r="K1821" s="1" t="s">
        <v>24</v>
      </c>
      <c r="L1821" s="1" t="s">
        <v>82</v>
      </c>
      <c r="M1821" s="1" t="s">
        <v>2227</v>
      </c>
      <c r="N1821" s="1">
        <v>25100</v>
      </c>
      <c r="O1821" s="12">
        <v>21700</v>
      </c>
      <c r="P1821" s="3" t="s">
        <v>97</v>
      </c>
      <c r="Q1821" s="1" cm="1">
        <f t="array" ref="Q1821">VALUE(INDEX(_xlfn.TEXTSPLIT(P1821, " "), 4))</f>
        <v>2014</v>
      </c>
      <c r="R1821" s="1" t="str">
        <f t="shared" si="28"/>
        <v>BMW 3 Series 335i</v>
      </c>
      <c r="S1821" s="1" t="str" cm="1">
        <f t="array" ref="S1821">_xlfn.IFS(I1821 &gt;= 40, "High", I1821&gt;=20, "Medium", I1821&lt;20, "Low")</f>
        <v>Medium</v>
      </c>
      <c r="T1821" s="1" t="str" cm="1">
        <f t="array" ref="T1821">_xlfn.IFS(O1821&lt;18200, "Low", O1821&lt;=50000, "Medium", O1821&gt;50000, "High")</f>
        <v>Medium</v>
      </c>
    </row>
    <row r="1822" spans="1:20" x14ac:dyDescent="0.25">
      <c r="A1822" s="2">
        <v>2012</v>
      </c>
      <c r="B1822" s="1" t="s">
        <v>927</v>
      </c>
      <c r="C1822" s="1" t="s">
        <v>1053</v>
      </c>
      <c r="D1822" s="1" t="s">
        <v>2572</v>
      </c>
      <c r="E1822" s="1" t="s">
        <v>227</v>
      </c>
      <c r="F1822" s="1" t="s">
        <v>20</v>
      </c>
      <c r="G1822" s="1" t="s">
        <v>2656</v>
      </c>
      <c r="H1822" s="1" t="s">
        <v>22</v>
      </c>
      <c r="I1822" s="1">
        <v>28</v>
      </c>
      <c r="J1822" s="1">
        <v>41155</v>
      </c>
      <c r="K1822" s="1" t="s">
        <v>34</v>
      </c>
      <c r="L1822" s="1" t="s">
        <v>34</v>
      </c>
      <c r="M1822" s="1" t="s">
        <v>1096</v>
      </c>
      <c r="N1822" s="1">
        <v>14800</v>
      </c>
      <c r="O1822" s="12">
        <v>14700</v>
      </c>
      <c r="P1822" s="3" t="s">
        <v>1108</v>
      </c>
      <c r="Q1822" s="1" cm="1">
        <f t="array" ref="Q1822">VALUE(INDEX(_xlfn.TEXTSPLIT(P1822, " "), 4))</f>
        <v>2014</v>
      </c>
      <c r="R1822" s="1" t="str">
        <f t="shared" si="28"/>
        <v>Toyota Prius Three</v>
      </c>
      <c r="S1822" s="1" t="str" cm="1">
        <f t="array" ref="S1822">_xlfn.IFS(I1822 &gt;= 40, "High", I1822&gt;=20, "Medium", I1822&lt;20, "Low")</f>
        <v>Medium</v>
      </c>
      <c r="T1822" s="1" t="str" cm="1">
        <f t="array" ref="T1822">_xlfn.IFS(O1822&lt;18200, "Low", O1822&lt;=50000, "Medium", O1822&gt;50000, "High")</f>
        <v>Low</v>
      </c>
    </row>
    <row r="1823" spans="1:20" x14ac:dyDescent="0.25">
      <c r="A1823" s="2">
        <v>2012</v>
      </c>
      <c r="B1823" s="1" t="s">
        <v>921</v>
      </c>
      <c r="C1823" s="1" t="s">
        <v>956</v>
      </c>
      <c r="D1823" s="1" t="s">
        <v>2657</v>
      </c>
      <c r="E1823" s="1" t="s">
        <v>32</v>
      </c>
      <c r="F1823" s="1" t="s">
        <v>20</v>
      </c>
      <c r="G1823" s="1" t="s">
        <v>2658</v>
      </c>
      <c r="H1823" s="1" t="s">
        <v>22</v>
      </c>
      <c r="I1823" s="1">
        <v>37</v>
      </c>
      <c r="J1823" s="1">
        <v>30759</v>
      </c>
      <c r="K1823" s="1" t="s">
        <v>23</v>
      </c>
      <c r="L1823" s="1" t="s">
        <v>28</v>
      </c>
      <c r="M1823" s="1" t="s">
        <v>2659</v>
      </c>
      <c r="N1823" s="1">
        <v>13650</v>
      </c>
      <c r="O1823" s="12">
        <v>14400</v>
      </c>
      <c r="P1823" s="3" t="s">
        <v>57</v>
      </c>
      <c r="Q1823" s="1" cm="1">
        <f t="array" ref="Q1823">VALUE(INDEX(_xlfn.TEXTSPLIT(P1823, " "), 4))</f>
        <v>2014</v>
      </c>
      <c r="R1823" s="1" t="str">
        <f t="shared" si="28"/>
        <v>Volkswagen CC Sport PZEV</v>
      </c>
      <c r="S1823" s="1" t="str" cm="1">
        <f t="array" ref="S1823">_xlfn.IFS(I1823 &gt;= 40, "High", I1823&gt;=20, "Medium", I1823&lt;20, "Low")</f>
        <v>Medium</v>
      </c>
      <c r="T1823" s="1" t="str" cm="1">
        <f t="array" ref="T1823">_xlfn.IFS(O1823&lt;18200, "Low", O1823&lt;=50000, "Medium", O1823&gt;50000, "High")</f>
        <v>Low</v>
      </c>
    </row>
    <row r="1824" spans="1:20" x14ac:dyDescent="0.25">
      <c r="A1824" s="2">
        <v>2011</v>
      </c>
      <c r="B1824" s="1" t="s">
        <v>29</v>
      </c>
      <c r="C1824" s="1" t="s">
        <v>117</v>
      </c>
      <c r="D1824" s="1" t="s">
        <v>1500</v>
      </c>
      <c r="E1824" s="1" t="s">
        <v>32</v>
      </c>
      <c r="F1824" s="1" t="s">
        <v>20</v>
      </c>
      <c r="G1824" s="1" t="s">
        <v>2660</v>
      </c>
      <c r="H1824" s="1" t="s">
        <v>22</v>
      </c>
      <c r="I1824" s="1">
        <v>31</v>
      </c>
      <c r="J1824" s="1">
        <v>25061</v>
      </c>
      <c r="K1824" s="1" t="s">
        <v>34</v>
      </c>
      <c r="L1824" s="1" t="s">
        <v>24</v>
      </c>
      <c r="M1824" s="1" t="s">
        <v>35</v>
      </c>
      <c r="N1824" s="1">
        <v>29700</v>
      </c>
      <c r="O1824" s="12">
        <v>29500</v>
      </c>
      <c r="P1824" s="3" t="s">
        <v>36</v>
      </c>
      <c r="Q1824" s="1" cm="1">
        <f t="array" ref="Q1824">VALUE(INDEX(_xlfn.TEXTSPLIT(P1824, " "), 4))</f>
        <v>2015</v>
      </c>
      <c r="R1824" s="1" t="str">
        <f t="shared" si="28"/>
        <v>BMW 5 Series 535i xDrive</v>
      </c>
      <c r="S1824" s="1" t="str" cm="1">
        <f t="array" ref="S1824">_xlfn.IFS(I1824 &gt;= 40, "High", I1824&gt;=20, "Medium", I1824&lt;20, "Low")</f>
        <v>Medium</v>
      </c>
      <c r="T1824" s="1" t="str" cm="1">
        <f t="array" ref="T1824">_xlfn.IFS(O1824&lt;18200, "Low", O1824&lt;=50000, "Medium", O1824&gt;50000, "High")</f>
        <v>Medium</v>
      </c>
    </row>
    <row r="1825" spans="1:20" x14ac:dyDescent="0.25">
      <c r="A1825" s="2">
        <v>2011</v>
      </c>
      <c r="B1825" s="1" t="s">
        <v>29</v>
      </c>
      <c r="C1825" s="1" t="s">
        <v>30</v>
      </c>
      <c r="D1825" s="1" t="s">
        <v>2603</v>
      </c>
      <c r="E1825" s="1" t="s">
        <v>32</v>
      </c>
      <c r="F1825" s="1" t="s">
        <v>20</v>
      </c>
      <c r="G1825" s="1" t="s">
        <v>2661</v>
      </c>
      <c r="H1825" s="1" t="s">
        <v>22</v>
      </c>
      <c r="I1825" s="1">
        <v>34</v>
      </c>
      <c r="J1825" s="1">
        <v>19170</v>
      </c>
      <c r="K1825" s="1" t="s">
        <v>34</v>
      </c>
      <c r="L1825" s="1" t="s">
        <v>24</v>
      </c>
      <c r="M1825" s="1" t="s">
        <v>35</v>
      </c>
      <c r="N1825" s="1">
        <v>21700</v>
      </c>
      <c r="O1825" s="12">
        <v>20300</v>
      </c>
      <c r="P1825" s="3" t="s">
        <v>46</v>
      </c>
      <c r="Q1825" s="1" cm="1">
        <f t="array" ref="Q1825">VALUE(INDEX(_xlfn.TEXTSPLIT(P1825, " "), 4))</f>
        <v>2014</v>
      </c>
      <c r="R1825" s="1" t="str">
        <f t="shared" si="28"/>
        <v>BMW 3 Series 328i xDrive</v>
      </c>
      <c r="S1825" s="1" t="str" cm="1">
        <f t="array" ref="S1825">_xlfn.IFS(I1825 &gt;= 40, "High", I1825&gt;=20, "Medium", I1825&lt;20, "Low")</f>
        <v>Medium</v>
      </c>
      <c r="T1825" s="1" t="str" cm="1">
        <f t="array" ref="T1825">_xlfn.IFS(O1825&lt;18200, "Low", O1825&lt;=50000, "Medium", O1825&gt;50000, "High")</f>
        <v>Medium</v>
      </c>
    </row>
    <row r="1826" spans="1:20" x14ac:dyDescent="0.25">
      <c r="A1826" s="2">
        <v>2011</v>
      </c>
      <c r="B1826" s="1" t="s">
        <v>29</v>
      </c>
      <c r="C1826" s="1" t="s">
        <v>1356</v>
      </c>
      <c r="D1826" s="1" t="s">
        <v>54</v>
      </c>
      <c r="E1826" s="1" t="s">
        <v>32</v>
      </c>
      <c r="F1826" s="1" t="s">
        <v>20</v>
      </c>
      <c r="G1826" s="1" t="s">
        <v>2662</v>
      </c>
      <c r="H1826" s="1" t="s">
        <v>22</v>
      </c>
      <c r="I1826" s="1">
        <v>4</v>
      </c>
      <c r="J1826" s="1">
        <v>26406</v>
      </c>
      <c r="K1826" s="1"/>
      <c r="L1826" s="1"/>
      <c r="M1826" s="1" t="s">
        <v>35</v>
      </c>
      <c r="N1826" s="1">
        <v>41100</v>
      </c>
      <c r="O1826" s="12">
        <v>42500</v>
      </c>
      <c r="P1826" s="3" t="s">
        <v>46</v>
      </c>
      <c r="Q1826" s="1" cm="1">
        <f t="array" ref="Q1826">VALUE(INDEX(_xlfn.TEXTSPLIT(P1826, " "), 4))</f>
        <v>2014</v>
      </c>
      <c r="R1826" s="1" t="str">
        <f t="shared" si="28"/>
        <v>BMW M3 Base</v>
      </c>
      <c r="S1826" s="1" t="str" cm="1">
        <f t="array" ref="S1826">_xlfn.IFS(I1826 &gt;= 40, "High", I1826&gt;=20, "Medium", I1826&lt;20, "Low")</f>
        <v>Low</v>
      </c>
      <c r="T1826" s="1" t="str" cm="1">
        <f t="array" ref="T1826">_xlfn.IFS(O1826&lt;18200, "Low", O1826&lt;=50000, "Medium", O1826&gt;50000, "High")</f>
        <v>Medium</v>
      </c>
    </row>
    <row r="1827" spans="1:20" x14ac:dyDescent="0.25">
      <c r="A1827" s="2">
        <v>2011</v>
      </c>
      <c r="B1827" s="1" t="s">
        <v>29</v>
      </c>
      <c r="C1827" s="1" t="s">
        <v>30</v>
      </c>
      <c r="D1827" s="1" t="s">
        <v>1282</v>
      </c>
      <c r="E1827" s="1" t="s">
        <v>32</v>
      </c>
      <c r="F1827" s="1" t="s">
        <v>20</v>
      </c>
      <c r="G1827" s="1" t="s">
        <v>2663</v>
      </c>
      <c r="H1827" s="1" t="s">
        <v>22</v>
      </c>
      <c r="I1827" s="1">
        <v>45</v>
      </c>
      <c r="J1827" s="1">
        <v>31602</v>
      </c>
      <c r="K1827" s="1" t="s">
        <v>23</v>
      </c>
      <c r="L1827" s="1" t="s">
        <v>24</v>
      </c>
      <c r="M1827" s="1" t="s">
        <v>35</v>
      </c>
      <c r="N1827" s="1">
        <v>19850</v>
      </c>
      <c r="O1827" s="12">
        <v>20500</v>
      </c>
      <c r="P1827" s="3" t="s">
        <v>46</v>
      </c>
      <c r="Q1827" s="1" cm="1">
        <f t="array" ref="Q1827">VALUE(INDEX(_xlfn.TEXTSPLIT(P1827, " "), 4))</f>
        <v>2014</v>
      </c>
      <c r="R1827" s="1" t="str">
        <f t="shared" si="28"/>
        <v>BMW 3 Series 328i</v>
      </c>
      <c r="S1827" s="1" t="str" cm="1">
        <f t="array" ref="S1827">_xlfn.IFS(I1827 &gt;= 40, "High", I1827&gt;=20, "Medium", I1827&lt;20, "Low")</f>
        <v>High</v>
      </c>
      <c r="T1827" s="1" t="str" cm="1">
        <f t="array" ref="T1827">_xlfn.IFS(O1827&lt;18200, "Low", O1827&lt;=50000, "Medium", O1827&gt;50000, "High")</f>
        <v>Medium</v>
      </c>
    </row>
    <row r="1828" spans="1:20" x14ac:dyDescent="0.25">
      <c r="A1828" s="2">
        <v>2012</v>
      </c>
      <c r="B1828" s="1" t="s">
        <v>37</v>
      </c>
      <c r="C1828" s="1" t="s">
        <v>38</v>
      </c>
      <c r="D1828" s="1" t="s">
        <v>129</v>
      </c>
      <c r="E1828" s="1" t="s">
        <v>32</v>
      </c>
      <c r="F1828" s="1" t="s">
        <v>20</v>
      </c>
      <c r="G1828" s="1" t="s">
        <v>2664</v>
      </c>
      <c r="H1828" s="1" t="s">
        <v>22</v>
      </c>
      <c r="I1828" s="1">
        <v>44</v>
      </c>
      <c r="J1828" s="1">
        <v>24019</v>
      </c>
      <c r="K1828" s="1" t="s">
        <v>91</v>
      </c>
      <c r="L1828" s="1" t="s">
        <v>132</v>
      </c>
      <c r="M1828" s="1" t="s">
        <v>1550</v>
      </c>
      <c r="N1828" s="1">
        <v>22200</v>
      </c>
      <c r="O1828" s="12">
        <v>22000</v>
      </c>
      <c r="P1828" s="3" t="s">
        <v>46</v>
      </c>
      <c r="Q1828" s="1" cm="1">
        <f t="array" ref="Q1828">VALUE(INDEX(_xlfn.TEXTSPLIT(P1828, " "), 4))</f>
        <v>2014</v>
      </c>
      <c r="R1828" s="1" t="str">
        <f t="shared" si="28"/>
        <v>Volvo S60 T6</v>
      </c>
      <c r="S1828" s="1" t="str" cm="1">
        <f t="array" ref="S1828">_xlfn.IFS(I1828 &gt;= 40, "High", I1828&gt;=20, "Medium", I1828&lt;20, "Low")</f>
        <v>High</v>
      </c>
      <c r="T1828" s="1" t="str" cm="1">
        <f t="array" ref="T1828">_xlfn.IFS(O1828&lt;18200, "Low", O1828&lt;=50000, "Medium", O1828&gt;50000, "High")</f>
        <v>Medium</v>
      </c>
    </row>
    <row r="1829" spans="1:20" x14ac:dyDescent="0.25">
      <c r="A1829" s="2">
        <v>2012</v>
      </c>
      <c r="B1829" s="1" t="s">
        <v>927</v>
      </c>
      <c r="C1829" s="1" t="s">
        <v>928</v>
      </c>
      <c r="D1829" s="1" t="s">
        <v>773</v>
      </c>
      <c r="E1829" s="1" t="s">
        <v>32</v>
      </c>
      <c r="F1829" s="1" t="s">
        <v>20</v>
      </c>
      <c r="G1829" s="1" t="s">
        <v>2665</v>
      </c>
      <c r="H1829" s="1" t="s">
        <v>22</v>
      </c>
      <c r="I1829" s="1">
        <v>19</v>
      </c>
      <c r="J1829" s="1">
        <v>42726</v>
      </c>
      <c r="K1829" s="1" t="s">
        <v>91</v>
      </c>
      <c r="L1829" s="1" t="s">
        <v>34</v>
      </c>
      <c r="M1829" s="1" t="s">
        <v>56</v>
      </c>
      <c r="N1829" s="1">
        <v>9400</v>
      </c>
      <c r="O1829" s="12">
        <v>9700</v>
      </c>
      <c r="P1829" s="3" t="s">
        <v>270</v>
      </c>
      <c r="Q1829" s="1" cm="1">
        <f t="array" ref="Q1829">VALUE(INDEX(_xlfn.TEXTSPLIT(P1829, " "), 4))</f>
        <v>2014</v>
      </c>
      <c r="R1829" s="1" t="str">
        <f t="shared" si="28"/>
        <v>Toyota Corolla L</v>
      </c>
      <c r="S1829" s="1" t="str" cm="1">
        <f t="array" ref="S1829">_xlfn.IFS(I1829 &gt;= 40, "High", I1829&gt;=20, "Medium", I1829&lt;20, "Low")</f>
        <v>Low</v>
      </c>
      <c r="T1829" s="1" t="str" cm="1">
        <f t="array" ref="T1829">_xlfn.IFS(O1829&lt;18200, "Low", O1829&lt;=50000, "Medium", O1829&gt;50000, "High")</f>
        <v>Low</v>
      </c>
    </row>
    <row r="1830" spans="1:20" x14ac:dyDescent="0.25">
      <c r="A1830" s="2">
        <v>2011</v>
      </c>
      <c r="B1830" s="1" t="s">
        <v>29</v>
      </c>
      <c r="C1830" s="1" t="s">
        <v>30</v>
      </c>
      <c r="D1830" s="1" t="s">
        <v>1282</v>
      </c>
      <c r="E1830" s="1" t="s">
        <v>32</v>
      </c>
      <c r="F1830" s="1" t="s">
        <v>20</v>
      </c>
      <c r="G1830" s="1" t="s">
        <v>2666</v>
      </c>
      <c r="H1830" s="1" t="s">
        <v>22</v>
      </c>
      <c r="I1830" s="1">
        <v>34</v>
      </c>
      <c r="J1830" s="1">
        <v>49485</v>
      </c>
      <c r="K1830" s="1" t="s">
        <v>23</v>
      </c>
      <c r="L1830" s="1" t="s">
        <v>34</v>
      </c>
      <c r="M1830" s="1" t="s">
        <v>35</v>
      </c>
      <c r="N1830" s="1">
        <v>17450</v>
      </c>
      <c r="O1830" s="12">
        <v>18500</v>
      </c>
      <c r="P1830" s="3" t="s">
        <v>46</v>
      </c>
      <c r="Q1830" s="1" cm="1">
        <f t="array" ref="Q1830">VALUE(INDEX(_xlfn.TEXTSPLIT(P1830, " "), 4))</f>
        <v>2014</v>
      </c>
      <c r="R1830" s="1" t="str">
        <f t="shared" si="28"/>
        <v>BMW 3 Series 328i</v>
      </c>
      <c r="S1830" s="1" t="str" cm="1">
        <f t="array" ref="S1830">_xlfn.IFS(I1830 &gt;= 40, "High", I1830&gt;=20, "Medium", I1830&lt;20, "Low")</f>
        <v>Medium</v>
      </c>
      <c r="T1830" s="1" t="str" cm="1">
        <f t="array" ref="T1830">_xlfn.IFS(O1830&lt;18200, "Low", O1830&lt;=50000, "Medium", O1830&gt;50000, "High")</f>
        <v>Medium</v>
      </c>
    </row>
    <row r="1831" spans="1:20" x14ac:dyDescent="0.25">
      <c r="A1831" s="2">
        <v>2011</v>
      </c>
      <c r="B1831" s="1" t="s">
        <v>29</v>
      </c>
      <c r="C1831" s="1" t="s">
        <v>117</v>
      </c>
      <c r="D1831" s="1" t="s">
        <v>118</v>
      </c>
      <c r="E1831" s="1" t="s">
        <v>32</v>
      </c>
      <c r="F1831" s="1" t="s">
        <v>20</v>
      </c>
      <c r="G1831" s="1" t="s">
        <v>2667</v>
      </c>
      <c r="H1831" s="1" t="s">
        <v>22</v>
      </c>
      <c r="I1831" s="1">
        <v>2</v>
      </c>
      <c r="J1831" s="1">
        <v>115139</v>
      </c>
      <c r="K1831" s="1" t="s">
        <v>94</v>
      </c>
      <c r="L1831" s="1" t="s">
        <v>101</v>
      </c>
      <c r="M1831" s="1" t="s">
        <v>35</v>
      </c>
      <c r="N1831" s="1">
        <v>21700</v>
      </c>
      <c r="O1831" s="12">
        <v>16200</v>
      </c>
      <c r="P1831" s="3" t="s">
        <v>26</v>
      </c>
      <c r="Q1831" s="1" cm="1">
        <f t="array" ref="Q1831">VALUE(INDEX(_xlfn.TEXTSPLIT(P1831, " "), 4))</f>
        <v>2014</v>
      </c>
      <c r="R1831" s="1" t="str">
        <f t="shared" si="28"/>
        <v>BMW 5 Series 528i</v>
      </c>
      <c r="S1831" s="1" t="str" cm="1">
        <f t="array" ref="S1831">_xlfn.IFS(I1831 &gt;= 40, "High", I1831&gt;=20, "Medium", I1831&lt;20, "Low")</f>
        <v>Low</v>
      </c>
      <c r="T1831" s="1" t="str" cm="1">
        <f t="array" ref="T1831">_xlfn.IFS(O1831&lt;18200, "Low", O1831&lt;=50000, "Medium", O1831&gt;50000, "High")</f>
        <v>Low</v>
      </c>
    </row>
    <row r="1832" spans="1:20" x14ac:dyDescent="0.25">
      <c r="A1832" s="2">
        <v>2011</v>
      </c>
      <c r="B1832" s="1" t="s">
        <v>63</v>
      </c>
      <c r="C1832" s="1" t="s">
        <v>2668</v>
      </c>
      <c r="D1832" s="1" t="s">
        <v>2669</v>
      </c>
      <c r="E1832" s="1" t="s">
        <v>19</v>
      </c>
      <c r="F1832" s="1"/>
      <c r="G1832" s="1" t="s">
        <v>2670</v>
      </c>
      <c r="H1832" s="1" t="s">
        <v>22</v>
      </c>
      <c r="I1832" s="1"/>
      <c r="J1832" s="1">
        <v>91061</v>
      </c>
      <c r="K1832" s="1" t="s">
        <v>34</v>
      </c>
      <c r="L1832" s="1" t="s">
        <v>101</v>
      </c>
      <c r="M1832" s="1" t="s">
        <v>2671</v>
      </c>
      <c r="N1832" s="1">
        <v>25500</v>
      </c>
      <c r="O1832" s="12">
        <v>25100</v>
      </c>
      <c r="P1832" s="3" t="s">
        <v>84</v>
      </c>
      <c r="Q1832" s="1" cm="1">
        <f t="array" ref="Q1832">VALUE(INDEX(_xlfn.TEXTSPLIT(P1832, " "), 4))</f>
        <v>2014</v>
      </c>
      <c r="R1832" s="1" t="str">
        <f t="shared" si="28"/>
        <v>Audi Q7 3.0T S line Prestige quattro</v>
      </c>
      <c r="S1832" s="1" t="str" cm="1">
        <f t="array" ref="S1832">_xlfn.IFS(I1832 &gt;= 40, "High", I1832&gt;=20, "Medium", I1832&lt;20, "Low")</f>
        <v>Low</v>
      </c>
      <c r="T1832" s="1" t="str" cm="1">
        <f t="array" ref="T1832">_xlfn.IFS(O1832&lt;18200, "Low", O1832&lt;=50000, "Medium", O1832&gt;50000, "High")</f>
        <v>Medium</v>
      </c>
    </row>
    <row r="1833" spans="1:20" x14ac:dyDescent="0.25">
      <c r="A1833" s="2">
        <v>2011</v>
      </c>
      <c r="B1833" s="1" t="s">
        <v>29</v>
      </c>
      <c r="C1833" s="1" t="s">
        <v>30</v>
      </c>
      <c r="D1833" s="1" t="s">
        <v>1282</v>
      </c>
      <c r="E1833" s="1" t="s">
        <v>130</v>
      </c>
      <c r="F1833" s="1" t="s">
        <v>20</v>
      </c>
      <c r="G1833" s="1" t="s">
        <v>2672</v>
      </c>
      <c r="H1833" s="1" t="s">
        <v>22</v>
      </c>
      <c r="I1833" s="1">
        <v>44</v>
      </c>
      <c r="J1833" s="1">
        <v>32741</v>
      </c>
      <c r="K1833" s="1" t="s">
        <v>23</v>
      </c>
      <c r="L1833" s="1" t="s">
        <v>28</v>
      </c>
      <c r="M1833" s="1" t="s">
        <v>35</v>
      </c>
      <c r="N1833" s="1">
        <v>22600</v>
      </c>
      <c r="O1833" s="12">
        <v>24750</v>
      </c>
      <c r="P1833" s="3" t="s">
        <v>46</v>
      </c>
      <c r="Q1833" s="1" cm="1">
        <f t="array" ref="Q1833">VALUE(INDEX(_xlfn.TEXTSPLIT(P1833, " "), 4))</f>
        <v>2014</v>
      </c>
      <c r="R1833" s="1" t="str">
        <f t="shared" si="28"/>
        <v>BMW 3 Series 328i</v>
      </c>
      <c r="S1833" s="1" t="str" cm="1">
        <f t="array" ref="S1833">_xlfn.IFS(I1833 &gt;= 40, "High", I1833&gt;=20, "Medium", I1833&lt;20, "Low")</f>
        <v>High</v>
      </c>
      <c r="T1833" s="1" t="str" cm="1">
        <f t="array" ref="T1833">_xlfn.IFS(O1833&lt;18200, "Low", O1833&lt;=50000, "Medium", O1833&gt;50000, "High")</f>
        <v>Medium</v>
      </c>
    </row>
    <row r="1834" spans="1:20" x14ac:dyDescent="0.25">
      <c r="A1834" s="2">
        <v>2011</v>
      </c>
      <c r="B1834" s="1" t="s">
        <v>29</v>
      </c>
      <c r="C1834" s="1" t="s">
        <v>30</v>
      </c>
      <c r="D1834" s="1" t="s">
        <v>1282</v>
      </c>
      <c r="E1834" s="1" t="s">
        <v>32</v>
      </c>
      <c r="F1834" s="1" t="s">
        <v>20</v>
      </c>
      <c r="G1834" s="1" t="s">
        <v>2673</v>
      </c>
      <c r="H1834" s="1" t="s">
        <v>22</v>
      </c>
      <c r="I1834" s="1">
        <v>45</v>
      </c>
      <c r="J1834" s="1">
        <v>14055</v>
      </c>
      <c r="K1834" s="1" t="s">
        <v>23</v>
      </c>
      <c r="L1834" s="1" t="s">
        <v>82</v>
      </c>
      <c r="M1834" s="1" t="s">
        <v>35</v>
      </c>
      <c r="N1834" s="1">
        <v>22300</v>
      </c>
      <c r="O1834" s="12">
        <v>21100</v>
      </c>
      <c r="P1834" s="3" t="s">
        <v>36</v>
      </c>
      <c r="Q1834" s="1" cm="1">
        <f t="array" ref="Q1834">VALUE(INDEX(_xlfn.TEXTSPLIT(P1834, " "), 4))</f>
        <v>2015</v>
      </c>
      <c r="R1834" s="1" t="str">
        <f t="shared" si="28"/>
        <v>BMW 3 Series 328i</v>
      </c>
      <c r="S1834" s="1" t="str" cm="1">
        <f t="array" ref="S1834">_xlfn.IFS(I1834 &gt;= 40, "High", I1834&gt;=20, "Medium", I1834&lt;20, "Low")</f>
        <v>High</v>
      </c>
      <c r="T1834" s="1" t="str" cm="1">
        <f t="array" ref="T1834">_xlfn.IFS(O1834&lt;18200, "Low", O1834&lt;=50000, "Medium", O1834&gt;50000, "High")</f>
        <v>Medium</v>
      </c>
    </row>
    <row r="1835" spans="1:20" x14ac:dyDescent="0.25">
      <c r="A1835" s="2">
        <v>2011</v>
      </c>
      <c r="B1835" s="1" t="s">
        <v>29</v>
      </c>
      <c r="C1835" s="1" t="s">
        <v>30</v>
      </c>
      <c r="D1835" s="1" t="s">
        <v>1282</v>
      </c>
      <c r="E1835" s="1" t="s">
        <v>32</v>
      </c>
      <c r="F1835" s="1" t="s">
        <v>20</v>
      </c>
      <c r="G1835" s="1" t="s">
        <v>2674</v>
      </c>
      <c r="H1835" s="1" t="s">
        <v>22</v>
      </c>
      <c r="I1835" s="1">
        <v>42</v>
      </c>
      <c r="J1835" s="1">
        <v>30107</v>
      </c>
      <c r="K1835" s="1" t="s">
        <v>24</v>
      </c>
      <c r="L1835" s="1" t="s">
        <v>24</v>
      </c>
      <c r="M1835" s="1" t="s">
        <v>35</v>
      </c>
      <c r="N1835" s="1">
        <v>20000</v>
      </c>
      <c r="O1835" s="12">
        <v>21750</v>
      </c>
      <c r="P1835" s="3" t="s">
        <v>46</v>
      </c>
      <c r="Q1835" s="1" cm="1">
        <f t="array" ref="Q1835">VALUE(INDEX(_xlfn.TEXTSPLIT(P1835, " "), 4))</f>
        <v>2014</v>
      </c>
      <c r="R1835" s="1" t="str">
        <f t="shared" si="28"/>
        <v>BMW 3 Series 328i</v>
      </c>
      <c r="S1835" s="1" t="str" cm="1">
        <f t="array" ref="S1835">_xlfn.IFS(I1835 &gt;= 40, "High", I1835&gt;=20, "Medium", I1835&lt;20, "Low")</f>
        <v>High</v>
      </c>
      <c r="T1835" s="1" t="str" cm="1">
        <f t="array" ref="T1835">_xlfn.IFS(O1835&lt;18200, "Low", O1835&lt;=50000, "Medium", O1835&gt;50000, "High")</f>
        <v>Medium</v>
      </c>
    </row>
    <row r="1836" spans="1:20" x14ac:dyDescent="0.25">
      <c r="A1836" s="2">
        <v>2012</v>
      </c>
      <c r="B1836" s="1" t="s">
        <v>927</v>
      </c>
      <c r="C1836" s="1" t="s">
        <v>928</v>
      </c>
      <c r="D1836" s="1" t="s">
        <v>663</v>
      </c>
      <c r="E1836" s="1" t="s">
        <v>32</v>
      </c>
      <c r="F1836" s="1" t="s">
        <v>20</v>
      </c>
      <c r="G1836" s="1" t="s">
        <v>2675</v>
      </c>
      <c r="H1836" s="1" t="s">
        <v>22</v>
      </c>
      <c r="I1836" s="1">
        <v>2</v>
      </c>
      <c r="J1836" s="1">
        <v>55703</v>
      </c>
      <c r="K1836" s="1" t="s">
        <v>101</v>
      </c>
      <c r="L1836" s="1" t="s">
        <v>34</v>
      </c>
      <c r="M1836" s="1" t="s">
        <v>56</v>
      </c>
      <c r="N1836" s="1">
        <v>9675</v>
      </c>
      <c r="O1836" s="12">
        <v>8500</v>
      </c>
      <c r="P1836" s="3" t="s">
        <v>26</v>
      </c>
      <c r="Q1836" s="1" cm="1">
        <f t="array" ref="Q1836">VALUE(INDEX(_xlfn.TEXTSPLIT(P1836, " "), 4))</f>
        <v>2014</v>
      </c>
      <c r="R1836" s="1" t="str">
        <f t="shared" si="28"/>
        <v>Toyota Corolla LE</v>
      </c>
      <c r="S1836" s="1" t="str" cm="1">
        <f t="array" ref="S1836">_xlfn.IFS(I1836 &gt;= 40, "High", I1836&gt;=20, "Medium", I1836&lt;20, "Low")</f>
        <v>Low</v>
      </c>
      <c r="T1836" s="1" t="str" cm="1">
        <f t="array" ref="T1836">_xlfn.IFS(O1836&lt;18200, "Low", O1836&lt;=50000, "Medium", O1836&gt;50000, "High")</f>
        <v>Low</v>
      </c>
    </row>
    <row r="1837" spans="1:20" x14ac:dyDescent="0.25">
      <c r="A1837" s="2">
        <v>2012</v>
      </c>
      <c r="B1837" s="1" t="s">
        <v>921</v>
      </c>
      <c r="C1837" s="1" t="s">
        <v>2621</v>
      </c>
      <c r="D1837" s="1" t="s">
        <v>2622</v>
      </c>
      <c r="E1837" s="1" t="s">
        <v>227</v>
      </c>
      <c r="F1837" s="1" t="s">
        <v>20</v>
      </c>
      <c r="G1837" s="1" t="s">
        <v>2676</v>
      </c>
      <c r="H1837" s="1" t="s">
        <v>22</v>
      </c>
      <c r="I1837" s="1">
        <v>42</v>
      </c>
      <c r="J1837" s="1">
        <v>24240</v>
      </c>
      <c r="K1837" s="1" t="s">
        <v>94</v>
      </c>
      <c r="L1837" s="1" t="s">
        <v>24</v>
      </c>
      <c r="M1837" s="1" t="s">
        <v>2677</v>
      </c>
      <c r="N1837" s="1">
        <v>16150</v>
      </c>
      <c r="O1837" s="12">
        <v>16300</v>
      </c>
      <c r="P1837" s="3" t="s">
        <v>26</v>
      </c>
      <c r="Q1837" s="1" cm="1">
        <f t="array" ref="Q1837">VALUE(INDEX(_xlfn.TEXTSPLIT(P1837, " "), 4))</f>
        <v>2014</v>
      </c>
      <c r="R1837" s="1" t="str">
        <f t="shared" si="28"/>
        <v>Volkswagen GTI PZEV</v>
      </c>
      <c r="S1837" s="1" t="str" cm="1">
        <f t="array" ref="S1837">_xlfn.IFS(I1837 &gt;= 40, "High", I1837&gt;=20, "Medium", I1837&lt;20, "Low")</f>
        <v>High</v>
      </c>
      <c r="T1837" s="1" t="str" cm="1">
        <f t="array" ref="T1837">_xlfn.IFS(O1837&lt;18200, "Low", O1837&lt;=50000, "Medium", O1837&gt;50000, "High")</f>
        <v>Low</v>
      </c>
    </row>
    <row r="1838" spans="1:20" x14ac:dyDescent="0.25">
      <c r="A1838" s="2">
        <v>2012</v>
      </c>
      <c r="B1838" s="1" t="s">
        <v>37</v>
      </c>
      <c r="C1838" s="1" t="s">
        <v>38</v>
      </c>
      <c r="D1838" s="1" t="s">
        <v>39</v>
      </c>
      <c r="E1838" s="1" t="s">
        <v>32</v>
      </c>
      <c r="F1838" s="1" t="s">
        <v>20</v>
      </c>
      <c r="G1838" s="1" t="s">
        <v>2678</v>
      </c>
      <c r="H1838" s="1" t="s">
        <v>22</v>
      </c>
      <c r="I1838" s="1">
        <v>26</v>
      </c>
      <c r="J1838" s="1">
        <v>48565</v>
      </c>
      <c r="K1838" s="1" t="s">
        <v>73</v>
      </c>
      <c r="L1838" s="1" t="s">
        <v>28</v>
      </c>
      <c r="M1838" s="1" t="s">
        <v>1550</v>
      </c>
      <c r="N1838" s="1">
        <v>14900</v>
      </c>
      <c r="O1838" s="12">
        <v>12500</v>
      </c>
      <c r="P1838" s="3" t="s">
        <v>46</v>
      </c>
      <c r="Q1838" s="1" cm="1">
        <f t="array" ref="Q1838">VALUE(INDEX(_xlfn.TEXTSPLIT(P1838, " "), 4))</f>
        <v>2014</v>
      </c>
      <c r="R1838" s="1" t="str">
        <f t="shared" si="28"/>
        <v>Volvo S60 T5</v>
      </c>
      <c r="S1838" s="1" t="str" cm="1">
        <f t="array" ref="S1838">_xlfn.IFS(I1838 &gt;= 40, "High", I1838&gt;=20, "Medium", I1838&lt;20, "Low")</f>
        <v>Medium</v>
      </c>
      <c r="T1838" s="1" t="str" cm="1">
        <f t="array" ref="T1838">_xlfn.IFS(O1838&lt;18200, "Low", O1838&lt;=50000, "Medium", O1838&gt;50000, "High")</f>
        <v>Low</v>
      </c>
    </row>
    <row r="1839" spans="1:20" x14ac:dyDescent="0.25">
      <c r="A1839" s="2">
        <v>2011</v>
      </c>
      <c r="B1839" s="1" t="s">
        <v>29</v>
      </c>
      <c r="C1839" s="1" t="s">
        <v>30</v>
      </c>
      <c r="D1839" s="1" t="s">
        <v>1282</v>
      </c>
      <c r="E1839" s="1" t="s">
        <v>32</v>
      </c>
      <c r="F1839" s="1" t="s">
        <v>20</v>
      </c>
      <c r="G1839" s="1" t="s">
        <v>2679</v>
      </c>
      <c r="H1839" s="1" t="s">
        <v>22</v>
      </c>
      <c r="I1839" s="1">
        <v>37</v>
      </c>
      <c r="J1839" s="1">
        <v>23281</v>
      </c>
      <c r="K1839" s="1" t="s">
        <v>24</v>
      </c>
      <c r="L1839" s="1" t="s">
        <v>34</v>
      </c>
      <c r="M1839" s="1" t="s">
        <v>35</v>
      </c>
      <c r="N1839" s="1">
        <v>20900</v>
      </c>
      <c r="O1839" s="12">
        <v>21000</v>
      </c>
      <c r="P1839" s="3" t="s">
        <v>46</v>
      </c>
      <c r="Q1839" s="1" cm="1">
        <f t="array" ref="Q1839">VALUE(INDEX(_xlfn.TEXTSPLIT(P1839, " "), 4))</f>
        <v>2014</v>
      </c>
      <c r="R1839" s="1" t="str">
        <f t="shared" si="28"/>
        <v>BMW 3 Series 328i</v>
      </c>
      <c r="S1839" s="1" t="str" cm="1">
        <f t="array" ref="S1839">_xlfn.IFS(I1839 &gt;= 40, "High", I1839&gt;=20, "Medium", I1839&lt;20, "Low")</f>
        <v>Medium</v>
      </c>
      <c r="T1839" s="1" t="str" cm="1">
        <f t="array" ref="T1839">_xlfn.IFS(O1839&lt;18200, "Low", O1839&lt;=50000, "Medium", O1839&gt;50000, "High")</f>
        <v>Medium</v>
      </c>
    </row>
    <row r="1840" spans="1:20" x14ac:dyDescent="0.25">
      <c r="A1840" s="2">
        <v>2011</v>
      </c>
      <c r="B1840" s="1" t="s">
        <v>29</v>
      </c>
      <c r="C1840" s="1" t="s">
        <v>30</v>
      </c>
      <c r="D1840" s="1" t="s">
        <v>1282</v>
      </c>
      <c r="E1840" s="1" t="s">
        <v>71</v>
      </c>
      <c r="F1840" s="1" t="s">
        <v>20</v>
      </c>
      <c r="G1840" s="1" t="s">
        <v>2680</v>
      </c>
      <c r="H1840" s="1" t="s">
        <v>22</v>
      </c>
      <c r="I1840" s="1">
        <v>24</v>
      </c>
      <c r="J1840" s="1">
        <v>31572</v>
      </c>
      <c r="K1840" s="1" t="s">
        <v>23</v>
      </c>
      <c r="L1840" s="1" t="s">
        <v>101</v>
      </c>
      <c r="M1840" s="1" t="s">
        <v>35</v>
      </c>
      <c r="N1840" s="1">
        <v>25800</v>
      </c>
      <c r="O1840" s="12">
        <v>23500</v>
      </c>
      <c r="P1840" s="3" t="s">
        <v>26</v>
      </c>
      <c r="Q1840" s="1" cm="1">
        <f t="array" ref="Q1840">VALUE(INDEX(_xlfn.TEXTSPLIT(P1840, " "), 4))</f>
        <v>2014</v>
      </c>
      <c r="R1840" s="1" t="str">
        <f t="shared" si="28"/>
        <v>BMW 3 Series 328i</v>
      </c>
      <c r="S1840" s="1" t="str" cm="1">
        <f t="array" ref="S1840">_xlfn.IFS(I1840 &gt;= 40, "High", I1840&gt;=20, "Medium", I1840&lt;20, "Low")</f>
        <v>Medium</v>
      </c>
      <c r="T1840" s="1" t="str" cm="1">
        <f t="array" ref="T1840">_xlfn.IFS(O1840&lt;18200, "Low", O1840&lt;=50000, "Medium", O1840&gt;50000, "High")</f>
        <v>Medium</v>
      </c>
    </row>
    <row r="1841" spans="1:20" x14ac:dyDescent="0.25">
      <c r="A1841" s="2">
        <v>2011</v>
      </c>
      <c r="B1841" s="1" t="s">
        <v>29</v>
      </c>
      <c r="C1841" s="1" t="s">
        <v>30</v>
      </c>
      <c r="D1841" s="1" t="s">
        <v>1282</v>
      </c>
      <c r="E1841" s="1" t="s">
        <v>32</v>
      </c>
      <c r="F1841" s="1" t="s">
        <v>20</v>
      </c>
      <c r="G1841" s="1" t="s">
        <v>2681</v>
      </c>
      <c r="H1841" s="1" t="s">
        <v>22</v>
      </c>
      <c r="I1841" s="1">
        <v>39</v>
      </c>
      <c r="J1841" s="1">
        <v>17258</v>
      </c>
      <c r="K1841" s="1" t="s">
        <v>24</v>
      </c>
      <c r="L1841" s="1" t="s">
        <v>24</v>
      </c>
      <c r="M1841" s="1" t="s">
        <v>35</v>
      </c>
      <c r="N1841" s="1">
        <v>21900</v>
      </c>
      <c r="O1841" s="12">
        <v>22750</v>
      </c>
      <c r="P1841" s="3" t="s">
        <v>36</v>
      </c>
      <c r="Q1841" s="1" cm="1">
        <f t="array" ref="Q1841">VALUE(INDEX(_xlfn.TEXTSPLIT(P1841, " "), 4))</f>
        <v>2015</v>
      </c>
      <c r="R1841" s="1" t="str">
        <f t="shared" si="28"/>
        <v>BMW 3 Series 328i</v>
      </c>
      <c r="S1841" s="1" t="str" cm="1">
        <f t="array" ref="S1841">_xlfn.IFS(I1841 &gt;= 40, "High", I1841&gt;=20, "Medium", I1841&lt;20, "Low")</f>
        <v>Medium</v>
      </c>
      <c r="T1841" s="1" t="str" cm="1">
        <f t="array" ref="T1841">_xlfn.IFS(O1841&lt;18200, "Low", O1841&lt;=50000, "Medium", O1841&gt;50000, "High")</f>
        <v>Medium</v>
      </c>
    </row>
    <row r="1842" spans="1:20" x14ac:dyDescent="0.25">
      <c r="A1842" s="2">
        <v>2011</v>
      </c>
      <c r="B1842" s="1" t="s">
        <v>29</v>
      </c>
      <c r="C1842" s="1" t="s">
        <v>117</v>
      </c>
      <c r="D1842" s="1" t="s">
        <v>118</v>
      </c>
      <c r="E1842" s="1" t="s">
        <v>32</v>
      </c>
      <c r="F1842" s="1" t="s">
        <v>20</v>
      </c>
      <c r="G1842" s="1" t="s">
        <v>2682</v>
      </c>
      <c r="H1842" s="1" t="s">
        <v>22</v>
      </c>
      <c r="I1842" s="1">
        <v>39</v>
      </c>
      <c r="J1842" s="1">
        <v>17456</v>
      </c>
      <c r="K1842" s="1" t="s">
        <v>34</v>
      </c>
      <c r="L1842" s="1" t="s">
        <v>24</v>
      </c>
      <c r="M1842" s="1" t="s">
        <v>35</v>
      </c>
      <c r="N1842" s="1">
        <v>28500</v>
      </c>
      <c r="O1842" s="12">
        <v>28500</v>
      </c>
      <c r="P1842" s="3" t="s">
        <v>46</v>
      </c>
      <c r="Q1842" s="1" cm="1">
        <f t="array" ref="Q1842">VALUE(INDEX(_xlfn.TEXTSPLIT(P1842, " "), 4))</f>
        <v>2014</v>
      </c>
      <c r="R1842" s="1" t="str">
        <f t="shared" si="28"/>
        <v>BMW 5 Series 528i</v>
      </c>
      <c r="S1842" s="1" t="str" cm="1">
        <f t="array" ref="S1842">_xlfn.IFS(I1842 &gt;= 40, "High", I1842&gt;=20, "Medium", I1842&lt;20, "Low")</f>
        <v>Medium</v>
      </c>
      <c r="T1842" s="1" t="str" cm="1">
        <f t="array" ref="T1842">_xlfn.IFS(O1842&lt;18200, "Low", O1842&lt;=50000, "Medium", O1842&gt;50000, "High")</f>
        <v>Medium</v>
      </c>
    </row>
    <row r="1843" spans="1:20" x14ac:dyDescent="0.25">
      <c r="A1843" s="2">
        <v>2011</v>
      </c>
      <c r="B1843" s="1" t="s">
        <v>29</v>
      </c>
      <c r="C1843" s="1" t="s">
        <v>30</v>
      </c>
      <c r="D1843" s="1" t="s">
        <v>2603</v>
      </c>
      <c r="E1843" s="1" t="s">
        <v>32</v>
      </c>
      <c r="F1843" s="1" t="s">
        <v>20</v>
      </c>
      <c r="G1843" s="1" t="s">
        <v>2683</v>
      </c>
      <c r="H1843" s="1" t="s">
        <v>22</v>
      </c>
      <c r="I1843" s="1">
        <v>35</v>
      </c>
      <c r="J1843" s="1">
        <v>27588</v>
      </c>
      <c r="K1843" s="1" t="s">
        <v>24</v>
      </c>
      <c r="L1843" s="1" t="s">
        <v>82</v>
      </c>
      <c r="M1843" s="1" t="s">
        <v>35</v>
      </c>
      <c r="N1843" s="1">
        <v>20800</v>
      </c>
      <c r="O1843" s="12">
        <v>20500</v>
      </c>
      <c r="P1843" s="3" t="s">
        <v>46</v>
      </c>
      <c r="Q1843" s="1" cm="1">
        <f t="array" ref="Q1843">VALUE(INDEX(_xlfn.TEXTSPLIT(P1843, " "), 4))</f>
        <v>2014</v>
      </c>
      <c r="R1843" s="1" t="str">
        <f t="shared" si="28"/>
        <v>BMW 3 Series 328i xDrive</v>
      </c>
      <c r="S1843" s="1" t="str" cm="1">
        <f t="array" ref="S1843">_xlfn.IFS(I1843 &gt;= 40, "High", I1843&gt;=20, "Medium", I1843&lt;20, "Low")</f>
        <v>Medium</v>
      </c>
      <c r="T1843" s="1" t="str" cm="1">
        <f t="array" ref="T1843">_xlfn.IFS(O1843&lt;18200, "Low", O1843&lt;=50000, "Medium", O1843&gt;50000, "High")</f>
        <v>Medium</v>
      </c>
    </row>
    <row r="1844" spans="1:20" x14ac:dyDescent="0.25">
      <c r="A1844" s="2">
        <v>2011</v>
      </c>
      <c r="B1844" s="1" t="s">
        <v>184</v>
      </c>
      <c r="C1844" s="1" t="s">
        <v>275</v>
      </c>
      <c r="D1844" s="1" t="s">
        <v>54</v>
      </c>
      <c r="E1844" s="1" t="s">
        <v>19</v>
      </c>
      <c r="F1844" s="1" t="s">
        <v>20</v>
      </c>
      <c r="G1844" s="1" t="s">
        <v>2684</v>
      </c>
      <c r="H1844" s="1" t="s">
        <v>22</v>
      </c>
      <c r="I1844" s="1">
        <v>28</v>
      </c>
      <c r="J1844" s="1">
        <v>39739</v>
      </c>
      <c r="K1844" s="1" t="s">
        <v>24</v>
      </c>
      <c r="L1844" s="1" t="s">
        <v>24</v>
      </c>
      <c r="M1844" s="1" t="s">
        <v>1266</v>
      </c>
      <c r="N1844" s="1">
        <v>24600</v>
      </c>
      <c r="O1844" s="12">
        <v>25250</v>
      </c>
      <c r="P1844" s="3" t="s">
        <v>68</v>
      </c>
      <c r="Q1844" s="1" cm="1">
        <f t="array" ref="Q1844">VALUE(INDEX(_xlfn.TEXTSPLIT(P1844, " "), 4))</f>
        <v>2014</v>
      </c>
      <c r="R1844" s="1" t="str">
        <f t="shared" si="28"/>
        <v>Acura MDX Base</v>
      </c>
      <c r="S1844" s="1" t="str" cm="1">
        <f t="array" ref="S1844">_xlfn.IFS(I1844 &gt;= 40, "High", I1844&gt;=20, "Medium", I1844&lt;20, "Low")</f>
        <v>Medium</v>
      </c>
      <c r="T1844" s="1" t="str" cm="1">
        <f t="array" ref="T1844">_xlfn.IFS(O1844&lt;18200, "Low", O1844&lt;=50000, "Medium", O1844&gt;50000, "High")</f>
        <v>Medium</v>
      </c>
    </row>
    <row r="1845" spans="1:20" x14ac:dyDescent="0.25">
      <c r="A1845" s="2">
        <v>2011</v>
      </c>
      <c r="B1845" s="1" t="s">
        <v>29</v>
      </c>
      <c r="C1845" s="1" t="s">
        <v>30</v>
      </c>
      <c r="D1845" s="1" t="s">
        <v>1282</v>
      </c>
      <c r="E1845" s="1" t="s">
        <v>107</v>
      </c>
      <c r="F1845" s="1" t="s">
        <v>20</v>
      </c>
      <c r="G1845" s="1" t="s">
        <v>2685</v>
      </c>
      <c r="H1845" s="1" t="s">
        <v>22</v>
      </c>
      <c r="I1845" s="1">
        <v>4</v>
      </c>
      <c r="J1845" s="1">
        <v>62300</v>
      </c>
      <c r="K1845" s="1" t="s">
        <v>24</v>
      </c>
      <c r="L1845" s="1" t="s">
        <v>132</v>
      </c>
      <c r="M1845" s="1" t="s">
        <v>2112</v>
      </c>
      <c r="N1845" s="1">
        <v>17850</v>
      </c>
      <c r="O1845" s="12">
        <v>16800</v>
      </c>
      <c r="P1845" s="3" t="s">
        <v>2686</v>
      </c>
      <c r="Q1845" s="1" cm="1">
        <f t="array" ref="Q1845">VALUE(INDEX(_xlfn.TEXTSPLIT(P1845, " "), 4))</f>
        <v>2015</v>
      </c>
      <c r="R1845" s="1" t="str">
        <f t="shared" si="28"/>
        <v>BMW 3 Series 328i</v>
      </c>
      <c r="S1845" s="1" t="str" cm="1">
        <f t="array" ref="S1845">_xlfn.IFS(I1845 &gt;= 40, "High", I1845&gt;=20, "Medium", I1845&lt;20, "Low")</f>
        <v>Low</v>
      </c>
      <c r="T1845" s="1" t="str" cm="1">
        <f t="array" ref="T1845">_xlfn.IFS(O1845&lt;18200, "Low", O1845&lt;=50000, "Medium", O1845&gt;50000, "High")</f>
        <v>Low</v>
      </c>
    </row>
    <row r="1846" spans="1:20" x14ac:dyDescent="0.25">
      <c r="A1846" s="2">
        <v>2012</v>
      </c>
      <c r="B1846" s="1" t="s">
        <v>927</v>
      </c>
      <c r="C1846" s="1" t="s">
        <v>928</v>
      </c>
      <c r="D1846" s="1" t="s">
        <v>663</v>
      </c>
      <c r="E1846" s="1" t="s">
        <v>32</v>
      </c>
      <c r="F1846" s="1" t="s">
        <v>20</v>
      </c>
      <c r="G1846" s="1" t="s">
        <v>2687</v>
      </c>
      <c r="H1846" s="1" t="s">
        <v>22</v>
      </c>
      <c r="I1846" s="1">
        <v>44</v>
      </c>
      <c r="J1846" s="1">
        <v>55665</v>
      </c>
      <c r="K1846" s="1" t="s">
        <v>91</v>
      </c>
      <c r="L1846" s="1" t="s">
        <v>34</v>
      </c>
      <c r="M1846" s="1" t="s">
        <v>2487</v>
      </c>
      <c r="N1846" s="1">
        <v>9675</v>
      </c>
      <c r="O1846" s="12">
        <v>10500</v>
      </c>
      <c r="P1846" s="3" t="s">
        <v>26</v>
      </c>
      <c r="Q1846" s="1" cm="1">
        <f t="array" ref="Q1846">VALUE(INDEX(_xlfn.TEXTSPLIT(P1846, " "), 4))</f>
        <v>2014</v>
      </c>
      <c r="R1846" s="1" t="str">
        <f t="shared" si="28"/>
        <v>Toyota Corolla LE</v>
      </c>
      <c r="S1846" s="1" t="str" cm="1">
        <f t="array" ref="S1846">_xlfn.IFS(I1846 &gt;= 40, "High", I1846&gt;=20, "Medium", I1846&lt;20, "Low")</f>
        <v>High</v>
      </c>
      <c r="T1846" s="1" t="str" cm="1">
        <f t="array" ref="T1846">_xlfn.IFS(O1846&lt;18200, "Low", O1846&lt;=50000, "Medium", O1846&gt;50000, "High")</f>
        <v>Low</v>
      </c>
    </row>
    <row r="1847" spans="1:20" x14ac:dyDescent="0.25">
      <c r="A1847" s="2">
        <v>2012</v>
      </c>
      <c r="B1847" s="1" t="s">
        <v>37</v>
      </c>
      <c r="C1847" s="1" t="s">
        <v>38</v>
      </c>
      <c r="D1847" s="1" t="s">
        <v>39</v>
      </c>
      <c r="E1847" s="1" t="s">
        <v>32</v>
      </c>
      <c r="F1847" s="1" t="s">
        <v>20</v>
      </c>
      <c r="G1847" s="1" t="s">
        <v>2688</v>
      </c>
      <c r="H1847" s="1" t="s">
        <v>22</v>
      </c>
      <c r="I1847" s="1">
        <v>37</v>
      </c>
      <c r="J1847" s="1">
        <v>19529</v>
      </c>
      <c r="K1847" s="1" t="s">
        <v>34</v>
      </c>
      <c r="L1847" s="1" t="s">
        <v>34</v>
      </c>
      <c r="M1847" s="1" t="s">
        <v>1550</v>
      </c>
      <c r="N1847" s="1">
        <v>17450</v>
      </c>
      <c r="O1847" s="12">
        <v>16000</v>
      </c>
      <c r="P1847" s="3" t="s">
        <v>46</v>
      </c>
      <c r="Q1847" s="1" cm="1">
        <f t="array" ref="Q1847">VALUE(INDEX(_xlfn.TEXTSPLIT(P1847, " "), 4))</f>
        <v>2014</v>
      </c>
      <c r="R1847" s="1" t="str">
        <f t="shared" si="28"/>
        <v>Volvo S60 T5</v>
      </c>
      <c r="S1847" s="1" t="str" cm="1">
        <f t="array" ref="S1847">_xlfn.IFS(I1847 &gt;= 40, "High", I1847&gt;=20, "Medium", I1847&lt;20, "Low")</f>
        <v>Medium</v>
      </c>
      <c r="T1847" s="1" t="str" cm="1">
        <f t="array" ref="T1847">_xlfn.IFS(O1847&lt;18200, "Low", O1847&lt;=50000, "Medium", O1847&gt;50000, "High")</f>
        <v>Low</v>
      </c>
    </row>
    <row r="1848" spans="1:20" x14ac:dyDescent="0.25">
      <c r="A1848" s="2">
        <v>2011</v>
      </c>
      <c r="B1848" s="1" t="s">
        <v>29</v>
      </c>
      <c r="C1848" s="1" t="s">
        <v>117</v>
      </c>
      <c r="D1848" s="1" t="s">
        <v>1500</v>
      </c>
      <c r="E1848" s="1" t="s">
        <v>32</v>
      </c>
      <c r="F1848" s="1" t="s">
        <v>20</v>
      </c>
      <c r="G1848" s="1" t="s">
        <v>2689</v>
      </c>
      <c r="H1848" s="1" t="s">
        <v>22</v>
      </c>
      <c r="I1848" s="1">
        <v>28</v>
      </c>
      <c r="J1848" s="1">
        <v>38678</v>
      </c>
      <c r="K1848" s="1" t="s">
        <v>23</v>
      </c>
      <c r="L1848" s="1" t="s">
        <v>132</v>
      </c>
      <c r="M1848" s="1" t="s">
        <v>2690</v>
      </c>
      <c r="N1848" s="1">
        <v>29300</v>
      </c>
      <c r="O1848" s="12">
        <v>28000</v>
      </c>
      <c r="P1848" s="3" t="s">
        <v>46</v>
      </c>
      <c r="Q1848" s="1" cm="1">
        <f t="array" ref="Q1848">VALUE(INDEX(_xlfn.TEXTSPLIT(P1848, " "), 4))</f>
        <v>2014</v>
      </c>
      <c r="R1848" s="1" t="str">
        <f t="shared" si="28"/>
        <v>BMW 5 Series 535i xDrive</v>
      </c>
      <c r="S1848" s="1" t="str" cm="1">
        <f t="array" ref="S1848">_xlfn.IFS(I1848 &gt;= 40, "High", I1848&gt;=20, "Medium", I1848&lt;20, "Low")</f>
        <v>Medium</v>
      </c>
      <c r="T1848" s="1" t="str" cm="1">
        <f t="array" ref="T1848">_xlfn.IFS(O1848&lt;18200, "Low", O1848&lt;=50000, "Medium", O1848&gt;50000, "High")</f>
        <v>Medium</v>
      </c>
    </row>
    <row r="1849" spans="1:20" x14ac:dyDescent="0.25">
      <c r="A1849" s="2">
        <v>2012</v>
      </c>
      <c r="B1849" s="1" t="s">
        <v>927</v>
      </c>
      <c r="C1849" s="1" t="s">
        <v>1070</v>
      </c>
      <c r="D1849" s="1" t="s">
        <v>965</v>
      </c>
      <c r="E1849" s="1" t="s">
        <v>32</v>
      </c>
      <c r="F1849" s="1" t="s">
        <v>20</v>
      </c>
      <c r="G1849" s="1" t="s">
        <v>2691</v>
      </c>
      <c r="H1849" s="1" t="s">
        <v>22</v>
      </c>
      <c r="I1849" s="1">
        <v>43</v>
      </c>
      <c r="J1849" s="1">
        <v>54649</v>
      </c>
      <c r="K1849" s="1" t="s">
        <v>73</v>
      </c>
      <c r="L1849" s="1" t="s">
        <v>34</v>
      </c>
      <c r="M1849" s="1" t="s">
        <v>1089</v>
      </c>
      <c r="N1849" s="1">
        <v>17200</v>
      </c>
      <c r="O1849" s="12">
        <v>17250</v>
      </c>
      <c r="P1849" s="3" t="s">
        <v>84</v>
      </c>
      <c r="Q1849" s="1" cm="1">
        <f t="array" ref="Q1849">VALUE(INDEX(_xlfn.TEXTSPLIT(P1849, " "), 4))</f>
        <v>2014</v>
      </c>
      <c r="R1849" s="1" t="str">
        <f t="shared" si="28"/>
        <v>Toyota Camry Hybrid XLE</v>
      </c>
      <c r="S1849" s="1" t="str" cm="1">
        <f t="array" ref="S1849">_xlfn.IFS(I1849 &gt;= 40, "High", I1849&gt;=20, "Medium", I1849&lt;20, "Low")</f>
        <v>High</v>
      </c>
      <c r="T1849" s="1" t="str" cm="1">
        <f t="array" ref="T1849">_xlfn.IFS(O1849&lt;18200, "Low", O1849&lt;=50000, "Medium", O1849&gt;50000, "High")</f>
        <v>Low</v>
      </c>
    </row>
    <row r="1850" spans="1:20" x14ac:dyDescent="0.25">
      <c r="A1850" s="2">
        <v>2011</v>
      </c>
      <c r="B1850" s="1" t="s">
        <v>29</v>
      </c>
      <c r="C1850" s="1" t="s">
        <v>30</v>
      </c>
      <c r="D1850" s="1" t="s">
        <v>1282</v>
      </c>
      <c r="E1850" s="1" t="s">
        <v>32</v>
      </c>
      <c r="F1850" s="1" t="s">
        <v>20</v>
      </c>
      <c r="G1850" s="1" t="s">
        <v>2692</v>
      </c>
      <c r="H1850" s="1" t="s">
        <v>22</v>
      </c>
      <c r="I1850" s="1">
        <v>43</v>
      </c>
      <c r="J1850" s="1">
        <v>26844</v>
      </c>
      <c r="K1850" s="1" t="s">
        <v>23</v>
      </c>
      <c r="L1850" s="1" t="s">
        <v>24</v>
      </c>
      <c r="M1850" s="1" t="s">
        <v>35</v>
      </c>
      <c r="N1850" s="1">
        <v>20500</v>
      </c>
      <c r="O1850" s="12">
        <v>21000</v>
      </c>
      <c r="P1850" s="3" t="s">
        <v>46</v>
      </c>
      <c r="Q1850" s="1" cm="1">
        <f t="array" ref="Q1850">VALUE(INDEX(_xlfn.TEXTSPLIT(P1850, " "), 4))</f>
        <v>2014</v>
      </c>
      <c r="R1850" s="1" t="str">
        <f t="shared" si="28"/>
        <v>BMW 3 Series 328i</v>
      </c>
      <c r="S1850" s="1" t="str" cm="1">
        <f t="array" ref="S1850">_xlfn.IFS(I1850 &gt;= 40, "High", I1850&gt;=20, "Medium", I1850&lt;20, "Low")</f>
        <v>High</v>
      </c>
      <c r="T1850" s="1" t="str" cm="1">
        <f t="array" ref="T1850">_xlfn.IFS(O1850&lt;18200, "Low", O1850&lt;=50000, "Medium", O1850&gt;50000, "High")</f>
        <v>Medium</v>
      </c>
    </row>
    <row r="1851" spans="1:20" x14ac:dyDescent="0.25">
      <c r="A1851" s="2">
        <v>2011</v>
      </c>
      <c r="B1851" s="1" t="s">
        <v>29</v>
      </c>
      <c r="C1851" s="1" t="s">
        <v>30</v>
      </c>
      <c r="D1851" s="1" t="s">
        <v>1312</v>
      </c>
      <c r="E1851" s="1" t="s">
        <v>32</v>
      </c>
      <c r="F1851" s="1" t="s">
        <v>20</v>
      </c>
      <c r="G1851" s="1" t="s">
        <v>2693</v>
      </c>
      <c r="H1851" s="1" t="s">
        <v>22</v>
      </c>
      <c r="I1851" s="1">
        <v>36</v>
      </c>
      <c r="J1851" s="1">
        <v>34391</v>
      </c>
      <c r="K1851" s="1" t="s">
        <v>24</v>
      </c>
      <c r="L1851" s="1" t="s">
        <v>24</v>
      </c>
      <c r="M1851" s="1" t="s">
        <v>35</v>
      </c>
      <c r="N1851" s="1">
        <v>23000</v>
      </c>
      <c r="O1851" s="12">
        <v>20500</v>
      </c>
      <c r="P1851" s="3" t="s">
        <v>135</v>
      </c>
      <c r="Q1851" s="1" cm="1">
        <f t="array" ref="Q1851">VALUE(INDEX(_xlfn.TEXTSPLIT(P1851, " "), 4))</f>
        <v>2015</v>
      </c>
      <c r="R1851" s="1" t="str">
        <f t="shared" si="28"/>
        <v>BMW 3 Series 335i</v>
      </c>
      <c r="S1851" s="1" t="str" cm="1">
        <f t="array" ref="S1851">_xlfn.IFS(I1851 &gt;= 40, "High", I1851&gt;=20, "Medium", I1851&lt;20, "Low")</f>
        <v>Medium</v>
      </c>
      <c r="T1851" s="1" t="str" cm="1">
        <f t="array" ref="T1851">_xlfn.IFS(O1851&lt;18200, "Low", O1851&lt;=50000, "Medium", O1851&gt;50000, "High")</f>
        <v>Medium</v>
      </c>
    </row>
    <row r="1852" spans="1:20" x14ac:dyDescent="0.25">
      <c r="A1852" s="2">
        <v>2011</v>
      </c>
      <c r="B1852" s="1" t="s">
        <v>29</v>
      </c>
      <c r="C1852" s="1" t="s">
        <v>30</v>
      </c>
      <c r="D1852" s="1" t="s">
        <v>1282</v>
      </c>
      <c r="E1852" s="1" t="s">
        <v>32</v>
      </c>
      <c r="F1852" s="1" t="s">
        <v>20</v>
      </c>
      <c r="G1852" s="1" t="s">
        <v>2694</v>
      </c>
      <c r="H1852" s="1" t="s">
        <v>22</v>
      </c>
      <c r="I1852" s="1">
        <v>42</v>
      </c>
      <c r="J1852" s="1">
        <v>42886</v>
      </c>
      <c r="K1852" s="1" t="s">
        <v>23</v>
      </c>
      <c r="L1852" s="1" t="s">
        <v>28</v>
      </c>
      <c r="M1852" s="1" t="s">
        <v>35</v>
      </c>
      <c r="N1852" s="1">
        <v>18050</v>
      </c>
      <c r="O1852" s="12">
        <v>18000</v>
      </c>
      <c r="P1852" s="3" t="s">
        <v>42</v>
      </c>
      <c r="Q1852" s="1" cm="1">
        <f t="array" ref="Q1852">VALUE(INDEX(_xlfn.TEXTSPLIT(P1852, " "), 4))</f>
        <v>2015</v>
      </c>
      <c r="R1852" s="1" t="str">
        <f t="shared" si="28"/>
        <v>BMW 3 Series 328i</v>
      </c>
      <c r="S1852" s="1" t="str" cm="1">
        <f t="array" ref="S1852">_xlfn.IFS(I1852 &gt;= 40, "High", I1852&gt;=20, "Medium", I1852&lt;20, "Low")</f>
        <v>High</v>
      </c>
      <c r="T1852" s="1" t="str" cm="1">
        <f t="array" ref="T1852">_xlfn.IFS(O1852&lt;18200, "Low", O1852&lt;=50000, "Medium", O1852&gt;50000, "High")</f>
        <v>Low</v>
      </c>
    </row>
    <row r="1853" spans="1:20" x14ac:dyDescent="0.25">
      <c r="A1853" s="2">
        <v>2012</v>
      </c>
      <c r="B1853" s="1" t="s">
        <v>37</v>
      </c>
      <c r="C1853" s="1" t="s">
        <v>38</v>
      </c>
      <c r="D1853" s="1" t="s">
        <v>39</v>
      </c>
      <c r="E1853" s="1" t="s">
        <v>32</v>
      </c>
      <c r="F1853" s="1" t="s">
        <v>20</v>
      </c>
      <c r="G1853" s="1" t="s">
        <v>2695</v>
      </c>
      <c r="H1853" s="1" t="s">
        <v>22</v>
      </c>
      <c r="I1853" s="1">
        <v>43</v>
      </c>
      <c r="J1853" s="1">
        <v>36438</v>
      </c>
      <c r="K1853" s="1" t="s">
        <v>94</v>
      </c>
      <c r="L1853" s="1" t="s">
        <v>28</v>
      </c>
      <c r="M1853" s="1" t="s">
        <v>1550</v>
      </c>
      <c r="N1853" s="1">
        <v>15950</v>
      </c>
      <c r="O1853" s="12">
        <v>16000</v>
      </c>
      <c r="P1853" s="3" t="s">
        <v>46</v>
      </c>
      <c r="Q1853" s="1" cm="1">
        <f t="array" ref="Q1853">VALUE(INDEX(_xlfn.TEXTSPLIT(P1853, " "), 4))</f>
        <v>2014</v>
      </c>
      <c r="R1853" s="1" t="str">
        <f t="shared" si="28"/>
        <v>Volvo S60 T5</v>
      </c>
      <c r="S1853" s="1" t="str" cm="1">
        <f t="array" ref="S1853">_xlfn.IFS(I1853 &gt;= 40, "High", I1853&gt;=20, "Medium", I1853&lt;20, "Low")</f>
        <v>High</v>
      </c>
      <c r="T1853" s="1" t="str" cm="1">
        <f t="array" ref="T1853">_xlfn.IFS(O1853&lt;18200, "Low", O1853&lt;=50000, "Medium", O1853&gt;50000, "High")</f>
        <v>Low</v>
      </c>
    </row>
    <row r="1854" spans="1:20" x14ac:dyDescent="0.25">
      <c r="A1854" s="2">
        <v>2012</v>
      </c>
      <c r="B1854" s="1" t="s">
        <v>921</v>
      </c>
      <c r="C1854" s="1" t="s">
        <v>992</v>
      </c>
      <c r="D1854" s="1" t="s">
        <v>2696</v>
      </c>
      <c r="E1854" s="1" t="s">
        <v>227</v>
      </c>
      <c r="F1854" s="1" t="s">
        <v>20</v>
      </c>
      <c r="G1854" s="1" t="s">
        <v>2697</v>
      </c>
      <c r="H1854" s="1" t="s">
        <v>22</v>
      </c>
      <c r="I1854" s="1">
        <v>1</v>
      </c>
      <c r="J1854" s="1">
        <v>28750</v>
      </c>
      <c r="K1854" s="1" t="s">
        <v>23</v>
      </c>
      <c r="L1854" s="1" t="s">
        <v>24</v>
      </c>
      <c r="M1854" s="1" t="s">
        <v>925</v>
      </c>
      <c r="N1854" s="1">
        <v>13500</v>
      </c>
      <c r="O1854" s="12">
        <v>11200</v>
      </c>
      <c r="P1854" s="3" t="s">
        <v>256</v>
      </c>
      <c r="Q1854" s="1" cm="1">
        <f t="array" ref="Q1854">VALUE(INDEX(_xlfn.TEXTSPLIT(P1854, " "), 4))</f>
        <v>2015</v>
      </c>
      <c r="R1854" s="1" t="str">
        <f t="shared" si="28"/>
        <v>Volkswagen Beetle 2.0T White Turbo Launch Edition PZEV</v>
      </c>
      <c r="S1854" s="1" t="str" cm="1">
        <f t="array" ref="S1854">_xlfn.IFS(I1854 &gt;= 40, "High", I1854&gt;=20, "Medium", I1854&lt;20, "Low")</f>
        <v>Low</v>
      </c>
      <c r="T1854" s="1" t="str" cm="1">
        <f t="array" ref="T1854">_xlfn.IFS(O1854&lt;18200, "Low", O1854&lt;=50000, "Medium", O1854&gt;50000, "High")</f>
        <v>Low</v>
      </c>
    </row>
    <row r="1855" spans="1:20" x14ac:dyDescent="0.25">
      <c r="A1855" s="2">
        <v>2011</v>
      </c>
      <c r="B1855" s="1" t="s">
        <v>29</v>
      </c>
      <c r="C1855" s="1" t="s">
        <v>30</v>
      </c>
      <c r="D1855" s="1" t="s">
        <v>1282</v>
      </c>
      <c r="E1855" s="1" t="s">
        <v>32</v>
      </c>
      <c r="F1855" s="1" t="s">
        <v>20</v>
      </c>
      <c r="G1855" s="1" t="s">
        <v>2698</v>
      </c>
      <c r="H1855" s="1" t="s">
        <v>22</v>
      </c>
      <c r="I1855" s="1">
        <v>44</v>
      </c>
      <c r="J1855" s="1">
        <v>24382</v>
      </c>
      <c r="K1855" s="1" t="s">
        <v>24</v>
      </c>
      <c r="L1855" s="1" t="s">
        <v>24</v>
      </c>
      <c r="M1855" s="1" t="s">
        <v>35</v>
      </c>
      <c r="N1855" s="1">
        <v>20800</v>
      </c>
      <c r="O1855" s="12">
        <v>23000</v>
      </c>
      <c r="P1855" s="3" t="s">
        <v>46</v>
      </c>
      <c r="Q1855" s="1" cm="1">
        <f t="array" ref="Q1855">VALUE(INDEX(_xlfn.TEXTSPLIT(P1855, " "), 4))</f>
        <v>2014</v>
      </c>
      <c r="R1855" s="1" t="str">
        <f t="shared" si="28"/>
        <v>BMW 3 Series 328i</v>
      </c>
      <c r="S1855" s="1" t="str" cm="1">
        <f t="array" ref="S1855">_xlfn.IFS(I1855 &gt;= 40, "High", I1855&gt;=20, "Medium", I1855&lt;20, "Low")</f>
        <v>High</v>
      </c>
      <c r="T1855" s="1" t="str" cm="1">
        <f t="array" ref="T1855">_xlfn.IFS(O1855&lt;18200, "Low", O1855&lt;=50000, "Medium", O1855&gt;50000, "High")</f>
        <v>Medium</v>
      </c>
    </row>
    <row r="1856" spans="1:20" x14ac:dyDescent="0.25">
      <c r="A1856" s="2">
        <v>2011</v>
      </c>
      <c r="B1856" s="1" t="s">
        <v>63</v>
      </c>
      <c r="C1856" s="1" t="s">
        <v>2668</v>
      </c>
      <c r="D1856" s="1" t="s">
        <v>2699</v>
      </c>
      <c r="E1856" s="1" t="s">
        <v>19</v>
      </c>
      <c r="F1856" s="1" t="s">
        <v>20</v>
      </c>
      <c r="G1856" s="1" t="s">
        <v>2700</v>
      </c>
      <c r="H1856" s="1" t="s">
        <v>22</v>
      </c>
      <c r="I1856" s="1">
        <v>38</v>
      </c>
      <c r="J1856" s="1">
        <v>79245</v>
      </c>
      <c r="K1856" s="1" t="s">
        <v>24</v>
      </c>
      <c r="L1856" s="1" t="s">
        <v>101</v>
      </c>
      <c r="M1856" s="1" t="s">
        <v>1550</v>
      </c>
      <c r="N1856" s="1">
        <v>28200</v>
      </c>
      <c r="O1856" s="12">
        <v>28500</v>
      </c>
      <c r="P1856" s="3" t="s">
        <v>46</v>
      </c>
      <c r="Q1856" s="1" cm="1">
        <f t="array" ref="Q1856">VALUE(INDEX(_xlfn.TEXTSPLIT(P1856, " "), 4))</f>
        <v>2014</v>
      </c>
      <c r="R1856" s="1" t="str">
        <f t="shared" si="28"/>
        <v>Audi Q7 TDI Premium quattro</v>
      </c>
      <c r="S1856" s="1" t="str" cm="1">
        <f t="array" ref="S1856">_xlfn.IFS(I1856 &gt;= 40, "High", I1856&gt;=20, "Medium", I1856&lt;20, "Low")</f>
        <v>Medium</v>
      </c>
      <c r="T1856" s="1" t="str" cm="1">
        <f t="array" ref="T1856">_xlfn.IFS(O1856&lt;18200, "Low", O1856&lt;=50000, "Medium", O1856&gt;50000, "High")</f>
        <v>Medium</v>
      </c>
    </row>
    <row r="1857" spans="1:20" x14ac:dyDescent="0.25">
      <c r="A1857" s="2">
        <v>2011</v>
      </c>
      <c r="B1857" s="1" t="s">
        <v>29</v>
      </c>
      <c r="C1857" s="1" t="s">
        <v>30</v>
      </c>
      <c r="D1857" s="1" t="s">
        <v>1282</v>
      </c>
      <c r="E1857" s="1" t="s">
        <v>32</v>
      </c>
      <c r="F1857" s="1" t="s">
        <v>20</v>
      </c>
      <c r="G1857" s="1" t="s">
        <v>2701</v>
      </c>
      <c r="H1857" s="1" t="s">
        <v>22</v>
      </c>
      <c r="I1857" s="1">
        <v>46</v>
      </c>
      <c r="J1857" s="1">
        <v>42173</v>
      </c>
      <c r="K1857" s="1" t="s">
        <v>24</v>
      </c>
      <c r="L1857" s="1" t="s">
        <v>73</v>
      </c>
      <c r="M1857" s="1" t="s">
        <v>35</v>
      </c>
      <c r="N1857" s="1">
        <v>18400</v>
      </c>
      <c r="O1857" s="12">
        <v>19500</v>
      </c>
      <c r="P1857" s="3" t="s">
        <v>46</v>
      </c>
      <c r="Q1857" s="1" cm="1">
        <f t="array" ref="Q1857">VALUE(INDEX(_xlfn.TEXTSPLIT(P1857, " "), 4))</f>
        <v>2014</v>
      </c>
      <c r="R1857" s="1" t="str">
        <f t="shared" si="28"/>
        <v>BMW 3 Series 328i</v>
      </c>
      <c r="S1857" s="1" t="str" cm="1">
        <f t="array" ref="S1857">_xlfn.IFS(I1857 &gt;= 40, "High", I1857&gt;=20, "Medium", I1857&lt;20, "Low")</f>
        <v>High</v>
      </c>
      <c r="T1857" s="1" t="str" cm="1">
        <f t="array" ref="T1857">_xlfn.IFS(O1857&lt;18200, "Low", O1857&lt;=50000, "Medium", O1857&gt;50000, "High")</f>
        <v>Medium</v>
      </c>
    </row>
    <row r="1858" spans="1:20" x14ac:dyDescent="0.25">
      <c r="A1858" s="2">
        <v>2011</v>
      </c>
      <c r="B1858" s="1" t="s">
        <v>63</v>
      </c>
      <c r="C1858" s="1" t="s">
        <v>150</v>
      </c>
      <c r="D1858" s="1" t="s">
        <v>145</v>
      </c>
      <c r="E1858" s="1" t="s">
        <v>71</v>
      </c>
      <c r="F1858" s="1" t="s">
        <v>20</v>
      </c>
      <c r="G1858" s="1" t="s">
        <v>2702</v>
      </c>
      <c r="H1858" s="1" t="s">
        <v>22</v>
      </c>
      <c r="I1858" s="1">
        <v>26</v>
      </c>
      <c r="J1858" s="1">
        <v>35177</v>
      </c>
      <c r="K1858" s="1" t="s">
        <v>34</v>
      </c>
      <c r="L1858" s="1" t="s">
        <v>24</v>
      </c>
      <c r="M1858" s="1" t="s">
        <v>1550</v>
      </c>
      <c r="N1858" s="1">
        <v>31900</v>
      </c>
      <c r="O1858" s="12">
        <v>29750</v>
      </c>
      <c r="P1858" s="3" t="s">
        <v>46</v>
      </c>
      <c r="Q1858" s="1" cm="1">
        <f t="array" ref="Q1858">VALUE(INDEX(_xlfn.TEXTSPLIT(P1858, " "), 4))</f>
        <v>2014</v>
      </c>
      <c r="R1858" s="1" t="str">
        <f t="shared" si="28"/>
        <v>Audi S5 3.0T Premium Plus quattro</v>
      </c>
      <c r="S1858" s="1" t="str" cm="1">
        <f t="array" ref="S1858">_xlfn.IFS(I1858 &gt;= 40, "High", I1858&gt;=20, "Medium", I1858&lt;20, "Low")</f>
        <v>Medium</v>
      </c>
      <c r="T1858" s="1" t="str" cm="1">
        <f t="array" ref="T1858">_xlfn.IFS(O1858&lt;18200, "Low", O1858&lt;=50000, "Medium", O1858&gt;50000, "High")</f>
        <v>Medium</v>
      </c>
    </row>
    <row r="1859" spans="1:20" x14ac:dyDescent="0.25">
      <c r="A1859" s="2">
        <v>2011</v>
      </c>
      <c r="B1859" s="1" t="s">
        <v>29</v>
      </c>
      <c r="C1859" s="1" t="s">
        <v>30</v>
      </c>
      <c r="D1859" s="1" t="s">
        <v>1280</v>
      </c>
      <c r="E1859" s="1" t="s">
        <v>71</v>
      </c>
      <c r="F1859" s="1" t="s">
        <v>20</v>
      </c>
      <c r="G1859" s="1" t="s">
        <v>2703</v>
      </c>
      <c r="H1859" s="1" t="s">
        <v>22</v>
      </c>
      <c r="I1859" s="1">
        <v>38</v>
      </c>
      <c r="J1859" s="1">
        <v>49765</v>
      </c>
      <c r="K1859" s="1" t="s">
        <v>23</v>
      </c>
      <c r="L1859" s="1" t="s">
        <v>73</v>
      </c>
      <c r="M1859" s="1" t="s">
        <v>908</v>
      </c>
      <c r="N1859" s="1">
        <v>29900</v>
      </c>
      <c r="O1859" s="12">
        <v>29000</v>
      </c>
      <c r="P1859" s="3" t="s">
        <v>46</v>
      </c>
      <c r="Q1859" s="1" cm="1">
        <f t="array" ref="Q1859">VALUE(INDEX(_xlfn.TEXTSPLIT(P1859, " "), 4))</f>
        <v>2014</v>
      </c>
      <c r="R1859" s="1" t="str">
        <f t="shared" ref="R1859:R1922" si="29">_xlfn.TEXTJOIN(" ", TRUE, B1859, C1859, D1859)</f>
        <v>BMW 3 Series 335is</v>
      </c>
      <c r="S1859" s="1" t="str" cm="1">
        <f t="array" ref="S1859">_xlfn.IFS(I1859 &gt;= 40, "High", I1859&gt;=20, "Medium", I1859&lt;20, "Low")</f>
        <v>Medium</v>
      </c>
      <c r="T1859" s="1" t="str" cm="1">
        <f t="array" ref="T1859">_xlfn.IFS(O1859&lt;18200, "Low", O1859&lt;=50000, "Medium", O1859&gt;50000, "High")</f>
        <v>Medium</v>
      </c>
    </row>
    <row r="1860" spans="1:20" x14ac:dyDescent="0.25">
      <c r="A1860" s="2">
        <v>2012</v>
      </c>
      <c r="B1860" s="1" t="s">
        <v>927</v>
      </c>
      <c r="C1860" s="1" t="s">
        <v>2704</v>
      </c>
      <c r="D1860" s="1" t="s">
        <v>337</v>
      </c>
      <c r="E1860" s="1" t="s">
        <v>19</v>
      </c>
      <c r="F1860" s="1" t="s">
        <v>20</v>
      </c>
      <c r="G1860" s="1" t="s">
        <v>2705</v>
      </c>
      <c r="H1860" s="1" t="s">
        <v>22</v>
      </c>
      <c r="I1860" s="1">
        <v>44</v>
      </c>
      <c r="J1860" s="1">
        <v>83985</v>
      </c>
      <c r="K1860" s="1" t="s">
        <v>34</v>
      </c>
      <c r="L1860" s="1" t="s">
        <v>24</v>
      </c>
      <c r="M1860" s="1" t="s">
        <v>2706</v>
      </c>
      <c r="N1860" s="1">
        <v>26400</v>
      </c>
      <c r="O1860" s="12">
        <v>26000</v>
      </c>
      <c r="P1860" s="3" t="s">
        <v>84</v>
      </c>
      <c r="Q1860" s="1" cm="1">
        <f t="array" ref="Q1860">VALUE(INDEX(_xlfn.TEXTSPLIT(P1860, " "), 4))</f>
        <v>2014</v>
      </c>
      <c r="R1860" s="1" t="str">
        <f t="shared" si="29"/>
        <v>Toyota Highlander Hybrid Limited</v>
      </c>
      <c r="S1860" s="1" t="str" cm="1">
        <f t="array" ref="S1860">_xlfn.IFS(I1860 &gt;= 40, "High", I1860&gt;=20, "Medium", I1860&lt;20, "Low")</f>
        <v>High</v>
      </c>
      <c r="T1860" s="1" t="str" cm="1">
        <f t="array" ref="T1860">_xlfn.IFS(O1860&lt;18200, "Low", O1860&lt;=50000, "Medium", O1860&gt;50000, "High")</f>
        <v>Medium</v>
      </c>
    </row>
    <row r="1861" spans="1:20" x14ac:dyDescent="0.25">
      <c r="A1861" s="2">
        <v>2012</v>
      </c>
      <c r="B1861" s="1" t="s">
        <v>921</v>
      </c>
      <c r="C1861" s="1" t="s">
        <v>976</v>
      </c>
      <c r="D1861" s="1" t="s">
        <v>923</v>
      </c>
      <c r="E1861" s="1" t="s">
        <v>32</v>
      </c>
      <c r="F1861" s="1" t="s">
        <v>20</v>
      </c>
      <c r="G1861" s="1" t="s">
        <v>2707</v>
      </c>
      <c r="H1861" s="1" t="s">
        <v>22</v>
      </c>
      <c r="I1861" s="1">
        <v>1</v>
      </c>
      <c r="J1861" s="1">
        <v>29802</v>
      </c>
      <c r="K1861" s="1" t="s">
        <v>34</v>
      </c>
      <c r="L1861" s="1" t="s">
        <v>24</v>
      </c>
      <c r="M1861" s="1" t="s">
        <v>925</v>
      </c>
      <c r="N1861" s="1">
        <v>10200</v>
      </c>
      <c r="O1861" s="12">
        <v>8400</v>
      </c>
      <c r="P1861" s="3" t="s">
        <v>84</v>
      </c>
      <c r="Q1861" s="1" cm="1">
        <f t="array" ref="Q1861">VALUE(INDEX(_xlfn.TEXTSPLIT(P1861, " "), 4))</f>
        <v>2014</v>
      </c>
      <c r="R1861" s="1" t="str">
        <f t="shared" si="29"/>
        <v>Volkswagen Jetta SE PZEV</v>
      </c>
      <c r="S1861" s="1" t="str" cm="1">
        <f t="array" ref="S1861">_xlfn.IFS(I1861 &gt;= 40, "High", I1861&gt;=20, "Medium", I1861&lt;20, "Low")</f>
        <v>Low</v>
      </c>
      <c r="T1861" s="1" t="str" cm="1">
        <f t="array" ref="T1861">_xlfn.IFS(O1861&lt;18200, "Low", O1861&lt;=50000, "Medium", O1861&gt;50000, "High")</f>
        <v>Low</v>
      </c>
    </row>
    <row r="1862" spans="1:20" x14ac:dyDescent="0.25">
      <c r="A1862" s="2">
        <v>2012</v>
      </c>
      <c r="B1862" s="1" t="s">
        <v>921</v>
      </c>
      <c r="C1862" s="1" t="s">
        <v>976</v>
      </c>
      <c r="D1862" s="1" t="s">
        <v>923</v>
      </c>
      <c r="E1862" s="1" t="s">
        <v>32</v>
      </c>
      <c r="F1862" s="1" t="s">
        <v>20</v>
      </c>
      <c r="G1862" s="1" t="s">
        <v>2708</v>
      </c>
      <c r="H1862" s="1" t="s">
        <v>22</v>
      </c>
      <c r="I1862" s="1">
        <v>1</v>
      </c>
      <c r="J1862" s="1">
        <v>18083</v>
      </c>
      <c r="K1862" s="1" t="s">
        <v>101</v>
      </c>
      <c r="L1862" s="1" t="s">
        <v>34</v>
      </c>
      <c r="M1862" s="1" t="s">
        <v>925</v>
      </c>
      <c r="N1862" s="1">
        <v>10850</v>
      </c>
      <c r="O1862" s="12">
        <v>9500</v>
      </c>
      <c r="P1862" s="3" t="s">
        <v>84</v>
      </c>
      <c r="Q1862" s="1" cm="1">
        <f t="array" ref="Q1862">VALUE(INDEX(_xlfn.TEXTSPLIT(P1862, " "), 4))</f>
        <v>2014</v>
      </c>
      <c r="R1862" s="1" t="str">
        <f t="shared" si="29"/>
        <v>Volkswagen Jetta SE PZEV</v>
      </c>
      <c r="S1862" s="1" t="str" cm="1">
        <f t="array" ref="S1862">_xlfn.IFS(I1862 &gt;= 40, "High", I1862&gt;=20, "Medium", I1862&lt;20, "Low")</f>
        <v>Low</v>
      </c>
      <c r="T1862" s="1" t="str" cm="1">
        <f t="array" ref="T1862">_xlfn.IFS(O1862&lt;18200, "Low", O1862&lt;=50000, "Medium", O1862&gt;50000, "High")</f>
        <v>Low</v>
      </c>
    </row>
    <row r="1863" spans="1:20" x14ac:dyDescent="0.25">
      <c r="A1863" s="2">
        <v>2011</v>
      </c>
      <c r="B1863" s="1" t="s">
        <v>29</v>
      </c>
      <c r="C1863" s="1" t="s">
        <v>30</v>
      </c>
      <c r="D1863" s="1" t="s">
        <v>1282</v>
      </c>
      <c r="E1863" s="1" t="s">
        <v>107</v>
      </c>
      <c r="F1863" s="1" t="s">
        <v>20</v>
      </c>
      <c r="G1863" s="1" t="s">
        <v>2709</v>
      </c>
      <c r="H1863" s="1" t="s">
        <v>22</v>
      </c>
      <c r="I1863" s="1">
        <v>27</v>
      </c>
      <c r="J1863" s="1">
        <v>30517</v>
      </c>
      <c r="K1863" s="1" t="s">
        <v>24</v>
      </c>
      <c r="L1863" s="1" t="s">
        <v>24</v>
      </c>
      <c r="M1863" s="1" t="s">
        <v>35</v>
      </c>
      <c r="N1863" s="1">
        <v>20500</v>
      </c>
      <c r="O1863" s="12">
        <v>19750</v>
      </c>
      <c r="P1863" s="3" t="s">
        <v>36</v>
      </c>
      <c r="Q1863" s="1" cm="1">
        <f t="array" ref="Q1863">VALUE(INDEX(_xlfn.TEXTSPLIT(P1863, " "), 4))</f>
        <v>2015</v>
      </c>
      <c r="R1863" s="1" t="str">
        <f t="shared" si="29"/>
        <v>BMW 3 Series 328i</v>
      </c>
      <c r="S1863" s="1" t="str" cm="1">
        <f t="array" ref="S1863">_xlfn.IFS(I1863 &gt;= 40, "High", I1863&gt;=20, "Medium", I1863&lt;20, "Low")</f>
        <v>Medium</v>
      </c>
      <c r="T1863" s="1" t="str" cm="1">
        <f t="array" ref="T1863">_xlfn.IFS(O1863&lt;18200, "Low", O1863&lt;=50000, "Medium", O1863&gt;50000, "High")</f>
        <v>Medium</v>
      </c>
    </row>
    <row r="1864" spans="1:20" x14ac:dyDescent="0.25">
      <c r="A1864" s="2">
        <v>2011</v>
      </c>
      <c r="B1864" s="1" t="s">
        <v>63</v>
      </c>
      <c r="C1864" s="1" t="s">
        <v>103</v>
      </c>
      <c r="D1864" s="1" t="s">
        <v>1321</v>
      </c>
      <c r="E1864" s="1" t="s">
        <v>19</v>
      </c>
      <c r="F1864" s="1" t="s">
        <v>20</v>
      </c>
      <c r="G1864" s="1" t="s">
        <v>2710</v>
      </c>
      <c r="H1864" s="1" t="s">
        <v>22</v>
      </c>
      <c r="I1864" s="1">
        <v>48</v>
      </c>
      <c r="J1864" s="1">
        <v>39717</v>
      </c>
      <c r="K1864" s="1" t="s">
        <v>23</v>
      </c>
      <c r="L1864" s="1" t="s">
        <v>24</v>
      </c>
      <c r="M1864" s="1" t="s">
        <v>2711</v>
      </c>
      <c r="N1864" s="1">
        <v>25500</v>
      </c>
      <c r="O1864" s="12">
        <v>28500</v>
      </c>
      <c r="P1864" s="3" t="s">
        <v>46</v>
      </c>
      <c r="Q1864" s="1" cm="1">
        <f t="array" ref="Q1864">VALUE(INDEX(_xlfn.TEXTSPLIT(P1864, " "), 4))</f>
        <v>2014</v>
      </c>
      <c r="R1864" s="1" t="str">
        <f t="shared" si="29"/>
        <v>Audi Q5 2.0T Premium quattro</v>
      </c>
      <c r="S1864" s="1" t="str" cm="1">
        <f t="array" ref="S1864">_xlfn.IFS(I1864 &gt;= 40, "High", I1864&gt;=20, "Medium", I1864&lt;20, "Low")</f>
        <v>High</v>
      </c>
      <c r="T1864" s="1" t="str" cm="1">
        <f t="array" ref="T1864">_xlfn.IFS(O1864&lt;18200, "Low", O1864&lt;=50000, "Medium", O1864&gt;50000, "High")</f>
        <v>Medium</v>
      </c>
    </row>
    <row r="1865" spans="1:20" x14ac:dyDescent="0.25">
      <c r="A1865" s="2">
        <v>2012</v>
      </c>
      <c r="B1865" s="1" t="s">
        <v>921</v>
      </c>
      <c r="C1865" s="1" t="s">
        <v>956</v>
      </c>
      <c r="D1865" s="1" t="s">
        <v>2712</v>
      </c>
      <c r="E1865" s="1" t="s">
        <v>32</v>
      </c>
      <c r="F1865" s="1" t="s">
        <v>20</v>
      </c>
      <c r="G1865" s="1" t="s">
        <v>2713</v>
      </c>
      <c r="H1865" s="1" t="s">
        <v>22</v>
      </c>
      <c r="I1865" s="1">
        <v>37</v>
      </c>
      <c r="J1865" s="1">
        <v>26245</v>
      </c>
      <c r="K1865" s="1" t="s">
        <v>24</v>
      </c>
      <c r="L1865" s="1" t="s">
        <v>24</v>
      </c>
      <c r="M1865" s="1" t="s">
        <v>2714</v>
      </c>
      <c r="N1865" s="1">
        <v>16550</v>
      </c>
      <c r="O1865" s="12">
        <v>16500</v>
      </c>
      <c r="P1865" s="3" t="s">
        <v>57</v>
      </c>
      <c r="Q1865" s="1" cm="1">
        <f t="array" ref="Q1865">VALUE(INDEX(_xlfn.TEXTSPLIT(P1865, " "), 4))</f>
        <v>2014</v>
      </c>
      <c r="R1865" s="1" t="str">
        <f t="shared" si="29"/>
        <v>Volkswagen CC Lux Limited PZEV</v>
      </c>
      <c r="S1865" s="1" t="str" cm="1">
        <f t="array" ref="S1865">_xlfn.IFS(I1865 &gt;= 40, "High", I1865&gt;=20, "Medium", I1865&lt;20, "Low")</f>
        <v>Medium</v>
      </c>
      <c r="T1865" s="1" t="str" cm="1">
        <f t="array" ref="T1865">_xlfn.IFS(O1865&lt;18200, "Low", O1865&lt;=50000, "Medium", O1865&gt;50000, "High")</f>
        <v>Low</v>
      </c>
    </row>
    <row r="1866" spans="1:20" x14ac:dyDescent="0.25">
      <c r="A1866" s="2">
        <v>2011</v>
      </c>
      <c r="B1866" s="1" t="s">
        <v>29</v>
      </c>
      <c r="C1866" s="1" t="s">
        <v>117</v>
      </c>
      <c r="D1866" s="1" t="s">
        <v>1359</v>
      </c>
      <c r="E1866" s="1" t="s">
        <v>32</v>
      </c>
      <c r="F1866" s="1" t="s">
        <v>20</v>
      </c>
      <c r="G1866" s="1" t="s">
        <v>2715</v>
      </c>
      <c r="H1866" s="1" t="s">
        <v>22</v>
      </c>
      <c r="I1866" s="1">
        <v>21</v>
      </c>
      <c r="J1866" s="1">
        <v>58778</v>
      </c>
      <c r="K1866" s="1" t="s">
        <v>23</v>
      </c>
      <c r="L1866" s="1" t="s">
        <v>24</v>
      </c>
      <c r="M1866" s="1" t="s">
        <v>1224</v>
      </c>
      <c r="N1866" s="1">
        <v>27900</v>
      </c>
      <c r="O1866" s="12">
        <v>26250</v>
      </c>
      <c r="P1866" s="3" t="s">
        <v>46</v>
      </c>
      <c r="Q1866" s="1" cm="1">
        <f t="array" ref="Q1866">VALUE(INDEX(_xlfn.TEXTSPLIT(P1866, " "), 4))</f>
        <v>2014</v>
      </c>
      <c r="R1866" s="1" t="str">
        <f t="shared" si="29"/>
        <v>BMW 5 Series 550i</v>
      </c>
      <c r="S1866" s="1" t="str" cm="1">
        <f t="array" ref="S1866">_xlfn.IFS(I1866 &gt;= 40, "High", I1866&gt;=20, "Medium", I1866&lt;20, "Low")</f>
        <v>Medium</v>
      </c>
      <c r="T1866" s="1" t="str" cm="1">
        <f t="array" ref="T1866">_xlfn.IFS(O1866&lt;18200, "Low", O1866&lt;=50000, "Medium", O1866&gt;50000, "High")</f>
        <v>Medium</v>
      </c>
    </row>
    <row r="1867" spans="1:20" x14ac:dyDescent="0.25">
      <c r="A1867" s="2">
        <v>2011</v>
      </c>
      <c r="B1867" s="1" t="s">
        <v>29</v>
      </c>
      <c r="C1867" s="1" t="s">
        <v>30</v>
      </c>
      <c r="D1867" s="1" t="s">
        <v>2716</v>
      </c>
      <c r="E1867" s="1" t="s">
        <v>32</v>
      </c>
      <c r="F1867" s="1" t="s">
        <v>20</v>
      </c>
      <c r="G1867" s="1" t="s">
        <v>2717</v>
      </c>
      <c r="H1867" s="1" t="s">
        <v>22</v>
      </c>
      <c r="I1867" s="1">
        <v>41</v>
      </c>
      <c r="J1867" s="1">
        <v>42405</v>
      </c>
      <c r="K1867" s="1" t="s">
        <v>24</v>
      </c>
      <c r="L1867" s="1" t="s">
        <v>24</v>
      </c>
      <c r="M1867" s="1" t="s">
        <v>35</v>
      </c>
      <c r="N1867" s="1">
        <v>21800</v>
      </c>
      <c r="O1867" s="12">
        <v>25750</v>
      </c>
      <c r="P1867" s="3" t="s">
        <v>46</v>
      </c>
      <c r="Q1867" s="1" cm="1">
        <f t="array" ref="Q1867">VALUE(INDEX(_xlfn.TEXTSPLIT(P1867, " "), 4))</f>
        <v>2014</v>
      </c>
      <c r="R1867" s="1" t="str">
        <f t="shared" si="29"/>
        <v>BMW 3 Series 335d</v>
      </c>
      <c r="S1867" s="1" t="str" cm="1">
        <f t="array" ref="S1867">_xlfn.IFS(I1867 &gt;= 40, "High", I1867&gt;=20, "Medium", I1867&lt;20, "Low")</f>
        <v>High</v>
      </c>
      <c r="T1867" s="1" t="str" cm="1">
        <f t="array" ref="T1867">_xlfn.IFS(O1867&lt;18200, "Low", O1867&lt;=50000, "Medium", O1867&gt;50000, "High")</f>
        <v>Medium</v>
      </c>
    </row>
    <row r="1868" spans="1:20" x14ac:dyDescent="0.25">
      <c r="A1868" s="2">
        <v>2011</v>
      </c>
      <c r="B1868" s="1" t="s">
        <v>29</v>
      </c>
      <c r="C1868" s="1" t="s">
        <v>30</v>
      </c>
      <c r="D1868" s="1" t="s">
        <v>1282</v>
      </c>
      <c r="E1868" s="1" t="s">
        <v>32</v>
      </c>
      <c r="F1868" s="1" t="s">
        <v>20</v>
      </c>
      <c r="G1868" s="1" t="s">
        <v>2718</v>
      </c>
      <c r="H1868" s="1" t="s">
        <v>22</v>
      </c>
      <c r="I1868" s="1">
        <v>43</v>
      </c>
      <c r="J1868" s="1">
        <v>39120</v>
      </c>
      <c r="K1868" s="1" t="s">
        <v>94</v>
      </c>
      <c r="L1868" s="1" t="s">
        <v>34</v>
      </c>
      <c r="M1868" s="1" t="s">
        <v>35</v>
      </c>
      <c r="N1868" s="1">
        <v>18800</v>
      </c>
      <c r="O1868" s="12">
        <v>19500</v>
      </c>
      <c r="P1868" s="3" t="s">
        <v>46</v>
      </c>
      <c r="Q1868" s="1" cm="1">
        <f t="array" ref="Q1868">VALUE(INDEX(_xlfn.TEXTSPLIT(P1868, " "), 4))</f>
        <v>2014</v>
      </c>
      <c r="R1868" s="1" t="str">
        <f t="shared" si="29"/>
        <v>BMW 3 Series 328i</v>
      </c>
      <c r="S1868" s="1" t="str" cm="1">
        <f t="array" ref="S1868">_xlfn.IFS(I1868 &gt;= 40, "High", I1868&gt;=20, "Medium", I1868&lt;20, "Low")</f>
        <v>High</v>
      </c>
      <c r="T1868" s="1" t="str" cm="1">
        <f t="array" ref="T1868">_xlfn.IFS(O1868&lt;18200, "Low", O1868&lt;=50000, "Medium", O1868&gt;50000, "High")</f>
        <v>Medium</v>
      </c>
    </row>
    <row r="1869" spans="1:20" x14ac:dyDescent="0.25">
      <c r="A1869" s="2">
        <v>2012</v>
      </c>
      <c r="B1869" s="1" t="s">
        <v>927</v>
      </c>
      <c r="C1869" s="1" t="s">
        <v>963</v>
      </c>
      <c r="D1869" s="1" t="s">
        <v>87</v>
      </c>
      <c r="E1869" s="1" t="s">
        <v>32</v>
      </c>
      <c r="F1869" s="1" t="s">
        <v>20</v>
      </c>
      <c r="G1869" s="1" t="s">
        <v>2719</v>
      </c>
      <c r="H1869" s="1" t="s">
        <v>22</v>
      </c>
      <c r="I1869" s="1">
        <v>44</v>
      </c>
      <c r="J1869" s="1">
        <v>27262</v>
      </c>
      <c r="K1869" s="1" t="s">
        <v>101</v>
      </c>
      <c r="L1869" s="1" t="s">
        <v>24</v>
      </c>
      <c r="M1869" s="1" t="s">
        <v>1096</v>
      </c>
      <c r="N1869" s="1">
        <v>16900</v>
      </c>
      <c r="O1869" s="12">
        <v>18200</v>
      </c>
      <c r="P1869" s="3" t="s">
        <v>57</v>
      </c>
      <c r="Q1869" s="1" cm="1">
        <f t="array" ref="Q1869">VALUE(INDEX(_xlfn.TEXTSPLIT(P1869, " "), 4))</f>
        <v>2014</v>
      </c>
      <c r="R1869" s="1" t="str">
        <f t="shared" si="29"/>
        <v>Toyota Camry SE</v>
      </c>
      <c r="S1869" s="1" t="str" cm="1">
        <f t="array" ref="S1869">_xlfn.IFS(I1869 &gt;= 40, "High", I1869&gt;=20, "Medium", I1869&lt;20, "Low")</f>
        <v>High</v>
      </c>
      <c r="T1869" s="1" t="str" cm="1">
        <f t="array" ref="T1869">_xlfn.IFS(O1869&lt;18200, "Low", O1869&lt;=50000, "Medium", O1869&gt;50000, "High")</f>
        <v>Medium</v>
      </c>
    </row>
    <row r="1870" spans="1:20" x14ac:dyDescent="0.25">
      <c r="A1870" s="2">
        <v>2011</v>
      </c>
      <c r="B1870" s="1" t="s">
        <v>29</v>
      </c>
      <c r="C1870" s="1" t="s">
        <v>30</v>
      </c>
      <c r="D1870" s="1" t="s">
        <v>1282</v>
      </c>
      <c r="E1870" s="1" t="s">
        <v>32</v>
      </c>
      <c r="F1870" s="1" t="s">
        <v>20</v>
      </c>
      <c r="G1870" s="1" t="s">
        <v>2720</v>
      </c>
      <c r="H1870" s="1" t="s">
        <v>22</v>
      </c>
      <c r="I1870" s="1">
        <v>39</v>
      </c>
      <c r="J1870" s="1">
        <v>22843</v>
      </c>
      <c r="K1870" s="1" t="s">
        <v>23</v>
      </c>
      <c r="L1870" s="1" t="s">
        <v>34</v>
      </c>
      <c r="M1870" s="1" t="s">
        <v>35</v>
      </c>
      <c r="N1870" s="1">
        <v>21000</v>
      </c>
      <c r="O1870" s="12">
        <v>22250</v>
      </c>
      <c r="P1870" s="3" t="s">
        <v>46</v>
      </c>
      <c r="Q1870" s="1" cm="1">
        <f t="array" ref="Q1870">VALUE(INDEX(_xlfn.TEXTSPLIT(P1870, " "), 4))</f>
        <v>2014</v>
      </c>
      <c r="R1870" s="1" t="str">
        <f t="shared" si="29"/>
        <v>BMW 3 Series 328i</v>
      </c>
      <c r="S1870" s="1" t="str" cm="1">
        <f t="array" ref="S1870">_xlfn.IFS(I1870 &gt;= 40, "High", I1870&gt;=20, "Medium", I1870&lt;20, "Low")</f>
        <v>Medium</v>
      </c>
      <c r="T1870" s="1" t="str" cm="1">
        <f t="array" ref="T1870">_xlfn.IFS(O1870&lt;18200, "Low", O1870&lt;=50000, "Medium", O1870&gt;50000, "High")</f>
        <v>Medium</v>
      </c>
    </row>
    <row r="1871" spans="1:20" x14ac:dyDescent="0.25">
      <c r="A1871" s="2">
        <v>2011</v>
      </c>
      <c r="B1871" s="1" t="s">
        <v>29</v>
      </c>
      <c r="C1871" s="1" t="s">
        <v>30</v>
      </c>
      <c r="D1871" s="1" t="s">
        <v>1282</v>
      </c>
      <c r="E1871" s="1" t="s">
        <v>32</v>
      </c>
      <c r="F1871" s="1" t="s">
        <v>20</v>
      </c>
      <c r="G1871" s="1" t="s">
        <v>2721</v>
      </c>
      <c r="H1871" s="1" t="s">
        <v>22</v>
      </c>
      <c r="I1871" s="1">
        <v>43</v>
      </c>
      <c r="J1871" s="1">
        <v>36808</v>
      </c>
      <c r="K1871" s="1" t="s">
        <v>94</v>
      </c>
      <c r="L1871" s="1" t="s">
        <v>34</v>
      </c>
      <c r="M1871" s="1" t="s">
        <v>35</v>
      </c>
      <c r="N1871" s="1">
        <v>19500</v>
      </c>
      <c r="O1871" s="12">
        <v>17900</v>
      </c>
      <c r="P1871" s="3" t="s">
        <v>36</v>
      </c>
      <c r="Q1871" s="1" cm="1">
        <f t="array" ref="Q1871">VALUE(INDEX(_xlfn.TEXTSPLIT(P1871, " "), 4))</f>
        <v>2015</v>
      </c>
      <c r="R1871" s="1" t="str">
        <f t="shared" si="29"/>
        <v>BMW 3 Series 328i</v>
      </c>
      <c r="S1871" s="1" t="str" cm="1">
        <f t="array" ref="S1871">_xlfn.IFS(I1871 &gt;= 40, "High", I1871&gt;=20, "Medium", I1871&lt;20, "Low")</f>
        <v>High</v>
      </c>
      <c r="T1871" s="1" t="str" cm="1">
        <f t="array" ref="T1871">_xlfn.IFS(O1871&lt;18200, "Low", O1871&lt;=50000, "Medium", O1871&gt;50000, "High")</f>
        <v>Low</v>
      </c>
    </row>
    <row r="1872" spans="1:20" x14ac:dyDescent="0.25">
      <c r="A1872" s="2">
        <v>2011</v>
      </c>
      <c r="B1872" s="1" t="s">
        <v>29</v>
      </c>
      <c r="C1872" s="1" t="s">
        <v>30</v>
      </c>
      <c r="D1872" s="1" t="s">
        <v>1282</v>
      </c>
      <c r="E1872" s="1" t="s">
        <v>32</v>
      </c>
      <c r="F1872" s="1" t="s">
        <v>20</v>
      </c>
      <c r="G1872" s="1" t="s">
        <v>2722</v>
      </c>
      <c r="H1872" s="1" t="s">
        <v>22</v>
      </c>
      <c r="I1872" s="1">
        <v>37</v>
      </c>
      <c r="J1872" s="1">
        <v>20363</v>
      </c>
      <c r="K1872" s="1" t="s">
        <v>34</v>
      </c>
      <c r="L1872" s="1" t="s">
        <v>24</v>
      </c>
      <c r="M1872" s="1" t="s">
        <v>35</v>
      </c>
      <c r="N1872" s="1">
        <v>20400</v>
      </c>
      <c r="O1872" s="12">
        <v>19500</v>
      </c>
      <c r="P1872" s="3" t="s">
        <v>42</v>
      </c>
      <c r="Q1872" s="1" cm="1">
        <f t="array" ref="Q1872">VALUE(INDEX(_xlfn.TEXTSPLIT(P1872, " "), 4))</f>
        <v>2015</v>
      </c>
      <c r="R1872" s="1" t="str">
        <f t="shared" si="29"/>
        <v>BMW 3 Series 328i</v>
      </c>
      <c r="S1872" s="1" t="str" cm="1">
        <f t="array" ref="S1872">_xlfn.IFS(I1872 &gt;= 40, "High", I1872&gt;=20, "Medium", I1872&lt;20, "Low")</f>
        <v>Medium</v>
      </c>
      <c r="T1872" s="1" t="str" cm="1">
        <f t="array" ref="T1872">_xlfn.IFS(O1872&lt;18200, "Low", O1872&lt;=50000, "Medium", O1872&gt;50000, "High")</f>
        <v>Medium</v>
      </c>
    </row>
    <row r="1873" spans="1:20" x14ac:dyDescent="0.25">
      <c r="A1873" s="2">
        <v>2012</v>
      </c>
      <c r="B1873" s="1" t="s">
        <v>921</v>
      </c>
      <c r="C1873" s="1" t="s">
        <v>976</v>
      </c>
      <c r="D1873" s="1" t="s">
        <v>923</v>
      </c>
      <c r="E1873" s="1" t="s">
        <v>32</v>
      </c>
      <c r="F1873" s="1" t="s">
        <v>20</v>
      </c>
      <c r="G1873" s="1" t="s">
        <v>2723</v>
      </c>
      <c r="H1873" s="1" t="s">
        <v>22</v>
      </c>
      <c r="I1873" s="1">
        <v>1</v>
      </c>
      <c r="J1873" s="1">
        <v>15820</v>
      </c>
      <c r="K1873" s="1" t="s">
        <v>101</v>
      </c>
      <c r="L1873" s="1" t="s">
        <v>28</v>
      </c>
      <c r="M1873" s="1" t="s">
        <v>925</v>
      </c>
      <c r="N1873" s="1">
        <v>10950</v>
      </c>
      <c r="O1873" s="12">
        <v>8500</v>
      </c>
      <c r="P1873" s="3" t="s">
        <v>84</v>
      </c>
      <c r="Q1873" s="1" cm="1">
        <f t="array" ref="Q1873">VALUE(INDEX(_xlfn.TEXTSPLIT(P1873, " "), 4))</f>
        <v>2014</v>
      </c>
      <c r="R1873" s="1" t="str">
        <f t="shared" si="29"/>
        <v>Volkswagen Jetta SE PZEV</v>
      </c>
      <c r="S1873" s="1" t="str" cm="1">
        <f t="array" ref="S1873">_xlfn.IFS(I1873 &gt;= 40, "High", I1873&gt;=20, "Medium", I1873&lt;20, "Low")</f>
        <v>Low</v>
      </c>
      <c r="T1873" s="1" t="str" cm="1">
        <f t="array" ref="T1873">_xlfn.IFS(O1873&lt;18200, "Low", O1873&lt;=50000, "Medium", O1873&gt;50000, "High")</f>
        <v>Low</v>
      </c>
    </row>
    <row r="1874" spans="1:20" x14ac:dyDescent="0.25">
      <c r="A1874" s="2">
        <v>2012</v>
      </c>
      <c r="B1874" s="1" t="s">
        <v>927</v>
      </c>
      <c r="C1874" s="1" t="s">
        <v>932</v>
      </c>
      <c r="D1874" s="1" t="s">
        <v>2724</v>
      </c>
      <c r="E1874" s="1" t="s">
        <v>738</v>
      </c>
      <c r="F1874" s="1" t="s">
        <v>20</v>
      </c>
      <c r="G1874" s="1" t="s">
        <v>2725</v>
      </c>
      <c r="H1874" s="1" t="s">
        <v>22</v>
      </c>
      <c r="I1874" s="1">
        <v>28</v>
      </c>
      <c r="J1874" s="1">
        <v>34357</v>
      </c>
      <c r="K1874" s="1" t="s">
        <v>23</v>
      </c>
      <c r="L1874" s="1" t="s">
        <v>28</v>
      </c>
      <c r="M1874" s="1" t="s">
        <v>56</v>
      </c>
      <c r="N1874" s="1">
        <v>16200</v>
      </c>
      <c r="O1874" s="12">
        <v>16600</v>
      </c>
      <c r="P1874" s="3" t="s">
        <v>57</v>
      </c>
      <c r="Q1874" s="1" cm="1">
        <f t="array" ref="Q1874">VALUE(INDEX(_xlfn.TEXTSPLIT(P1874, " "), 4))</f>
        <v>2014</v>
      </c>
      <c r="R1874" s="1" t="str">
        <f t="shared" si="29"/>
        <v>Toyota Sienna Base 7-Passenger</v>
      </c>
      <c r="S1874" s="1" t="str" cm="1">
        <f t="array" ref="S1874">_xlfn.IFS(I1874 &gt;= 40, "High", I1874&gt;=20, "Medium", I1874&lt;20, "Low")</f>
        <v>Medium</v>
      </c>
      <c r="T1874" s="1" t="str" cm="1">
        <f t="array" ref="T1874">_xlfn.IFS(O1874&lt;18200, "Low", O1874&lt;=50000, "Medium", O1874&gt;50000, "High")</f>
        <v>Low</v>
      </c>
    </row>
    <row r="1875" spans="1:20" x14ac:dyDescent="0.25">
      <c r="A1875" s="2">
        <v>2011</v>
      </c>
      <c r="B1875" s="1" t="s">
        <v>29</v>
      </c>
      <c r="C1875" s="1" t="s">
        <v>117</v>
      </c>
      <c r="D1875" s="1" t="s">
        <v>118</v>
      </c>
      <c r="E1875" s="1" t="s">
        <v>32</v>
      </c>
      <c r="F1875" s="1" t="s">
        <v>20</v>
      </c>
      <c r="G1875" s="1" t="s">
        <v>2726</v>
      </c>
      <c r="H1875" s="1" t="s">
        <v>22</v>
      </c>
      <c r="I1875" s="1">
        <v>28</v>
      </c>
      <c r="J1875" s="1">
        <v>79848</v>
      </c>
      <c r="K1875" s="1" t="s">
        <v>94</v>
      </c>
      <c r="L1875" s="1" t="s">
        <v>132</v>
      </c>
      <c r="M1875" s="1" t="s">
        <v>2677</v>
      </c>
      <c r="N1875" s="1">
        <v>20700</v>
      </c>
      <c r="O1875" s="12">
        <v>20800</v>
      </c>
      <c r="P1875" s="3" t="s">
        <v>143</v>
      </c>
      <c r="Q1875" s="1" cm="1">
        <f t="array" ref="Q1875">VALUE(INDEX(_xlfn.TEXTSPLIT(P1875, " "), 4))</f>
        <v>2014</v>
      </c>
      <c r="R1875" s="1" t="str">
        <f t="shared" si="29"/>
        <v>BMW 5 Series 528i</v>
      </c>
      <c r="S1875" s="1" t="str" cm="1">
        <f t="array" ref="S1875">_xlfn.IFS(I1875 &gt;= 40, "High", I1875&gt;=20, "Medium", I1875&lt;20, "Low")</f>
        <v>Medium</v>
      </c>
      <c r="T1875" s="1" t="str" cm="1">
        <f t="array" ref="T1875">_xlfn.IFS(O1875&lt;18200, "Low", O1875&lt;=50000, "Medium", O1875&gt;50000, "High")</f>
        <v>Medium</v>
      </c>
    </row>
    <row r="1876" spans="1:20" x14ac:dyDescent="0.25">
      <c r="A1876" s="2">
        <v>2011</v>
      </c>
      <c r="B1876" s="1" t="s">
        <v>29</v>
      </c>
      <c r="C1876" s="1" t="s">
        <v>30</v>
      </c>
      <c r="D1876" s="1" t="s">
        <v>1282</v>
      </c>
      <c r="E1876" s="1" t="s">
        <v>107</v>
      </c>
      <c r="F1876" s="1" t="s">
        <v>20</v>
      </c>
      <c r="G1876" s="1" t="s">
        <v>2727</v>
      </c>
      <c r="H1876" s="1" t="s">
        <v>22</v>
      </c>
      <c r="I1876" s="1">
        <v>19</v>
      </c>
      <c r="J1876" s="1">
        <v>29939</v>
      </c>
      <c r="K1876" s="1" t="s">
        <v>73</v>
      </c>
      <c r="L1876" s="1" t="s">
        <v>82</v>
      </c>
      <c r="M1876" s="1" t="s">
        <v>35</v>
      </c>
      <c r="N1876" s="1">
        <v>20500</v>
      </c>
      <c r="O1876" s="12">
        <v>17000</v>
      </c>
      <c r="P1876" s="3" t="s">
        <v>365</v>
      </c>
      <c r="Q1876" s="1" cm="1">
        <f t="array" ref="Q1876">VALUE(INDEX(_xlfn.TEXTSPLIT(P1876, " "), 4))</f>
        <v>2015</v>
      </c>
      <c r="R1876" s="1" t="str">
        <f t="shared" si="29"/>
        <v>BMW 3 Series 328i</v>
      </c>
      <c r="S1876" s="1" t="str" cm="1">
        <f t="array" ref="S1876">_xlfn.IFS(I1876 &gt;= 40, "High", I1876&gt;=20, "Medium", I1876&lt;20, "Low")</f>
        <v>Low</v>
      </c>
      <c r="T1876" s="1" t="str" cm="1">
        <f t="array" ref="T1876">_xlfn.IFS(O1876&lt;18200, "Low", O1876&lt;=50000, "Medium", O1876&gt;50000, "High")</f>
        <v>Low</v>
      </c>
    </row>
    <row r="1877" spans="1:20" x14ac:dyDescent="0.25">
      <c r="A1877" s="2">
        <v>2011</v>
      </c>
      <c r="B1877" s="1" t="s">
        <v>29</v>
      </c>
      <c r="C1877" s="1" t="s">
        <v>30</v>
      </c>
      <c r="D1877" s="1" t="s">
        <v>1282</v>
      </c>
      <c r="E1877" s="1" t="s">
        <v>32</v>
      </c>
      <c r="F1877" s="1" t="s">
        <v>20</v>
      </c>
      <c r="G1877" s="1" t="s">
        <v>2728</v>
      </c>
      <c r="H1877" s="1" t="s">
        <v>22</v>
      </c>
      <c r="I1877" s="1">
        <v>37</v>
      </c>
      <c r="J1877" s="1">
        <v>34693</v>
      </c>
      <c r="K1877" s="1" t="s">
        <v>34</v>
      </c>
      <c r="L1877" s="1" t="s">
        <v>101</v>
      </c>
      <c r="M1877" s="1" t="s">
        <v>35</v>
      </c>
      <c r="N1877" s="1">
        <v>19400</v>
      </c>
      <c r="O1877" s="12">
        <v>20500</v>
      </c>
      <c r="P1877" s="3" t="s">
        <v>46</v>
      </c>
      <c r="Q1877" s="1" cm="1">
        <f t="array" ref="Q1877">VALUE(INDEX(_xlfn.TEXTSPLIT(P1877, " "), 4))</f>
        <v>2014</v>
      </c>
      <c r="R1877" s="1" t="str">
        <f t="shared" si="29"/>
        <v>BMW 3 Series 328i</v>
      </c>
      <c r="S1877" s="1" t="str" cm="1">
        <f t="array" ref="S1877">_xlfn.IFS(I1877 &gt;= 40, "High", I1877&gt;=20, "Medium", I1877&lt;20, "Low")</f>
        <v>Medium</v>
      </c>
      <c r="T1877" s="1" t="str" cm="1">
        <f t="array" ref="T1877">_xlfn.IFS(O1877&lt;18200, "Low", O1877&lt;=50000, "Medium", O1877&gt;50000, "High")</f>
        <v>Medium</v>
      </c>
    </row>
    <row r="1878" spans="1:20" x14ac:dyDescent="0.25">
      <c r="A1878" s="2">
        <v>2011</v>
      </c>
      <c r="B1878" s="1" t="s">
        <v>29</v>
      </c>
      <c r="C1878" s="1" t="s">
        <v>30</v>
      </c>
      <c r="D1878" s="1" t="s">
        <v>1312</v>
      </c>
      <c r="E1878" s="1" t="s">
        <v>71</v>
      </c>
      <c r="F1878" s="1" t="s">
        <v>20</v>
      </c>
      <c r="G1878" s="1" t="s">
        <v>2729</v>
      </c>
      <c r="H1878" s="1" t="s">
        <v>22</v>
      </c>
      <c r="I1878" s="1">
        <v>41</v>
      </c>
      <c r="J1878" s="1">
        <v>24708</v>
      </c>
      <c r="K1878" s="1" t="s">
        <v>24</v>
      </c>
      <c r="L1878" s="1" t="s">
        <v>82</v>
      </c>
      <c r="M1878" s="1" t="s">
        <v>35</v>
      </c>
      <c r="N1878" s="1">
        <v>29100</v>
      </c>
      <c r="O1878" s="12">
        <v>29000</v>
      </c>
      <c r="P1878" s="3" t="s">
        <v>46</v>
      </c>
      <c r="Q1878" s="1" cm="1">
        <f t="array" ref="Q1878">VALUE(INDEX(_xlfn.TEXTSPLIT(P1878, " "), 4))</f>
        <v>2014</v>
      </c>
      <c r="R1878" s="1" t="str">
        <f t="shared" si="29"/>
        <v>BMW 3 Series 335i</v>
      </c>
      <c r="S1878" s="1" t="str" cm="1">
        <f t="array" ref="S1878">_xlfn.IFS(I1878 &gt;= 40, "High", I1878&gt;=20, "Medium", I1878&lt;20, "Low")</f>
        <v>High</v>
      </c>
      <c r="T1878" s="1" t="str" cm="1">
        <f t="array" ref="T1878">_xlfn.IFS(O1878&lt;18200, "Low", O1878&lt;=50000, "Medium", O1878&gt;50000, "High")</f>
        <v>Medium</v>
      </c>
    </row>
    <row r="1879" spans="1:20" x14ac:dyDescent="0.25">
      <c r="A1879" s="2">
        <v>2011</v>
      </c>
      <c r="B1879" s="1" t="s">
        <v>29</v>
      </c>
      <c r="C1879" s="1" t="s">
        <v>30</v>
      </c>
      <c r="D1879" s="1" t="s">
        <v>1282</v>
      </c>
      <c r="E1879" s="1" t="s">
        <v>32</v>
      </c>
      <c r="F1879" s="1" t="s">
        <v>20</v>
      </c>
      <c r="G1879" s="1" t="s">
        <v>2730</v>
      </c>
      <c r="H1879" s="1" t="s">
        <v>22</v>
      </c>
      <c r="I1879" s="1">
        <v>44</v>
      </c>
      <c r="J1879" s="1">
        <v>29792</v>
      </c>
      <c r="K1879" s="1" t="s">
        <v>24</v>
      </c>
      <c r="L1879" s="1" t="s">
        <v>28</v>
      </c>
      <c r="M1879" s="1" t="s">
        <v>35</v>
      </c>
      <c r="N1879" s="1">
        <v>20100</v>
      </c>
      <c r="O1879" s="12">
        <v>20500</v>
      </c>
      <c r="P1879" s="3" t="s">
        <v>46</v>
      </c>
      <c r="Q1879" s="1" cm="1">
        <f t="array" ref="Q1879">VALUE(INDEX(_xlfn.TEXTSPLIT(P1879, " "), 4))</f>
        <v>2014</v>
      </c>
      <c r="R1879" s="1" t="str">
        <f t="shared" si="29"/>
        <v>BMW 3 Series 328i</v>
      </c>
      <c r="S1879" s="1" t="str" cm="1">
        <f t="array" ref="S1879">_xlfn.IFS(I1879 &gt;= 40, "High", I1879&gt;=20, "Medium", I1879&lt;20, "Low")</f>
        <v>High</v>
      </c>
      <c r="T1879" s="1" t="str" cm="1">
        <f t="array" ref="T1879">_xlfn.IFS(O1879&lt;18200, "Low", O1879&lt;=50000, "Medium", O1879&gt;50000, "High")</f>
        <v>Medium</v>
      </c>
    </row>
    <row r="1880" spans="1:20" x14ac:dyDescent="0.25">
      <c r="A1880" s="2">
        <v>2012</v>
      </c>
      <c r="B1880" s="1" t="s">
        <v>921</v>
      </c>
      <c r="C1880" s="1" t="s">
        <v>976</v>
      </c>
      <c r="D1880" s="1" t="s">
        <v>936</v>
      </c>
      <c r="E1880" s="1" t="s">
        <v>32</v>
      </c>
      <c r="F1880" s="1" t="s">
        <v>20</v>
      </c>
      <c r="G1880" s="1" t="s">
        <v>2731</v>
      </c>
      <c r="H1880" s="1" t="s">
        <v>22</v>
      </c>
      <c r="I1880" s="1">
        <v>1</v>
      </c>
      <c r="J1880" s="1">
        <v>29808</v>
      </c>
      <c r="K1880" s="1" t="s">
        <v>101</v>
      </c>
      <c r="L1880" s="1" t="s">
        <v>24</v>
      </c>
      <c r="M1880" s="1" t="s">
        <v>925</v>
      </c>
      <c r="N1880" s="1">
        <v>9000</v>
      </c>
      <c r="O1880" s="12">
        <v>7800</v>
      </c>
      <c r="P1880" s="3" t="s">
        <v>84</v>
      </c>
      <c r="Q1880" s="1" cm="1">
        <f t="array" ref="Q1880">VALUE(INDEX(_xlfn.TEXTSPLIT(P1880, " "), 4))</f>
        <v>2014</v>
      </c>
      <c r="R1880" s="1" t="str">
        <f t="shared" si="29"/>
        <v>Volkswagen Jetta S</v>
      </c>
      <c r="S1880" s="1" t="str" cm="1">
        <f t="array" ref="S1880">_xlfn.IFS(I1880 &gt;= 40, "High", I1880&gt;=20, "Medium", I1880&lt;20, "Low")</f>
        <v>Low</v>
      </c>
      <c r="T1880" s="1" t="str" cm="1">
        <f t="array" ref="T1880">_xlfn.IFS(O1880&lt;18200, "Low", O1880&lt;=50000, "Medium", O1880&gt;50000, "High")</f>
        <v>Low</v>
      </c>
    </row>
    <row r="1881" spans="1:20" x14ac:dyDescent="0.25">
      <c r="A1881" s="2">
        <v>2011</v>
      </c>
      <c r="B1881" s="1" t="s">
        <v>29</v>
      </c>
      <c r="C1881" s="1" t="s">
        <v>117</v>
      </c>
      <c r="D1881" s="1" t="s">
        <v>1500</v>
      </c>
      <c r="E1881" s="1" t="s">
        <v>32</v>
      </c>
      <c r="F1881" s="1" t="s">
        <v>20</v>
      </c>
      <c r="G1881" s="1" t="s">
        <v>2732</v>
      </c>
      <c r="H1881" s="1" t="s">
        <v>22</v>
      </c>
      <c r="I1881" s="1">
        <v>39</v>
      </c>
      <c r="J1881" s="1">
        <v>39277</v>
      </c>
      <c r="K1881" s="1" t="s">
        <v>132</v>
      </c>
      <c r="L1881" s="1" t="s">
        <v>101</v>
      </c>
      <c r="M1881" s="1" t="s">
        <v>35</v>
      </c>
      <c r="N1881" s="1">
        <v>29200</v>
      </c>
      <c r="O1881" s="12">
        <v>27500</v>
      </c>
      <c r="P1881" s="3" t="s">
        <v>46</v>
      </c>
      <c r="Q1881" s="1" cm="1">
        <f t="array" ref="Q1881">VALUE(INDEX(_xlfn.TEXTSPLIT(P1881, " "), 4))</f>
        <v>2014</v>
      </c>
      <c r="R1881" s="1" t="str">
        <f t="shared" si="29"/>
        <v>BMW 5 Series 535i xDrive</v>
      </c>
      <c r="S1881" s="1" t="str" cm="1">
        <f t="array" ref="S1881">_xlfn.IFS(I1881 &gt;= 40, "High", I1881&gt;=20, "Medium", I1881&lt;20, "Low")</f>
        <v>Medium</v>
      </c>
      <c r="T1881" s="1" t="str" cm="1">
        <f t="array" ref="T1881">_xlfn.IFS(O1881&lt;18200, "Low", O1881&lt;=50000, "Medium", O1881&gt;50000, "High")</f>
        <v>Medium</v>
      </c>
    </row>
    <row r="1882" spans="1:20" x14ac:dyDescent="0.25">
      <c r="A1882" s="2">
        <v>2011</v>
      </c>
      <c r="B1882" s="1" t="s">
        <v>29</v>
      </c>
      <c r="C1882" s="1" t="s">
        <v>30</v>
      </c>
      <c r="D1882" s="1" t="s">
        <v>2733</v>
      </c>
      <c r="E1882" s="1" t="s">
        <v>32</v>
      </c>
      <c r="F1882" s="1" t="s">
        <v>20</v>
      </c>
      <c r="G1882" s="1" t="s">
        <v>2734</v>
      </c>
      <c r="H1882" s="1" t="s">
        <v>22</v>
      </c>
      <c r="I1882" s="1">
        <v>42</v>
      </c>
      <c r="J1882" s="1">
        <v>24856</v>
      </c>
      <c r="K1882" s="1" t="s">
        <v>24</v>
      </c>
      <c r="L1882" s="1" t="s">
        <v>24</v>
      </c>
      <c r="M1882" s="1" t="s">
        <v>35</v>
      </c>
      <c r="N1882" s="1">
        <v>26200</v>
      </c>
      <c r="O1882" s="12">
        <v>28250</v>
      </c>
      <c r="P1882" s="3" t="s">
        <v>46</v>
      </c>
      <c r="Q1882" s="1" cm="1">
        <f t="array" ref="Q1882">VALUE(INDEX(_xlfn.TEXTSPLIT(P1882, " "), 4))</f>
        <v>2014</v>
      </c>
      <c r="R1882" s="1" t="str">
        <f t="shared" si="29"/>
        <v>BMW 3 Series 335i xDrive</v>
      </c>
      <c r="S1882" s="1" t="str" cm="1">
        <f t="array" ref="S1882">_xlfn.IFS(I1882 &gt;= 40, "High", I1882&gt;=20, "Medium", I1882&lt;20, "Low")</f>
        <v>High</v>
      </c>
      <c r="T1882" s="1" t="str" cm="1">
        <f t="array" ref="T1882">_xlfn.IFS(O1882&lt;18200, "Low", O1882&lt;=50000, "Medium", O1882&gt;50000, "High")</f>
        <v>Medium</v>
      </c>
    </row>
    <row r="1883" spans="1:20" x14ac:dyDescent="0.25">
      <c r="A1883" s="2">
        <v>2011</v>
      </c>
      <c r="B1883" s="1" t="s">
        <v>29</v>
      </c>
      <c r="C1883" s="1" t="s">
        <v>30</v>
      </c>
      <c r="D1883" s="1" t="s">
        <v>1282</v>
      </c>
      <c r="E1883" s="1" t="s">
        <v>32</v>
      </c>
      <c r="F1883" s="1" t="s">
        <v>20</v>
      </c>
      <c r="G1883" s="1" t="s">
        <v>2735</v>
      </c>
      <c r="H1883" s="1" t="s">
        <v>22</v>
      </c>
      <c r="I1883" s="1">
        <v>42</v>
      </c>
      <c r="J1883" s="1">
        <v>20062</v>
      </c>
      <c r="K1883" s="1" t="s">
        <v>34</v>
      </c>
      <c r="L1883" s="1" t="s">
        <v>28</v>
      </c>
      <c r="M1883" s="1" t="s">
        <v>35</v>
      </c>
      <c r="N1883" s="1">
        <v>21400</v>
      </c>
      <c r="O1883" s="12">
        <v>21500</v>
      </c>
      <c r="P1883" s="3" t="s">
        <v>46</v>
      </c>
      <c r="Q1883" s="1" cm="1">
        <f t="array" ref="Q1883">VALUE(INDEX(_xlfn.TEXTSPLIT(P1883, " "), 4))</f>
        <v>2014</v>
      </c>
      <c r="R1883" s="1" t="str">
        <f t="shared" si="29"/>
        <v>BMW 3 Series 328i</v>
      </c>
      <c r="S1883" s="1" t="str" cm="1">
        <f t="array" ref="S1883">_xlfn.IFS(I1883 &gt;= 40, "High", I1883&gt;=20, "Medium", I1883&lt;20, "Low")</f>
        <v>High</v>
      </c>
      <c r="T1883" s="1" t="str" cm="1">
        <f t="array" ref="T1883">_xlfn.IFS(O1883&lt;18200, "Low", O1883&lt;=50000, "Medium", O1883&gt;50000, "High")</f>
        <v>Medium</v>
      </c>
    </row>
    <row r="1884" spans="1:20" x14ac:dyDescent="0.25">
      <c r="A1884" s="2">
        <v>2012</v>
      </c>
      <c r="B1884" s="1" t="s">
        <v>927</v>
      </c>
      <c r="C1884" s="1" t="s">
        <v>1007</v>
      </c>
      <c r="D1884" s="1" t="s">
        <v>368</v>
      </c>
      <c r="E1884" s="1" t="s">
        <v>19</v>
      </c>
      <c r="F1884" s="1" t="s">
        <v>20</v>
      </c>
      <c r="G1884" s="1" t="s">
        <v>2736</v>
      </c>
      <c r="H1884" s="1" t="s">
        <v>22</v>
      </c>
      <c r="I1884" s="1">
        <v>19</v>
      </c>
      <c r="J1884" s="1">
        <v>35166</v>
      </c>
      <c r="K1884" s="1" t="s">
        <v>34</v>
      </c>
      <c r="L1884" s="1" t="s">
        <v>24</v>
      </c>
      <c r="M1884" s="1" t="s">
        <v>2737</v>
      </c>
      <c r="N1884" s="1">
        <v>17400</v>
      </c>
      <c r="O1884" s="12">
        <v>8200</v>
      </c>
      <c r="P1884" s="3" t="s">
        <v>915</v>
      </c>
      <c r="Q1884" s="1" cm="1">
        <f t="array" ref="Q1884">VALUE(INDEX(_xlfn.TEXTSPLIT(P1884, " "), 4))</f>
        <v>2015</v>
      </c>
      <c r="R1884" s="1" t="str">
        <f t="shared" si="29"/>
        <v>Toyota RAV4 Sport</v>
      </c>
      <c r="S1884" s="1" t="str" cm="1">
        <f t="array" ref="S1884">_xlfn.IFS(I1884 &gt;= 40, "High", I1884&gt;=20, "Medium", I1884&lt;20, "Low")</f>
        <v>Low</v>
      </c>
      <c r="T1884" s="1" t="str" cm="1">
        <f t="array" ref="T1884">_xlfn.IFS(O1884&lt;18200, "Low", O1884&lt;=50000, "Medium", O1884&gt;50000, "High")</f>
        <v>Low</v>
      </c>
    </row>
    <row r="1885" spans="1:20" x14ac:dyDescent="0.25">
      <c r="A1885" s="2">
        <v>2011</v>
      </c>
      <c r="B1885" s="1" t="s">
        <v>29</v>
      </c>
      <c r="C1885" s="1" t="s">
        <v>30</v>
      </c>
      <c r="D1885" s="1" t="s">
        <v>1282</v>
      </c>
      <c r="E1885" s="1" t="s">
        <v>32</v>
      </c>
      <c r="F1885" s="1" t="s">
        <v>20</v>
      </c>
      <c r="G1885" s="1" t="s">
        <v>2738</v>
      </c>
      <c r="H1885" s="1" t="s">
        <v>22</v>
      </c>
      <c r="I1885" s="1">
        <v>44</v>
      </c>
      <c r="J1885" s="1">
        <v>31979</v>
      </c>
      <c r="K1885" s="1" t="s">
        <v>23</v>
      </c>
      <c r="L1885" s="1" t="s">
        <v>24</v>
      </c>
      <c r="M1885" s="1" t="s">
        <v>35</v>
      </c>
      <c r="N1885" s="1">
        <v>19800</v>
      </c>
      <c r="O1885" s="12">
        <v>23000</v>
      </c>
      <c r="P1885" s="3" t="s">
        <v>46</v>
      </c>
      <c r="Q1885" s="1" cm="1">
        <f t="array" ref="Q1885">VALUE(INDEX(_xlfn.TEXTSPLIT(P1885, " "), 4))</f>
        <v>2014</v>
      </c>
      <c r="R1885" s="1" t="str">
        <f t="shared" si="29"/>
        <v>BMW 3 Series 328i</v>
      </c>
      <c r="S1885" s="1" t="str" cm="1">
        <f t="array" ref="S1885">_xlfn.IFS(I1885 &gt;= 40, "High", I1885&gt;=20, "Medium", I1885&lt;20, "Low")</f>
        <v>High</v>
      </c>
      <c r="T1885" s="1" t="str" cm="1">
        <f t="array" ref="T1885">_xlfn.IFS(O1885&lt;18200, "Low", O1885&lt;=50000, "Medium", O1885&gt;50000, "High")</f>
        <v>Medium</v>
      </c>
    </row>
    <row r="1886" spans="1:20" x14ac:dyDescent="0.25">
      <c r="A1886" s="2">
        <v>2011</v>
      </c>
      <c r="B1886" s="1" t="s">
        <v>29</v>
      </c>
      <c r="C1886" s="1" t="s">
        <v>30</v>
      </c>
      <c r="D1886" s="1" t="s">
        <v>1280</v>
      </c>
      <c r="E1886" s="1" t="s">
        <v>71</v>
      </c>
      <c r="F1886" s="1" t="s">
        <v>20</v>
      </c>
      <c r="G1886" s="1" t="s">
        <v>2739</v>
      </c>
      <c r="H1886" s="1" t="s">
        <v>22</v>
      </c>
      <c r="I1886" s="1">
        <v>34</v>
      </c>
      <c r="J1886" s="1">
        <v>41971</v>
      </c>
      <c r="K1886" s="1" t="s">
        <v>23</v>
      </c>
      <c r="L1886" s="1" t="s">
        <v>24</v>
      </c>
      <c r="M1886" s="1" t="s">
        <v>35</v>
      </c>
      <c r="N1886" s="1">
        <v>29900</v>
      </c>
      <c r="O1886" s="12">
        <v>29000</v>
      </c>
      <c r="P1886" s="3" t="s">
        <v>46</v>
      </c>
      <c r="Q1886" s="1" cm="1">
        <f t="array" ref="Q1886">VALUE(INDEX(_xlfn.TEXTSPLIT(P1886, " "), 4))</f>
        <v>2014</v>
      </c>
      <c r="R1886" s="1" t="str">
        <f t="shared" si="29"/>
        <v>BMW 3 Series 335is</v>
      </c>
      <c r="S1886" s="1" t="str" cm="1">
        <f t="array" ref="S1886">_xlfn.IFS(I1886 &gt;= 40, "High", I1886&gt;=20, "Medium", I1886&lt;20, "Low")</f>
        <v>Medium</v>
      </c>
      <c r="T1886" s="1" t="str" cm="1">
        <f t="array" ref="T1886">_xlfn.IFS(O1886&lt;18200, "Low", O1886&lt;=50000, "Medium", O1886&gt;50000, "High")</f>
        <v>Medium</v>
      </c>
    </row>
    <row r="1887" spans="1:20" x14ac:dyDescent="0.25">
      <c r="A1887" s="2">
        <v>2011</v>
      </c>
      <c r="B1887" s="1" t="s">
        <v>29</v>
      </c>
      <c r="C1887" s="1" t="s">
        <v>30</v>
      </c>
      <c r="D1887" s="1" t="s">
        <v>1282</v>
      </c>
      <c r="E1887" s="1" t="s">
        <v>107</v>
      </c>
      <c r="F1887" s="1" t="s">
        <v>214</v>
      </c>
      <c r="G1887" s="1" t="s">
        <v>2740</v>
      </c>
      <c r="H1887" s="1" t="s">
        <v>22</v>
      </c>
      <c r="I1887" s="1">
        <v>4</v>
      </c>
      <c r="J1887" s="1">
        <v>29992</v>
      </c>
      <c r="K1887" s="1" t="s">
        <v>23</v>
      </c>
      <c r="L1887" s="1" t="s">
        <v>24</v>
      </c>
      <c r="M1887" s="1" t="s">
        <v>35</v>
      </c>
      <c r="N1887" s="1">
        <v>20600</v>
      </c>
      <c r="O1887" s="12">
        <v>22250</v>
      </c>
      <c r="P1887" s="3" t="s">
        <v>36</v>
      </c>
      <c r="Q1887" s="1" cm="1">
        <f t="array" ref="Q1887">VALUE(INDEX(_xlfn.TEXTSPLIT(P1887, " "), 4))</f>
        <v>2015</v>
      </c>
      <c r="R1887" s="1" t="str">
        <f t="shared" si="29"/>
        <v>BMW 3 Series 328i</v>
      </c>
      <c r="S1887" s="1" t="str" cm="1">
        <f t="array" ref="S1887">_xlfn.IFS(I1887 &gt;= 40, "High", I1887&gt;=20, "Medium", I1887&lt;20, "Low")</f>
        <v>Low</v>
      </c>
      <c r="T1887" s="1" t="str" cm="1">
        <f t="array" ref="T1887">_xlfn.IFS(O1887&lt;18200, "Low", O1887&lt;=50000, "Medium", O1887&gt;50000, "High")</f>
        <v>Medium</v>
      </c>
    </row>
    <row r="1888" spans="1:20" x14ac:dyDescent="0.25">
      <c r="A1888" s="2">
        <v>2011</v>
      </c>
      <c r="B1888" s="1" t="s">
        <v>29</v>
      </c>
      <c r="C1888" s="1" t="s">
        <v>30</v>
      </c>
      <c r="D1888" s="1" t="s">
        <v>1312</v>
      </c>
      <c r="E1888" s="1" t="s">
        <v>32</v>
      </c>
      <c r="F1888" s="1" t="s">
        <v>20</v>
      </c>
      <c r="G1888" s="1" t="s">
        <v>2741</v>
      </c>
      <c r="H1888" s="1" t="s">
        <v>22</v>
      </c>
      <c r="I1888" s="1">
        <v>45</v>
      </c>
      <c r="J1888" s="1">
        <v>49117</v>
      </c>
      <c r="K1888" s="1" t="s">
        <v>24</v>
      </c>
      <c r="L1888" s="1" t="s">
        <v>24</v>
      </c>
      <c r="M1888" s="1" t="s">
        <v>35</v>
      </c>
      <c r="N1888" s="1">
        <v>22700</v>
      </c>
      <c r="O1888" s="12">
        <v>23000</v>
      </c>
      <c r="P1888" s="3" t="s">
        <v>46</v>
      </c>
      <c r="Q1888" s="1" cm="1">
        <f t="array" ref="Q1888">VALUE(INDEX(_xlfn.TEXTSPLIT(P1888, " "), 4))</f>
        <v>2014</v>
      </c>
      <c r="R1888" s="1" t="str">
        <f t="shared" si="29"/>
        <v>BMW 3 Series 335i</v>
      </c>
      <c r="S1888" s="1" t="str" cm="1">
        <f t="array" ref="S1888">_xlfn.IFS(I1888 &gt;= 40, "High", I1888&gt;=20, "Medium", I1888&lt;20, "Low")</f>
        <v>High</v>
      </c>
      <c r="T1888" s="1" t="str" cm="1">
        <f t="array" ref="T1888">_xlfn.IFS(O1888&lt;18200, "Low", O1888&lt;=50000, "Medium", O1888&gt;50000, "High")</f>
        <v>Medium</v>
      </c>
    </row>
    <row r="1889" spans="1:20" x14ac:dyDescent="0.25">
      <c r="A1889" s="2">
        <v>2011</v>
      </c>
      <c r="B1889" s="1" t="s">
        <v>29</v>
      </c>
      <c r="C1889" s="1" t="s">
        <v>117</v>
      </c>
      <c r="D1889" s="1" t="s">
        <v>1292</v>
      </c>
      <c r="E1889" s="1" t="s">
        <v>32</v>
      </c>
      <c r="F1889" s="1" t="s">
        <v>20</v>
      </c>
      <c r="G1889" s="1" t="s">
        <v>2742</v>
      </c>
      <c r="H1889" s="1" t="s">
        <v>22</v>
      </c>
      <c r="I1889" s="1">
        <v>43</v>
      </c>
      <c r="J1889" s="1">
        <v>39422</v>
      </c>
      <c r="K1889" s="1" t="s">
        <v>28</v>
      </c>
      <c r="L1889" s="1" t="s">
        <v>101</v>
      </c>
      <c r="M1889" s="1" t="s">
        <v>35</v>
      </c>
      <c r="N1889" s="1">
        <v>28300</v>
      </c>
      <c r="O1889" s="12">
        <v>28750</v>
      </c>
      <c r="P1889" s="3" t="s">
        <v>46</v>
      </c>
      <c r="Q1889" s="1" cm="1">
        <f t="array" ref="Q1889">VALUE(INDEX(_xlfn.TEXTSPLIT(P1889, " "), 4))</f>
        <v>2014</v>
      </c>
      <c r="R1889" s="1" t="str">
        <f t="shared" si="29"/>
        <v>BMW 5 Series 535i</v>
      </c>
      <c r="S1889" s="1" t="str" cm="1">
        <f t="array" ref="S1889">_xlfn.IFS(I1889 &gt;= 40, "High", I1889&gt;=20, "Medium", I1889&lt;20, "Low")</f>
        <v>High</v>
      </c>
      <c r="T1889" s="1" t="str" cm="1">
        <f t="array" ref="T1889">_xlfn.IFS(O1889&lt;18200, "Low", O1889&lt;=50000, "Medium", O1889&gt;50000, "High")</f>
        <v>Medium</v>
      </c>
    </row>
    <row r="1890" spans="1:20" x14ac:dyDescent="0.25">
      <c r="A1890" s="2">
        <v>2011</v>
      </c>
      <c r="B1890" s="1" t="s">
        <v>184</v>
      </c>
      <c r="C1890" s="1" t="s">
        <v>1264</v>
      </c>
      <c r="D1890" s="1" t="s">
        <v>54</v>
      </c>
      <c r="E1890" s="1" t="s">
        <v>32</v>
      </c>
      <c r="F1890" s="1" t="s">
        <v>20</v>
      </c>
      <c r="G1890" s="1" t="s">
        <v>2743</v>
      </c>
      <c r="H1890" s="1" t="s">
        <v>22</v>
      </c>
      <c r="I1890" s="1">
        <v>35</v>
      </c>
      <c r="J1890" s="1">
        <v>30431</v>
      </c>
      <c r="K1890" s="1" t="s">
        <v>24</v>
      </c>
      <c r="L1890" s="1" t="s">
        <v>24</v>
      </c>
      <c r="M1890" s="1" t="s">
        <v>1266</v>
      </c>
      <c r="N1890" s="1">
        <v>16350</v>
      </c>
      <c r="O1890" s="12">
        <v>16800</v>
      </c>
      <c r="P1890" s="3" t="s">
        <v>68</v>
      </c>
      <c r="Q1890" s="1" cm="1">
        <f t="array" ref="Q1890">VALUE(INDEX(_xlfn.TEXTSPLIT(P1890, " "), 4))</f>
        <v>2014</v>
      </c>
      <c r="R1890" s="1" t="str">
        <f t="shared" si="29"/>
        <v>Acura TSX Base</v>
      </c>
      <c r="S1890" s="1" t="str" cm="1">
        <f t="array" ref="S1890">_xlfn.IFS(I1890 &gt;= 40, "High", I1890&gt;=20, "Medium", I1890&lt;20, "Low")</f>
        <v>Medium</v>
      </c>
      <c r="T1890" s="1" t="str" cm="1">
        <f t="array" ref="T1890">_xlfn.IFS(O1890&lt;18200, "Low", O1890&lt;=50000, "Medium", O1890&gt;50000, "High")</f>
        <v>Low</v>
      </c>
    </row>
    <row r="1891" spans="1:20" x14ac:dyDescent="0.25">
      <c r="A1891" s="2">
        <v>2011</v>
      </c>
      <c r="B1891" s="1" t="s">
        <v>29</v>
      </c>
      <c r="C1891" s="1" t="s">
        <v>30</v>
      </c>
      <c r="D1891" s="1" t="s">
        <v>1282</v>
      </c>
      <c r="E1891" s="1" t="s">
        <v>32</v>
      </c>
      <c r="F1891" s="1" t="s">
        <v>20</v>
      </c>
      <c r="G1891" s="1" t="s">
        <v>2744</v>
      </c>
      <c r="H1891" s="1" t="s">
        <v>22</v>
      </c>
      <c r="I1891" s="1">
        <v>45</v>
      </c>
      <c r="J1891" s="1">
        <v>36389</v>
      </c>
      <c r="K1891" s="1" t="s">
        <v>34</v>
      </c>
      <c r="L1891" s="1" t="s">
        <v>34</v>
      </c>
      <c r="M1891" s="1" t="s">
        <v>35</v>
      </c>
      <c r="N1891" s="1">
        <v>19200</v>
      </c>
      <c r="O1891" s="12">
        <v>21500</v>
      </c>
      <c r="P1891" s="3" t="s">
        <v>46</v>
      </c>
      <c r="Q1891" s="1" cm="1">
        <f t="array" ref="Q1891">VALUE(INDEX(_xlfn.TEXTSPLIT(P1891, " "), 4))</f>
        <v>2014</v>
      </c>
      <c r="R1891" s="1" t="str">
        <f t="shared" si="29"/>
        <v>BMW 3 Series 328i</v>
      </c>
      <c r="S1891" s="1" t="str" cm="1">
        <f t="array" ref="S1891">_xlfn.IFS(I1891 &gt;= 40, "High", I1891&gt;=20, "Medium", I1891&lt;20, "Low")</f>
        <v>High</v>
      </c>
      <c r="T1891" s="1" t="str" cm="1">
        <f t="array" ref="T1891">_xlfn.IFS(O1891&lt;18200, "Low", O1891&lt;=50000, "Medium", O1891&gt;50000, "High")</f>
        <v>Medium</v>
      </c>
    </row>
    <row r="1892" spans="1:20" x14ac:dyDescent="0.25">
      <c r="A1892" s="2">
        <v>2011</v>
      </c>
      <c r="B1892" s="1" t="s">
        <v>29</v>
      </c>
      <c r="C1892" s="1" t="s">
        <v>30</v>
      </c>
      <c r="D1892" s="1" t="s">
        <v>1282</v>
      </c>
      <c r="E1892" s="1" t="s">
        <v>32</v>
      </c>
      <c r="F1892" s="1" t="s">
        <v>20</v>
      </c>
      <c r="G1892" s="1" t="s">
        <v>2745</v>
      </c>
      <c r="H1892" s="1" t="s">
        <v>22</v>
      </c>
      <c r="I1892" s="1">
        <v>31</v>
      </c>
      <c r="J1892" s="1">
        <v>31785</v>
      </c>
      <c r="K1892" s="1" t="s">
        <v>24</v>
      </c>
      <c r="L1892" s="1" t="s">
        <v>24</v>
      </c>
      <c r="M1892" s="1" t="s">
        <v>35</v>
      </c>
      <c r="N1892" s="1">
        <v>19800</v>
      </c>
      <c r="O1892" s="12">
        <v>21250</v>
      </c>
      <c r="P1892" s="3" t="s">
        <v>46</v>
      </c>
      <c r="Q1892" s="1" cm="1">
        <f t="array" ref="Q1892">VALUE(INDEX(_xlfn.TEXTSPLIT(P1892, " "), 4))</f>
        <v>2014</v>
      </c>
      <c r="R1892" s="1" t="str">
        <f t="shared" si="29"/>
        <v>BMW 3 Series 328i</v>
      </c>
      <c r="S1892" s="1" t="str" cm="1">
        <f t="array" ref="S1892">_xlfn.IFS(I1892 &gt;= 40, "High", I1892&gt;=20, "Medium", I1892&lt;20, "Low")</f>
        <v>Medium</v>
      </c>
      <c r="T1892" s="1" t="str" cm="1">
        <f t="array" ref="T1892">_xlfn.IFS(O1892&lt;18200, "Low", O1892&lt;=50000, "Medium", O1892&gt;50000, "High")</f>
        <v>Medium</v>
      </c>
    </row>
    <row r="1893" spans="1:20" x14ac:dyDescent="0.25">
      <c r="A1893" s="2">
        <v>2012</v>
      </c>
      <c r="B1893" s="1" t="s">
        <v>927</v>
      </c>
      <c r="C1893" s="1" t="s">
        <v>1020</v>
      </c>
      <c r="D1893" s="1" t="s">
        <v>1020</v>
      </c>
      <c r="E1893" s="1" t="s">
        <v>970</v>
      </c>
      <c r="F1893" s="1" t="s">
        <v>20</v>
      </c>
      <c r="G1893" s="1" t="s">
        <v>2746</v>
      </c>
      <c r="H1893" s="1" t="s">
        <v>22</v>
      </c>
      <c r="I1893" s="1">
        <v>42</v>
      </c>
      <c r="J1893" s="1">
        <v>45514</v>
      </c>
      <c r="K1893" s="1" t="s">
        <v>23</v>
      </c>
      <c r="L1893" s="1" t="s">
        <v>34</v>
      </c>
      <c r="M1893" s="1" t="s">
        <v>1096</v>
      </c>
      <c r="N1893" s="1">
        <v>20600</v>
      </c>
      <c r="O1893" s="12">
        <v>21400</v>
      </c>
      <c r="P1893" s="3" t="s">
        <v>1108</v>
      </c>
      <c r="Q1893" s="1" cm="1">
        <f t="array" ref="Q1893">VALUE(INDEX(_xlfn.TEXTSPLIT(P1893, " "), 4))</f>
        <v>2014</v>
      </c>
      <c r="R1893" s="1" t="str">
        <f t="shared" si="29"/>
        <v>Toyota Tundra Tundra</v>
      </c>
      <c r="S1893" s="1" t="str" cm="1">
        <f t="array" ref="S1893">_xlfn.IFS(I1893 &gt;= 40, "High", I1893&gt;=20, "Medium", I1893&lt;20, "Low")</f>
        <v>High</v>
      </c>
      <c r="T1893" s="1" t="str" cm="1">
        <f t="array" ref="T1893">_xlfn.IFS(O1893&lt;18200, "Low", O1893&lt;=50000, "Medium", O1893&gt;50000, "High")</f>
        <v>Medium</v>
      </c>
    </row>
    <row r="1894" spans="1:20" x14ac:dyDescent="0.25">
      <c r="A1894" s="2">
        <v>2012</v>
      </c>
      <c r="B1894" s="1" t="s">
        <v>921</v>
      </c>
      <c r="C1894" s="1" t="s">
        <v>976</v>
      </c>
      <c r="D1894" s="1" t="s">
        <v>923</v>
      </c>
      <c r="E1894" s="1" t="s">
        <v>32</v>
      </c>
      <c r="F1894" s="1" t="s">
        <v>20</v>
      </c>
      <c r="G1894" s="1" t="s">
        <v>2747</v>
      </c>
      <c r="H1894" s="1" t="s">
        <v>22</v>
      </c>
      <c r="I1894" s="1">
        <v>37</v>
      </c>
      <c r="J1894" s="1">
        <v>64675</v>
      </c>
      <c r="K1894" s="1" t="s">
        <v>23</v>
      </c>
      <c r="L1894" s="1" t="s">
        <v>24</v>
      </c>
      <c r="M1894" s="1" t="s">
        <v>847</v>
      </c>
      <c r="N1894" s="1">
        <v>8575</v>
      </c>
      <c r="O1894" s="12">
        <v>8500</v>
      </c>
      <c r="P1894" s="3" t="s">
        <v>26</v>
      </c>
      <c r="Q1894" s="1" cm="1">
        <f t="array" ref="Q1894">VALUE(INDEX(_xlfn.TEXTSPLIT(P1894, " "), 4))</f>
        <v>2014</v>
      </c>
      <c r="R1894" s="1" t="str">
        <f t="shared" si="29"/>
        <v>Volkswagen Jetta SE PZEV</v>
      </c>
      <c r="S1894" s="1" t="str" cm="1">
        <f t="array" ref="S1894">_xlfn.IFS(I1894 &gt;= 40, "High", I1894&gt;=20, "Medium", I1894&lt;20, "Low")</f>
        <v>Medium</v>
      </c>
      <c r="T1894" s="1" t="str" cm="1">
        <f t="array" ref="T1894">_xlfn.IFS(O1894&lt;18200, "Low", O1894&lt;=50000, "Medium", O1894&gt;50000, "High")</f>
        <v>Low</v>
      </c>
    </row>
    <row r="1895" spans="1:20" x14ac:dyDescent="0.25">
      <c r="A1895" s="2">
        <v>2011</v>
      </c>
      <c r="B1895" s="1" t="s">
        <v>29</v>
      </c>
      <c r="C1895" s="1" t="s">
        <v>30</v>
      </c>
      <c r="D1895" s="1" t="s">
        <v>1282</v>
      </c>
      <c r="E1895" s="1" t="s">
        <v>32</v>
      </c>
      <c r="F1895" s="1" t="s">
        <v>20</v>
      </c>
      <c r="G1895" s="1" t="s">
        <v>2748</v>
      </c>
      <c r="H1895" s="1" t="s">
        <v>22</v>
      </c>
      <c r="I1895" s="1">
        <v>29</v>
      </c>
      <c r="J1895" s="1">
        <v>25764</v>
      </c>
      <c r="K1895" s="1" t="s">
        <v>24</v>
      </c>
      <c r="L1895" s="1" t="s">
        <v>34</v>
      </c>
      <c r="M1895" s="1" t="s">
        <v>35</v>
      </c>
      <c r="N1895" s="1">
        <v>19850</v>
      </c>
      <c r="O1895" s="12">
        <v>18600</v>
      </c>
      <c r="P1895" s="3" t="s">
        <v>365</v>
      </c>
      <c r="Q1895" s="1" cm="1">
        <f t="array" ref="Q1895">VALUE(INDEX(_xlfn.TEXTSPLIT(P1895, " "), 4))</f>
        <v>2015</v>
      </c>
      <c r="R1895" s="1" t="str">
        <f t="shared" si="29"/>
        <v>BMW 3 Series 328i</v>
      </c>
      <c r="S1895" s="1" t="str" cm="1">
        <f t="array" ref="S1895">_xlfn.IFS(I1895 &gt;= 40, "High", I1895&gt;=20, "Medium", I1895&lt;20, "Low")</f>
        <v>Medium</v>
      </c>
      <c r="T1895" s="1" t="str" cm="1">
        <f t="array" ref="T1895">_xlfn.IFS(O1895&lt;18200, "Low", O1895&lt;=50000, "Medium", O1895&gt;50000, "High")</f>
        <v>Medium</v>
      </c>
    </row>
    <row r="1896" spans="1:20" x14ac:dyDescent="0.25">
      <c r="A1896" s="2">
        <v>2011</v>
      </c>
      <c r="B1896" s="1" t="s">
        <v>29</v>
      </c>
      <c r="C1896" s="1" t="s">
        <v>30</v>
      </c>
      <c r="D1896" s="1" t="s">
        <v>1282</v>
      </c>
      <c r="E1896" s="1" t="s">
        <v>32</v>
      </c>
      <c r="F1896" s="1" t="s">
        <v>20</v>
      </c>
      <c r="G1896" s="1" t="s">
        <v>2749</v>
      </c>
      <c r="H1896" s="1" t="s">
        <v>22</v>
      </c>
      <c r="I1896" s="1">
        <v>48</v>
      </c>
      <c r="J1896" s="1">
        <v>27985</v>
      </c>
      <c r="K1896" s="1" t="s">
        <v>23</v>
      </c>
      <c r="L1896" s="1" t="s">
        <v>82</v>
      </c>
      <c r="M1896" s="1" t="s">
        <v>35</v>
      </c>
      <c r="N1896" s="1">
        <v>20300</v>
      </c>
      <c r="O1896" s="12">
        <v>21750</v>
      </c>
      <c r="P1896" s="3" t="s">
        <v>46</v>
      </c>
      <c r="Q1896" s="1" cm="1">
        <f t="array" ref="Q1896">VALUE(INDEX(_xlfn.TEXTSPLIT(P1896, " "), 4))</f>
        <v>2014</v>
      </c>
      <c r="R1896" s="1" t="str">
        <f t="shared" si="29"/>
        <v>BMW 3 Series 328i</v>
      </c>
      <c r="S1896" s="1" t="str" cm="1">
        <f t="array" ref="S1896">_xlfn.IFS(I1896 &gt;= 40, "High", I1896&gt;=20, "Medium", I1896&lt;20, "Low")</f>
        <v>High</v>
      </c>
      <c r="T1896" s="1" t="str" cm="1">
        <f t="array" ref="T1896">_xlfn.IFS(O1896&lt;18200, "Low", O1896&lt;=50000, "Medium", O1896&gt;50000, "High")</f>
        <v>Medium</v>
      </c>
    </row>
    <row r="1897" spans="1:20" x14ac:dyDescent="0.25">
      <c r="A1897" s="2">
        <v>2011</v>
      </c>
      <c r="B1897" s="1" t="s">
        <v>29</v>
      </c>
      <c r="C1897" s="1" t="s">
        <v>30</v>
      </c>
      <c r="D1897" s="1" t="s">
        <v>1312</v>
      </c>
      <c r="E1897" s="1" t="s">
        <v>71</v>
      </c>
      <c r="F1897" s="1" t="s">
        <v>20</v>
      </c>
      <c r="G1897" s="1" t="s">
        <v>2750</v>
      </c>
      <c r="H1897" s="1" t="s">
        <v>22</v>
      </c>
      <c r="I1897" s="1">
        <v>34</v>
      </c>
      <c r="J1897" s="1">
        <v>22819</v>
      </c>
      <c r="K1897" s="1" t="s">
        <v>24</v>
      </c>
      <c r="L1897" s="1" t="s">
        <v>24</v>
      </c>
      <c r="M1897" s="1" t="s">
        <v>35</v>
      </c>
      <c r="N1897" s="1">
        <v>29400</v>
      </c>
      <c r="O1897" s="12">
        <v>30250</v>
      </c>
      <c r="P1897" s="3" t="s">
        <v>46</v>
      </c>
      <c r="Q1897" s="1" cm="1">
        <f t="array" ref="Q1897">VALUE(INDEX(_xlfn.TEXTSPLIT(P1897, " "), 4))</f>
        <v>2014</v>
      </c>
      <c r="R1897" s="1" t="str">
        <f t="shared" si="29"/>
        <v>BMW 3 Series 335i</v>
      </c>
      <c r="S1897" s="1" t="str" cm="1">
        <f t="array" ref="S1897">_xlfn.IFS(I1897 &gt;= 40, "High", I1897&gt;=20, "Medium", I1897&lt;20, "Low")</f>
        <v>Medium</v>
      </c>
      <c r="T1897" s="1" t="str" cm="1">
        <f t="array" ref="T1897">_xlfn.IFS(O1897&lt;18200, "Low", O1897&lt;=50000, "Medium", O1897&gt;50000, "High")</f>
        <v>Medium</v>
      </c>
    </row>
    <row r="1898" spans="1:20" x14ac:dyDescent="0.25">
      <c r="A1898" s="2">
        <v>2011</v>
      </c>
      <c r="B1898" s="1" t="s">
        <v>29</v>
      </c>
      <c r="C1898" s="1" t="s">
        <v>30</v>
      </c>
      <c r="D1898" s="1" t="s">
        <v>1282</v>
      </c>
      <c r="E1898" s="1" t="s">
        <v>32</v>
      </c>
      <c r="F1898" s="1" t="s">
        <v>20</v>
      </c>
      <c r="G1898" s="1" t="s">
        <v>2751</v>
      </c>
      <c r="H1898" s="1" t="s">
        <v>22</v>
      </c>
      <c r="I1898" s="1">
        <v>29</v>
      </c>
      <c r="J1898" s="1">
        <v>25339</v>
      </c>
      <c r="K1898" s="1" t="s">
        <v>24</v>
      </c>
      <c r="L1898" s="1" t="s">
        <v>24</v>
      </c>
      <c r="M1898" s="1" t="s">
        <v>35</v>
      </c>
      <c r="N1898" s="1">
        <v>20700</v>
      </c>
      <c r="O1898" s="12">
        <v>21250</v>
      </c>
      <c r="P1898" s="3" t="s">
        <v>46</v>
      </c>
      <c r="Q1898" s="1" cm="1">
        <f t="array" ref="Q1898">VALUE(INDEX(_xlfn.TEXTSPLIT(P1898, " "), 4))</f>
        <v>2014</v>
      </c>
      <c r="R1898" s="1" t="str">
        <f t="shared" si="29"/>
        <v>BMW 3 Series 328i</v>
      </c>
      <c r="S1898" s="1" t="str" cm="1">
        <f t="array" ref="S1898">_xlfn.IFS(I1898 &gt;= 40, "High", I1898&gt;=20, "Medium", I1898&lt;20, "Low")</f>
        <v>Medium</v>
      </c>
      <c r="T1898" s="1" t="str" cm="1">
        <f t="array" ref="T1898">_xlfn.IFS(O1898&lt;18200, "Low", O1898&lt;=50000, "Medium", O1898&gt;50000, "High")</f>
        <v>Medium</v>
      </c>
    </row>
    <row r="1899" spans="1:20" x14ac:dyDescent="0.25">
      <c r="A1899" s="2">
        <v>2012</v>
      </c>
      <c r="B1899" s="1" t="s">
        <v>37</v>
      </c>
      <c r="C1899" s="1" t="s">
        <v>128</v>
      </c>
      <c r="D1899" s="1">
        <v>3.2</v>
      </c>
      <c r="E1899" s="1" t="s">
        <v>130</v>
      </c>
      <c r="F1899" s="1" t="s">
        <v>20</v>
      </c>
      <c r="G1899" s="1" t="s">
        <v>2752</v>
      </c>
      <c r="H1899" s="1" t="s">
        <v>22</v>
      </c>
      <c r="I1899" s="1">
        <v>48</v>
      </c>
      <c r="J1899" s="1">
        <v>27057</v>
      </c>
      <c r="K1899" s="1" t="s">
        <v>23</v>
      </c>
      <c r="L1899" s="1" t="s">
        <v>24</v>
      </c>
      <c r="M1899" s="1" t="s">
        <v>2753</v>
      </c>
      <c r="N1899" s="1">
        <v>26300</v>
      </c>
      <c r="O1899" s="12">
        <v>26750</v>
      </c>
      <c r="P1899" s="3" t="s">
        <v>26</v>
      </c>
      <c r="Q1899" s="1" cm="1">
        <f t="array" ref="Q1899">VALUE(INDEX(_xlfn.TEXTSPLIT(P1899, " "), 4))</f>
        <v>2014</v>
      </c>
      <c r="R1899" s="1" t="str">
        <f t="shared" si="29"/>
        <v>Volvo XC70 3.2</v>
      </c>
      <c r="S1899" s="1" t="str" cm="1">
        <f t="array" ref="S1899">_xlfn.IFS(I1899 &gt;= 40, "High", I1899&gt;=20, "Medium", I1899&lt;20, "Low")</f>
        <v>High</v>
      </c>
      <c r="T1899" s="1" t="str" cm="1">
        <f t="array" ref="T1899">_xlfn.IFS(O1899&lt;18200, "Low", O1899&lt;=50000, "Medium", O1899&gt;50000, "High")</f>
        <v>Medium</v>
      </c>
    </row>
    <row r="1900" spans="1:20" x14ac:dyDescent="0.25">
      <c r="A1900" s="2">
        <v>2011</v>
      </c>
      <c r="B1900" s="1" t="s">
        <v>29</v>
      </c>
      <c r="C1900" s="1" t="s">
        <v>30</v>
      </c>
      <c r="D1900" s="1" t="s">
        <v>1282</v>
      </c>
      <c r="E1900" s="1" t="s">
        <v>32</v>
      </c>
      <c r="F1900" s="1" t="s">
        <v>20</v>
      </c>
      <c r="G1900" s="1" t="s">
        <v>2754</v>
      </c>
      <c r="H1900" s="1" t="s">
        <v>22</v>
      </c>
      <c r="I1900" s="1">
        <v>37</v>
      </c>
      <c r="J1900" s="1">
        <v>36073</v>
      </c>
      <c r="K1900" s="1" t="s">
        <v>34</v>
      </c>
      <c r="L1900" s="1" t="s">
        <v>24</v>
      </c>
      <c r="M1900" s="1" t="s">
        <v>35</v>
      </c>
      <c r="N1900" s="1">
        <v>19250</v>
      </c>
      <c r="O1900" s="12">
        <v>19500</v>
      </c>
      <c r="P1900" s="3" t="s">
        <v>46</v>
      </c>
      <c r="Q1900" s="1" cm="1">
        <f t="array" ref="Q1900">VALUE(INDEX(_xlfn.TEXTSPLIT(P1900, " "), 4))</f>
        <v>2014</v>
      </c>
      <c r="R1900" s="1" t="str">
        <f t="shared" si="29"/>
        <v>BMW 3 Series 328i</v>
      </c>
      <c r="S1900" s="1" t="str" cm="1">
        <f t="array" ref="S1900">_xlfn.IFS(I1900 &gt;= 40, "High", I1900&gt;=20, "Medium", I1900&lt;20, "Low")</f>
        <v>Medium</v>
      </c>
      <c r="T1900" s="1" t="str" cm="1">
        <f t="array" ref="T1900">_xlfn.IFS(O1900&lt;18200, "Low", O1900&lt;=50000, "Medium", O1900&gt;50000, "High")</f>
        <v>Medium</v>
      </c>
    </row>
    <row r="1901" spans="1:20" x14ac:dyDescent="0.25">
      <c r="A1901" s="2">
        <v>2012</v>
      </c>
      <c r="B1901" s="1" t="s">
        <v>37</v>
      </c>
      <c r="C1901" s="1" t="s">
        <v>38</v>
      </c>
      <c r="D1901" s="1" t="s">
        <v>39</v>
      </c>
      <c r="E1901" s="1" t="s">
        <v>32</v>
      </c>
      <c r="F1901" s="1" t="s">
        <v>20</v>
      </c>
      <c r="G1901" s="1" t="s">
        <v>2755</v>
      </c>
      <c r="H1901" s="1" t="s">
        <v>22</v>
      </c>
      <c r="I1901" s="1">
        <v>22</v>
      </c>
      <c r="J1901" s="1">
        <v>20697</v>
      </c>
      <c r="K1901" s="1" t="s">
        <v>23</v>
      </c>
      <c r="L1901" s="1" t="s">
        <v>28</v>
      </c>
      <c r="M1901" s="1" t="s">
        <v>1550</v>
      </c>
      <c r="N1901" s="1">
        <v>17350</v>
      </c>
      <c r="O1901" s="12">
        <v>15750</v>
      </c>
      <c r="P1901" s="3" t="s">
        <v>46</v>
      </c>
      <c r="Q1901" s="1" cm="1">
        <f t="array" ref="Q1901">VALUE(INDEX(_xlfn.TEXTSPLIT(P1901, " "), 4))</f>
        <v>2014</v>
      </c>
      <c r="R1901" s="1" t="str">
        <f t="shared" si="29"/>
        <v>Volvo S60 T5</v>
      </c>
      <c r="S1901" s="1" t="str" cm="1">
        <f t="array" ref="S1901">_xlfn.IFS(I1901 &gt;= 40, "High", I1901&gt;=20, "Medium", I1901&lt;20, "Low")</f>
        <v>Medium</v>
      </c>
      <c r="T1901" s="1" t="str" cm="1">
        <f t="array" ref="T1901">_xlfn.IFS(O1901&lt;18200, "Low", O1901&lt;=50000, "Medium", O1901&gt;50000, "High")</f>
        <v>Low</v>
      </c>
    </row>
    <row r="1902" spans="1:20" x14ac:dyDescent="0.25">
      <c r="A1902" s="2">
        <v>2011</v>
      </c>
      <c r="B1902" s="1" t="s">
        <v>29</v>
      </c>
      <c r="C1902" s="1" t="s">
        <v>30</v>
      </c>
      <c r="D1902" s="1" t="s">
        <v>1282</v>
      </c>
      <c r="E1902" s="1" t="s">
        <v>107</v>
      </c>
      <c r="F1902" s="1" t="s">
        <v>20</v>
      </c>
      <c r="G1902" s="1" t="s">
        <v>2756</v>
      </c>
      <c r="H1902" s="1" t="s">
        <v>22</v>
      </c>
      <c r="I1902" s="1">
        <v>28</v>
      </c>
      <c r="J1902" s="1">
        <v>34092</v>
      </c>
      <c r="K1902" s="1" t="s">
        <v>73</v>
      </c>
      <c r="L1902" s="1" t="s">
        <v>24</v>
      </c>
      <c r="M1902" s="1" t="s">
        <v>35</v>
      </c>
      <c r="N1902" s="1">
        <v>20100</v>
      </c>
      <c r="O1902" s="12">
        <v>18500</v>
      </c>
      <c r="P1902" s="3" t="s">
        <v>42</v>
      </c>
      <c r="Q1902" s="1" cm="1">
        <f t="array" ref="Q1902">VALUE(INDEX(_xlfn.TEXTSPLIT(P1902, " "), 4))</f>
        <v>2015</v>
      </c>
      <c r="R1902" s="1" t="str">
        <f t="shared" si="29"/>
        <v>BMW 3 Series 328i</v>
      </c>
      <c r="S1902" s="1" t="str" cm="1">
        <f t="array" ref="S1902">_xlfn.IFS(I1902 &gt;= 40, "High", I1902&gt;=20, "Medium", I1902&lt;20, "Low")</f>
        <v>Medium</v>
      </c>
      <c r="T1902" s="1" t="str" cm="1">
        <f t="array" ref="T1902">_xlfn.IFS(O1902&lt;18200, "Low", O1902&lt;=50000, "Medium", O1902&gt;50000, "High")</f>
        <v>Medium</v>
      </c>
    </row>
    <row r="1903" spans="1:20" x14ac:dyDescent="0.25">
      <c r="A1903" s="2">
        <v>2012</v>
      </c>
      <c r="B1903" s="1" t="s">
        <v>921</v>
      </c>
      <c r="C1903" s="1" t="s">
        <v>976</v>
      </c>
      <c r="D1903" s="1" t="s">
        <v>54</v>
      </c>
      <c r="E1903" s="1" t="s">
        <v>32</v>
      </c>
      <c r="F1903" s="1" t="s">
        <v>20</v>
      </c>
      <c r="G1903" s="1" t="s">
        <v>2757</v>
      </c>
      <c r="H1903" s="1" t="s">
        <v>22</v>
      </c>
      <c r="I1903" s="1">
        <v>1</v>
      </c>
      <c r="J1903" s="1">
        <v>31935</v>
      </c>
      <c r="K1903" s="1" t="s">
        <v>101</v>
      </c>
      <c r="L1903" s="1" t="s">
        <v>24</v>
      </c>
      <c r="M1903" s="1" t="s">
        <v>925</v>
      </c>
      <c r="N1903" s="1">
        <v>8550</v>
      </c>
      <c r="O1903" s="12">
        <v>7700</v>
      </c>
      <c r="P1903" s="3" t="s">
        <v>84</v>
      </c>
      <c r="Q1903" s="1" cm="1">
        <f t="array" ref="Q1903">VALUE(INDEX(_xlfn.TEXTSPLIT(P1903, " "), 4))</f>
        <v>2014</v>
      </c>
      <c r="R1903" s="1" t="str">
        <f t="shared" si="29"/>
        <v>Volkswagen Jetta Base</v>
      </c>
      <c r="S1903" s="1" t="str" cm="1">
        <f t="array" ref="S1903">_xlfn.IFS(I1903 &gt;= 40, "High", I1903&gt;=20, "Medium", I1903&lt;20, "Low")</f>
        <v>Low</v>
      </c>
      <c r="T1903" s="1" t="str" cm="1">
        <f t="array" ref="T1903">_xlfn.IFS(O1903&lt;18200, "Low", O1903&lt;=50000, "Medium", O1903&gt;50000, "High")</f>
        <v>Low</v>
      </c>
    </row>
    <row r="1904" spans="1:20" x14ac:dyDescent="0.25">
      <c r="A1904" s="2">
        <v>2011</v>
      </c>
      <c r="B1904" s="1" t="s">
        <v>29</v>
      </c>
      <c r="C1904" s="1" t="s">
        <v>30</v>
      </c>
      <c r="D1904" s="1" t="s">
        <v>2603</v>
      </c>
      <c r="E1904" s="1" t="s">
        <v>32</v>
      </c>
      <c r="F1904" s="1" t="s">
        <v>20</v>
      </c>
      <c r="G1904" s="1" t="s">
        <v>2758</v>
      </c>
      <c r="H1904" s="1" t="s">
        <v>22</v>
      </c>
      <c r="I1904" s="1">
        <v>35</v>
      </c>
      <c r="J1904" s="1">
        <v>35158</v>
      </c>
      <c r="K1904" s="1" t="s">
        <v>34</v>
      </c>
      <c r="L1904" s="1" t="s">
        <v>24</v>
      </c>
      <c r="M1904" s="1" t="s">
        <v>35</v>
      </c>
      <c r="N1904" s="1">
        <v>19950</v>
      </c>
      <c r="O1904" s="12">
        <v>18900</v>
      </c>
      <c r="P1904" s="3" t="s">
        <v>46</v>
      </c>
      <c r="Q1904" s="1" cm="1">
        <f t="array" ref="Q1904">VALUE(INDEX(_xlfn.TEXTSPLIT(P1904, " "), 4))</f>
        <v>2014</v>
      </c>
      <c r="R1904" s="1" t="str">
        <f t="shared" si="29"/>
        <v>BMW 3 Series 328i xDrive</v>
      </c>
      <c r="S1904" s="1" t="str" cm="1">
        <f t="array" ref="S1904">_xlfn.IFS(I1904 &gt;= 40, "High", I1904&gt;=20, "Medium", I1904&lt;20, "Low")</f>
        <v>Medium</v>
      </c>
      <c r="T1904" s="1" t="str" cm="1">
        <f t="array" ref="T1904">_xlfn.IFS(O1904&lt;18200, "Low", O1904&lt;=50000, "Medium", O1904&gt;50000, "High")</f>
        <v>Medium</v>
      </c>
    </row>
    <row r="1905" spans="1:20" x14ac:dyDescent="0.25">
      <c r="A1905" s="2">
        <v>2012</v>
      </c>
      <c r="B1905" s="1" t="s">
        <v>921</v>
      </c>
      <c r="C1905" s="1" t="s">
        <v>1092</v>
      </c>
      <c r="D1905" s="1" t="s">
        <v>1093</v>
      </c>
      <c r="E1905" s="1" t="s">
        <v>130</v>
      </c>
      <c r="F1905" s="1" t="s">
        <v>20</v>
      </c>
      <c r="G1905" s="1" t="s">
        <v>2759</v>
      </c>
      <c r="H1905" s="1" t="s">
        <v>22</v>
      </c>
      <c r="I1905" s="1">
        <v>43</v>
      </c>
      <c r="J1905" s="1">
        <v>91794</v>
      </c>
      <c r="K1905" s="1" t="s">
        <v>23</v>
      </c>
      <c r="L1905" s="1" t="s">
        <v>24</v>
      </c>
      <c r="M1905" s="1" t="s">
        <v>1673</v>
      </c>
      <c r="N1905" s="1">
        <v>7025</v>
      </c>
      <c r="O1905" s="12">
        <v>8100</v>
      </c>
      <c r="P1905" s="3" t="s">
        <v>68</v>
      </c>
      <c r="Q1905" s="1" cm="1">
        <f t="array" ref="Q1905">VALUE(INDEX(_xlfn.TEXTSPLIT(P1905, " "), 4))</f>
        <v>2014</v>
      </c>
      <c r="R1905" s="1" t="str">
        <f t="shared" si="29"/>
        <v>Volkswagen Jetta SportWagen S PZEV</v>
      </c>
      <c r="S1905" s="1" t="str" cm="1">
        <f t="array" ref="S1905">_xlfn.IFS(I1905 &gt;= 40, "High", I1905&gt;=20, "Medium", I1905&lt;20, "Low")</f>
        <v>High</v>
      </c>
      <c r="T1905" s="1" t="str" cm="1">
        <f t="array" ref="T1905">_xlfn.IFS(O1905&lt;18200, "Low", O1905&lt;=50000, "Medium", O1905&gt;50000, "High")</f>
        <v>Low</v>
      </c>
    </row>
    <row r="1906" spans="1:20" x14ac:dyDescent="0.25">
      <c r="A1906" s="2">
        <v>2011</v>
      </c>
      <c r="B1906" s="1" t="s">
        <v>29</v>
      </c>
      <c r="C1906" s="1" t="s">
        <v>30</v>
      </c>
      <c r="D1906" s="1" t="s">
        <v>1282</v>
      </c>
      <c r="E1906" s="1" t="s">
        <v>107</v>
      </c>
      <c r="F1906" s="1" t="s">
        <v>20</v>
      </c>
      <c r="G1906" s="1" t="s">
        <v>2760</v>
      </c>
      <c r="H1906" s="1" t="s">
        <v>22</v>
      </c>
      <c r="I1906" s="1">
        <v>21</v>
      </c>
      <c r="J1906" s="1">
        <v>49662</v>
      </c>
      <c r="K1906" s="1" t="s">
        <v>34</v>
      </c>
      <c r="L1906" s="1" t="s">
        <v>24</v>
      </c>
      <c r="M1906" s="1" t="s">
        <v>35</v>
      </c>
      <c r="N1906" s="1">
        <v>18900</v>
      </c>
      <c r="O1906" s="12">
        <v>18000</v>
      </c>
      <c r="P1906" s="3" t="s">
        <v>173</v>
      </c>
      <c r="Q1906" s="1" cm="1">
        <f t="array" ref="Q1906">VALUE(INDEX(_xlfn.TEXTSPLIT(P1906, " "), 4))</f>
        <v>2015</v>
      </c>
      <c r="R1906" s="1" t="str">
        <f t="shared" si="29"/>
        <v>BMW 3 Series 328i</v>
      </c>
      <c r="S1906" s="1" t="str" cm="1">
        <f t="array" ref="S1906">_xlfn.IFS(I1906 &gt;= 40, "High", I1906&gt;=20, "Medium", I1906&lt;20, "Low")</f>
        <v>Medium</v>
      </c>
      <c r="T1906" s="1" t="str" cm="1">
        <f t="array" ref="T1906">_xlfn.IFS(O1906&lt;18200, "Low", O1906&lt;=50000, "Medium", O1906&gt;50000, "High")</f>
        <v>Low</v>
      </c>
    </row>
    <row r="1907" spans="1:20" x14ac:dyDescent="0.25">
      <c r="A1907" s="2">
        <v>2012</v>
      </c>
      <c r="B1907" s="1" t="s">
        <v>921</v>
      </c>
      <c r="C1907" s="1" t="s">
        <v>2621</v>
      </c>
      <c r="D1907" s="1" t="s">
        <v>2622</v>
      </c>
      <c r="E1907" s="1" t="s">
        <v>227</v>
      </c>
      <c r="F1907" s="1" t="s">
        <v>20</v>
      </c>
      <c r="G1907" s="1" t="s">
        <v>2761</v>
      </c>
      <c r="H1907" s="1" t="s">
        <v>22</v>
      </c>
      <c r="I1907" s="1">
        <v>36</v>
      </c>
      <c r="J1907" s="1">
        <v>51067</v>
      </c>
      <c r="K1907" s="1" t="s">
        <v>34</v>
      </c>
      <c r="L1907" s="1" t="s">
        <v>34</v>
      </c>
      <c r="M1907" s="1" t="s">
        <v>1297</v>
      </c>
      <c r="N1907" s="1">
        <v>13850</v>
      </c>
      <c r="O1907" s="12">
        <v>15250</v>
      </c>
      <c r="P1907" s="3" t="s">
        <v>26</v>
      </c>
      <c r="Q1907" s="1" cm="1">
        <f t="array" ref="Q1907">VALUE(INDEX(_xlfn.TEXTSPLIT(P1907, " "), 4))</f>
        <v>2014</v>
      </c>
      <c r="R1907" s="1" t="str">
        <f t="shared" si="29"/>
        <v>Volkswagen GTI PZEV</v>
      </c>
      <c r="S1907" s="1" t="str" cm="1">
        <f t="array" ref="S1907">_xlfn.IFS(I1907 &gt;= 40, "High", I1907&gt;=20, "Medium", I1907&lt;20, "Low")</f>
        <v>Medium</v>
      </c>
      <c r="T1907" s="1" t="str" cm="1">
        <f t="array" ref="T1907">_xlfn.IFS(O1907&lt;18200, "Low", O1907&lt;=50000, "Medium", O1907&gt;50000, "High")</f>
        <v>Low</v>
      </c>
    </row>
    <row r="1908" spans="1:20" x14ac:dyDescent="0.25">
      <c r="A1908" s="2">
        <v>2011</v>
      </c>
      <c r="B1908" s="1" t="s">
        <v>29</v>
      </c>
      <c r="C1908" s="1" t="s">
        <v>30</v>
      </c>
      <c r="D1908" s="1" t="s">
        <v>1282</v>
      </c>
      <c r="E1908" s="1" t="s">
        <v>32</v>
      </c>
      <c r="F1908" s="1" t="s">
        <v>20</v>
      </c>
      <c r="G1908" s="1" t="s">
        <v>2762</v>
      </c>
      <c r="H1908" s="1" t="s">
        <v>22</v>
      </c>
      <c r="I1908" s="1">
        <v>44</v>
      </c>
      <c r="J1908" s="1">
        <v>26145</v>
      </c>
      <c r="K1908" s="1" t="s">
        <v>24</v>
      </c>
      <c r="L1908" s="1" t="s">
        <v>82</v>
      </c>
      <c r="M1908" s="1" t="s">
        <v>35</v>
      </c>
      <c r="N1908" s="1">
        <v>20600</v>
      </c>
      <c r="O1908" s="12">
        <v>21250</v>
      </c>
      <c r="P1908" s="3" t="s">
        <v>46</v>
      </c>
      <c r="Q1908" s="1" cm="1">
        <f t="array" ref="Q1908">VALUE(INDEX(_xlfn.TEXTSPLIT(P1908, " "), 4))</f>
        <v>2014</v>
      </c>
      <c r="R1908" s="1" t="str">
        <f t="shared" si="29"/>
        <v>BMW 3 Series 328i</v>
      </c>
      <c r="S1908" s="1" t="str" cm="1">
        <f t="array" ref="S1908">_xlfn.IFS(I1908 &gt;= 40, "High", I1908&gt;=20, "Medium", I1908&lt;20, "Low")</f>
        <v>High</v>
      </c>
      <c r="T1908" s="1" t="str" cm="1">
        <f t="array" ref="T1908">_xlfn.IFS(O1908&lt;18200, "Low", O1908&lt;=50000, "Medium", O1908&gt;50000, "High")</f>
        <v>Medium</v>
      </c>
    </row>
    <row r="1909" spans="1:20" x14ac:dyDescent="0.25">
      <c r="A1909" s="2">
        <v>2011</v>
      </c>
      <c r="B1909" s="1" t="s">
        <v>29</v>
      </c>
      <c r="C1909" s="1" t="s">
        <v>30</v>
      </c>
      <c r="D1909" s="1" t="s">
        <v>1312</v>
      </c>
      <c r="E1909" s="1" t="s">
        <v>32</v>
      </c>
      <c r="F1909" s="1" t="s">
        <v>20</v>
      </c>
      <c r="G1909" s="1" t="s">
        <v>2763</v>
      </c>
      <c r="H1909" s="1" t="s">
        <v>22</v>
      </c>
      <c r="I1909" s="1">
        <v>41</v>
      </c>
      <c r="J1909" s="1">
        <v>46979</v>
      </c>
      <c r="K1909" s="1" t="s">
        <v>23</v>
      </c>
      <c r="L1909" s="1" t="s">
        <v>24</v>
      </c>
      <c r="M1909" s="1" t="s">
        <v>35</v>
      </c>
      <c r="N1909" s="1">
        <v>23000</v>
      </c>
      <c r="O1909" s="12">
        <v>23000</v>
      </c>
      <c r="P1909" s="3" t="s">
        <v>46</v>
      </c>
      <c r="Q1909" s="1" cm="1">
        <f t="array" ref="Q1909">VALUE(INDEX(_xlfn.TEXTSPLIT(P1909, " "), 4))</f>
        <v>2014</v>
      </c>
      <c r="R1909" s="1" t="str">
        <f t="shared" si="29"/>
        <v>BMW 3 Series 335i</v>
      </c>
      <c r="S1909" s="1" t="str" cm="1">
        <f t="array" ref="S1909">_xlfn.IFS(I1909 &gt;= 40, "High", I1909&gt;=20, "Medium", I1909&lt;20, "Low")</f>
        <v>High</v>
      </c>
      <c r="T1909" s="1" t="str" cm="1">
        <f t="array" ref="T1909">_xlfn.IFS(O1909&lt;18200, "Low", O1909&lt;=50000, "Medium", O1909&gt;50000, "High")</f>
        <v>Medium</v>
      </c>
    </row>
    <row r="1910" spans="1:20" x14ac:dyDescent="0.25">
      <c r="A1910" s="2">
        <v>2011</v>
      </c>
      <c r="B1910" s="1" t="s">
        <v>29</v>
      </c>
      <c r="C1910" s="1" t="s">
        <v>30</v>
      </c>
      <c r="D1910" s="1" t="s">
        <v>1282</v>
      </c>
      <c r="E1910" s="1" t="s">
        <v>32</v>
      </c>
      <c r="F1910" s="1" t="s">
        <v>20</v>
      </c>
      <c r="G1910" s="1" t="s">
        <v>2764</v>
      </c>
      <c r="H1910" s="1" t="s">
        <v>22</v>
      </c>
      <c r="I1910" s="1">
        <v>34</v>
      </c>
      <c r="J1910" s="1">
        <v>29798</v>
      </c>
      <c r="K1910" s="1" t="s">
        <v>24</v>
      </c>
      <c r="L1910" s="1" t="s">
        <v>24</v>
      </c>
      <c r="M1910" s="1" t="s">
        <v>2765</v>
      </c>
      <c r="N1910" s="1">
        <v>20100</v>
      </c>
      <c r="O1910" s="12">
        <v>20500</v>
      </c>
      <c r="P1910" s="3" t="s">
        <v>57</v>
      </c>
      <c r="Q1910" s="1" cm="1">
        <f t="array" ref="Q1910">VALUE(INDEX(_xlfn.TEXTSPLIT(P1910, " "), 4))</f>
        <v>2014</v>
      </c>
      <c r="R1910" s="1" t="str">
        <f t="shared" si="29"/>
        <v>BMW 3 Series 328i</v>
      </c>
      <c r="S1910" s="1" t="str" cm="1">
        <f t="array" ref="S1910">_xlfn.IFS(I1910 &gt;= 40, "High", I1910&gt;=20, "Medium", I1910&lt;20, "Low")</f>
        <v>Medium</v>
      </c>
      <c r="T1910" s="1" t="str" cm="1">
        <f t="array" ref="T1910">_xlfn.IFS(O1910&lt;18200, "Low", O1910&lt;=50000, "Medium", O1910&gt;50000, "High")</f>
        <v>Medium</v>
      </c>
    </row>
    <row r="1911" spans="1:20" x14ac:dyDescent="0.25">
      <c r="A1911" s="2">
        <v>2011</v>
      </c>
      <c r="B1911" s="1" t="s">
        <v>29</v>
      </c>
      <c r="C1911" s="1" t="s">
        <v>30</v>
      </c>
      <c r="D1911" s="1" t="s">
        <v>1282</v>
      </c>
      <c r="E1911" s="1" t="s">
        <v>32</v>
      </c>
      <c r="F1911" s="1" t="s">
        <v>20</v>
      </c>
      <c r="G1911" s="1" t="s">
        <v>2766</v>
      </c>
      <c r="H1911" s="1" t="s">
        <v>22</v>
      </c>
      <c r="I1911" s="1">
        <v>39</v>
      </c>
      <c r="J1911" s="1">
        <v>26763</v>
      </c>
      <c r="K1911" s="1" t="s">
        <v>73</v>
      </c>
      <c r="L1911" s="1" t="s">
        <v>24</v>
      </c>
      <c r="M1911" s="1" t="s">
        <v>35</v>
      </c>
      <c r="N1911" s="1">
        <v>20500</v>
      </c>
      <c r="O1911" s="12">
        <v>22000</v>
      </c>
      <c r="P1911" s="3" t="s">
        <v>46</v>
      </c>
      <c r="Q1911" s="1" cm="1">
        <f t="array" ref="Q1911">VALUE(INDEX(_xlfn.TEXTSPLIT(P1911, " "), 4))</f>
        <v>2014</v>
      </c>
      <c r="R1911" s="1" t="str">
        <f t="shared" si="29"/>
        <v>BMW 3 Series 328i</v>
      </c>
      <c r="S1911" s="1" t="str" cm="1">
        <f t="array" ref="S1911">_xlfn.IFS(I1911 &gt;= 40, "High", I1911&gt;=20, "Medium", I1911&lt;20, "Low")</f>
        <v>Medium</v>
      </c>
      <c r="T1911" s="1" t="str" cm="1">
        <f t="array" ref="T1911">_xlfn.IFS(O1911&lt;18200, "Low", O1911&lt;=50000, "Medium", O1911&gt;50000, "High")</f>
        <v>Medium</v>
      </c>
    </row>
    <row r="1912" spans="1:20" x14ac:dyDescent="0.25">
      <c r="A1912" s="2">
        <v>2011</v>
      </c>
      <c r="B1912" s="1" t="s">
        <v>29</v>
      </c>
      <c r="C1912" s="1" t="s">
        <v>30</v>
      </c>
      <c r="D1912" s="1" t="s">
        <v>1282</v>
      </c>
      <c r="E1912" s="1" t="s">
        <v>32</v>
      </c>
      <c r="F1912" s="1" t="s">
        <v>20</v>
      </c>
      <c r="G1912" s="1" t="s">
        <v>2767</v>
      </c>
      <c r="H1912" s="1" t="s">
        <v>22</v>
      </c>
      <c r="I1912" s="1">
        <v>39</v>
      </c>
      <c r="J1912" s="1">
        <v>46565</v>
      </c>
      <c r="K1912" s="1" t="s">
        <v>34</v>
      </c>
      <c r="L1912" s="1" t="s">
        <v>24</v>
      </c>
      <c r="M1912" s="1" t="s">
        <v>35</v>
      </c>
      <c r="N1912" s="1">
        <v>18300</v>
      </c>
      <c r="O1912" s="12">
        <v>17300</v>
      </c>
      <c r="P1912" s="3" t="s">
        <v>36</v>
      </c>
      <c r="Q1912" s="1" cm="1">
        <f t="array" ref="Q1912">VALUE(INDEX(_xlfn.TEXTSPLIT(P1912, " "), 4))</f>
        <v>2015</v>
      </c>
      <c r="R1912" s="1" t="str">
        <f t="shared" si="29"/>
        <v>BMW 3 Series 328i</v>
      </c>
      <c r="S1912" s="1" t="str" cm="1">
        <f t="array" ref="S1912">_xlfn.IFS(I1912 &gt;= 40, "High", I1912&gt;=20, "Medium", I1912&lt;20, "Low")</f>
        <v>Medium</v>
      </c>
      <c r="T1912" s="1" t="str" cm="1">
        <f t="array" ref="T1912">_xlfn.IFS(O1912&lt;18200, "Low", O1912&lt;=50000, "Medium", O1912&gt;50000, "High")</f>
        <v>Low</v>
      </c>
    </row>
    <row r="1913" spans="1:20" x14ac:dyDescent="0.25">
      <c r="A1913" s="2">
        <v>2011</v>
      </c>
      <c r="B1913" s="1" t="s">
        <v>63</v>
      </c>
      <c r="C1913" s="1" t="s">
        <v>122</v>
      </c>
      <c r="D1913" s="1" t="s">
        <v>2563</v>
      </c>
      <c r="E1913" s="1" t="s">
        <v>130</v>
      </c>
      <c r="F1913" s="1" t="s">
        <v>20</v>
      </c>
      <c r="G1913" s="1" t="s">
        <v>2768</v>
      </c>
      <c r="H1913" s="1" t="s">
        <v>22</v>
      </c>
      <c r="I1913" s="1">
        <v>27</v>
      </c>
      <c r="J1913" s="1">
        <v>43098</v>
      </c>
      <c r="K1913" s="1" t="s">
        <v>101</v>
      </c>
      <c r="L1913" s="1" t="s">
        <v>34</v>
      </c>
      <c r="M1913" s="1" t="s">
        <v>742</v>
      </c>
      <c r="N1913" s="1">
        <v>16050</v>
      </c>
      <c r="O1913" s="12">
        <v>16000</v>
      </c>
      <c r="P1913" s="3" t="s">
        <v>57</v>
      </c>
      <c r="Q1913" s="1" cm="1">
        <f t="array" ref="Q1913">VALUE(INDEX(_xlfn.TEXTSPLIT(P1913, " "), 4))</f>
        <v>2014</v>
      </c>
      <c r="R1913" s="1" t="str">
        <f t="shared" si="29"/>
        <v>Audi A3 2.0T Premium</v>
      </c>
      <c r="S1913" s="1" t="str" cm="1">
        <f t="array" ref="S1913">_xlfn.IFS(I1913 &gt;= 40, "High", I1913&gt;=20, "Medium", I1913&lt;20, "Low")</f>
        <v>Medium</v>
      </c>
      <c r="T1913" s="1" t="str" cm="1">
        <f t="array" ref="T1913">_xlfn.IFS(O1913&lt;18200, "Low", O1913&lt;=50000, "Medium", O1913&gt;50000, "High")</f>
        <v>Low</v>
      </c>
    </row>
    <row r="1914" spans="1:20" x14ac:dyDescent="0.25">
      <c r="A1914" s="2">
        <v>2011</v>
      </c>
      <c r="B1914" s="1" t="s">
        <v>29</v>
      </c>
      <c r="C1914" s="1" t="s">
        <v>117</v>
      </c>
      <c r="D1914" s="1" t="s">
        <v>1500</v>
      </c>
      <c r="E1914" s="1" t="s">
        <v>32</v>
      </c>
      <c r="F1914" s="1" t="s">
        <v>20</v>
      </c>
      <c r="G1914" s="1" t="s">
        <v>2769</v>
      </c>
      <c r="H1914" s="1" t="s">
        <v>22</v>
      </c>
      <c r="I1914" s="1">
        <v>38</v>
      </c>
      <c r="J1914" s="1">
        <v>51203</v>
      </c>
      <c r="K1914" s="1" t="s">
        <v>94</v>
      </c>
      <c r="L1914" s="1" t="s">
        <v>101</v>
      </c>
      <c r="M1914" s="1" t="s">
        <v>35</v>
      </c>
      <c r="N1914" s="1">
        <v>27200</v>
      </c>
      <c r="O1914" s="12">
        <v>26500</v>
      </c>
      <c r="P1914" s="3" t="s">
        <v>46</v>
      </c>
      <c r="Q1914" s="1" cm="1">
        <f t="array" ref="Q1914">VALUE(INDEX(_xlfn.TEXTSPLIT(P1914, " "), 4))</f>
        <v>2014</v>
      </c>
      <c r="R1914" s="1" t="str">
        <f t="shared" si="29"/>
        <v>BMW 5 Series 535i xDrive</v>
      </c>
      <c r="S1914" s="1" t="str" cm="1">
        <f t="array" ref="S1914">_xlfn.IFS(I1914 &gt;= 40, "High", I1914&gt;=20, "Medium", I1914&lt;20, "Low")</f>
        <v>Medium</v>
      </c>
      <c r="T1914" s="1" t="str" cm="1">
        <f t="array" ref="T1914">_xlfn.IFS(O1914&lt;18200, "Low", O1914&lt;=50000, "Medium", O1914&gt;50000, "High")</f>
        <v>Medium</v>
      </c>
    </row>
    <row r="1915" spans="1:20" x14ac:dyDescent="0.25">
      <c r="A1915" s="2">
        <v>2012</v>
      </c>
      <c r="B1915" s="1" t="s">
        <v>37</v>
      </c>
      <c r="C1915" s="1" t="s">
        <v>38</v>
      </c>
      <c r="D1915" s="1" t="s">
        <v>39</v>
      </c>
      <c r="E1915" s="1" t="s">
        <v>32</v>
      </c>
      <c r="F1915" s="1" t="s">
        <v>20</v>
      </c>
      <c r="G1915" s="1" t="s">
        <v>2770</v>
      </c>
      <c r="H1915" s="1" t="s">
        <v>22</v>
      </c>
      <c r="I1915" s="1">
        <v>2</v>
      </c>
      <c r="J1915" s="1">
        <v>52925</v>
      </c>
      <c r="K1915" s="1" t="s">
        <v>34</v>
      </c>
      <c r="L1915" s="1" t="s">
        <v>24</v>
      </c>
      <c r="M1915" s="1" t="s">
        <v>1550</v>
      </c>
      <c r="N1915" s="1">
        <v>14500</v>
      </c>
      <c r="O1915" s="12">
        <v>12750</v>
      </c>
      <c r="P1915" s="3" t="s">
        <v>46</v>
      </c>
      <c r="Q1915" s="1" cm="1">
        <f t="array" ref="Q1915">VALUE(INDEX(_xlfn.TEXTSPLIT(P1915, " "), 4))</f>
        <v>2014</v>
      </c>
      <c r="R1915" s="1" t="str">
        <f t="shared" si="29"/>
        <v>Volvo S60 T5</v>
      </c>
      <c r="S1915" s="1" t="str" cm="1">
        <f t="array" ref="S1915">_xlfn.IFS(I1915 &gt;= 40, "High", I1915&gt;=20, "Medium", I1915&lt;20, "Low")</f>
        <v>Low</v>
      </c>
      <c r="T1915" s="1" t="str" cm="1">
        <f t="array" ref="T1915">_xlfn.IFS(O1915&lt;18200, "Low", O1915&lt;=50000, "Medium", O1915&gt;50000, "High")</f>
        <v>Low</v>
      </c>
    </row>
    <row r="1916" spans="1:20" x14ac:dyDescent="0.25">
      <c r="A1916" s="2">
        <v>2012</v>
      </c>
      <c r="B1916" s="1" t="s">
        <v>921</v>
      </c>
      <c r="C1916" s="1" t="s">
        <v>2593</v>
      </c>
      <c r="D1916" s="1" t="s">
        <v>87</v>
      </c>
      <c r="E1916" s="1" t="s">
        <v>19</v>
      </c>
      <c r="F1916" s="1" t="s">
        <v>20</v>
      </c>
      <c r="G1916" s="1" t="s">
        <v>2771</v>
      </c>
      <c r="H1916" s="1" t="s">
        <v>22</v>
      </c>
      <c r="I1916" s="1">
        <v>1</v>
      </c>
      <c r="J1916" s="1">
        <v>15750</v>
      </c>
      <c r="K1916" s="1" t="s">
        <v>101</v>
      </c>
      <c r="L1916" s="1" t="s">
        <v>28</v>
      </c>
      <c r="M1916" s="1" t="s">
        <v>925</v>
      </c>
      <c r="N1916" s="1">
        <v>16950</v>
      </c>
      <c r="O1916" s="12">
        <v>13900</v>
      </c>
      <c r="P1916" s="3" t="s">
        <v>84</v>
      </c>
      <c r="Q1916" s="1" cm="1">
        <f t="array" ref="Q1916">VALUE(INDEX(_xlfn.TEXTSPLIT(P1916, " "), 4))</f>
        <v>2014</v>
      </c>
      <c r="R1916" s="1" t="str">
        <f t="shared" si="29"/>
        <v>Volkswagen Tiguan SE</v>
      </c>
      <c r="S1916" s="1" t="str" cm="1">
        <f t="array" ref="S1916">_xlfn.IFS(I1916 &gt;= 40, "High", I1916&gt;=20, "Medium", I1916&lt;20, "Low")</f>
        <v>Low</v>
      </c>
      <c r="T1916" s="1" t="str" cm="1">
        <f t="array" ref="T1916">_xlfn.IFS(O1916&lt;18200, "Low", O1916&lt;=50000, "Medium", O1916&gt;50000, "High")</f>
        <v>Low</v>
      </c>
    </row>
    <row r="1917" spans="1:20" x14ac:dyDescent="0.25">
      <c r="A1917" s="2">
        <v>2011</v>
      </c>
      <c r="B1917" s="1" t="s">
        <v>29</v>
      </c>
      <c r="C1917" s="1" t="s">
        <v>30</v>
      </c>
      <c r="D1917" s="1" t="s">
        <v>2716</v>
      </c>
      <c r="E1917" s="1" t="s">
        <v>32</v>
      </c>
      <c r="F1917" s="1" t="s">
        <v>20</v>
      </c>
      <c r="G1917" s="1" t="s">
        <v>2772</v>
      </c>
      <c r="H1917" s="1" t="s">
        <v>22</v>
      </c>
      <c r="I1917" s="1">
        <v>46</v>
      </c>
      <c r="J1917" s="1">
        <v>46258</v>
      </c>
      <c r="K1917" s="1" t="s">
        <v>24</v>
      </c>
      <c r="L1917" s="1" t="s">
        <v>24</v>
      </c>
      <c r="M1917" s="1" t="s">
        <v>35</v>
      </c>
      <c r="N1917" s="1">
        <v>21200</v>
      </c>
      <c r="O1917" s="12">
        <v>22250</v>
      </c>
      <c r="P1917" s="3" t="s">
        <v>46</v>
      </c>
      <c r="Q1917" s="1" cm="1">
        <f t="array" ref="Q1917">VALUE(INDEX(_xlfn.TEXTSPLIT(P1917, " "), 4))</f>
        <v>2014</v>
      </c>
      <c r="R1917" s="1" t="str">
        <f t="shared" si="29"/>
        <v>BMW 3 Series 335d</v>
      </c>
      <c r="S1917" s="1" t="str" cm="1">
        <f t="array" ref="S1917">_xlfn.IFS(I1917 &gt;= 40, "High", I1917&gt;=20, "Medium", I1917&lt;20, "Low")</f>
        <v>High</v>
      </c>
      <c r="T1917" s="1" t="str" cm="1">
        <f t="array" ref="T1917">_xlfn.IFS(O1917&lt;18200, "Low", O1917&lt;=50000, "Medium", O1917&gt;50000, "High")</f>
        <v>Medium</v>
      </c>
    </row>
    <row r="1918" spans="1:20" x14ac:dyDescent="0.25">
      <c r="A1918" s="2">
        <v>2011</v>
      </c>
      <c r="B1918" s="1" t="s">
        <v>29</v>
      </c>
      <c r="C1918" s="1" t="s">
        <v>30</v>
      </c>
      <c r="D1918" s="1" t="s">
        <v>1280</v>
      </c>
      <c r="E1918" s="1" t="s">
        <v>71</v>
      </c>
      <c r="F1918" s="1" t="s">
        <v>20</v>
      </c>
      <c r="G1918" s="1" t="s">
        <v>2773</v>
      </c>
      <c r="H1918" s="1" t="s">
        <v>22</v>
      </c>
      <c r="I1918" s="1">
        <v>43</v>
      </c>
      <c r="J1918" s="1">
        <v>40681</v>
      </c>
      <c r="K1918" s="1" t="s">
        <v>24</v>
      </c>
      <c r="L1918" s="1" t="s">
        <v>101</v>
      </c>
      <c r="M1918" s="1" t="s">
        <v>35</v>
      </c>
      <c r="N1918" s="1">
        <v>29900</v>
      </c>
      <c r="O1918" s="12">
        <v>30000</v>
      </c>
      <c r="P1918" s="3" t="s">
        <v>46</v>
      </c>
      <c r="Q1918" s="1" cm="1">
        <f t="array" ref="Q1918">VALUE(INDEX(_xlfn.TEXTSPLIT(P1918, " "), 4))</f>
        <v>2014</v>
      </c>
      <c r="R1918" s="1" t="str">
        <f t="shared" si="29"/>
        <v>BMW 3 Series 335is</v>
      </c>
      <c r="S1918" s="1" t="str" cm="1">
        <f t="array" ref="S1918">_xlfn.IFS(I1918 &gt;= 40, "High", I1918&gt;=20, "Medium", I1918&lt;20, "Low")</f>
        <v>High</v>
      </c>
      <c r="T1918" s="1" t="str" cm="1">
        <f t="array" ref="T1918">_xlfn.IFS(O1918&lt;18200, "Low", O1918&lt;=50000, "Medium", O1918&gt;50000, "High")</f>
        <v>Medium</v>
      </c>
    </row>
    <row r="1919" spans="1:20" x14ac:dyDescent="0.25">
      <c r="A1919" s="2">
        <v>2011</v>
      </c>
      <c r="B1919" s="1" t="s">
        <v>29</v>
      </c>
      <c r="C1919" s="1" t="s">
        <v>30</v>
      </c>
      <c r="D1919" s="1" t="s">
        <v>1282</v>
      </c>
      <c r="E1919" s="1" t="s">
        <v>32</v>
      </c>
      <c r="F1919" s="1" t="s">
        <v>20</v>
      </c>
      <c r="G1919" s="1" t="s">
        <v>2774</v>
      </c>
      <c r="H1919" s="1" t="s">
        <v>22</v>
      </c>
      <c r="I1919" s="1">
        <v>48</v>
      </c>
      <c r="J1919" s="1">
        <v>27373</v>
      </c>
      <c r="K1919" s="1" t="s">
        <v>23</v>
      </c>
      <c r="L1919" s="1" t="s">
        <v>28</v>
      </c>
      <c r="M1919" s="1" t="s">
        <v>35</v>
      </c>
      <c r="N1919" s="1">
        <v>20700</v>
      </c>
      <c r="O1919" s="12">
        <v>18500</v>
      </c>
      <c r="P1919" s="3" t="s">
        <v>36</v>
      </c>
      <c r="Q1919" s="1" cm="1">
        <f t="array" ref="Q1919">VALUE(INDEX(_xlfn.TEXTSPLIT(P1919, " "), 4))</f>
        <v>2015</v>
      </c>
      <c r="R1919" s="1" t="str">
        <f t="shared" si="29"/>
        <v>BMW 3 Series 328i</v>
      </c>
      <c r="S1919" s="1" t="str" cm="1">
        <f t="array" ref="S1919">_xlfn.IFS(I1919 &gt;= 40, "High", I1919&gt;=20, "Medium", I1919&lt;20, "Low")</f>
        <v>High</v>
      </c>
      <c r="T1919" s="1" t="str" cm="1">
        <f t="array" ref="T1919">_xlfn.IFS(O1919&lt;18200, "Low", O1919&lt;=50000, "Medium", O1919&gt;50000, "High")</f>
        <v>Medium</v>
      </c>
    </row>
    <row r="1920" spans="1:20" x14ac:dyDescent="0.25">
      <c r="A1920" s="2">
        <v>2011</v>
      </c>
      <c r="B1920" s="1" t="s">
        <v>29</v>
      </c>
      <c r="C1920" s="1" t="s">
        <v>117</v>
      </c>
      <c r="D1920" s="1" t="s">
        <v>1292</v>
      </c>
      <c r="E1920" s="1" t="s">
        <v>32</v>
      </c>
      <c r="F1920" s="1" t="s">
        <v>20</v>
      </c>
      <c r="G1920" s="1" t="s">
        <v>2775</v>
      </c>
      <c r="H1920" s="1" t="s">
        <v>22</v>
      </c>
      <c r="I1920" s="1">
        <v>46</v>
      </c>
      <c r="J1920" s="1">
        <v>21645</v>
      </c>
      <c r="K1920" s="1" t="s">
        <v>24</v>
      </c>
      <c r="L1920" s="1" t="s">
        <v>24</v>
      </c>
      <c r="M1920" s="1" t="s">
        <v>35</v>
      </c>
      <c r="N1920" s="1">
        <v>30800</v>
      </c>
      <c r="O1920" s="12">
        <v>34500</v>
      </c>
      <c r="P1920" s="3" t="s">
        <v>46</v>
      </c>
      <c r="Q1920" s="1" cm="1">
        <f t="array" ref="Q1920">VALUE(INDEX(_xlfn.TEXTSPLIT(P1920, " "), 4))</f>
        <v>2014</v>
      </c>
      <c r="R1920" s="1" t="str">
        <f t="shared" si="29"/>
        <v>BMW 5 Series 535i</v>
      </c>
      <c r="S1920" s="1" t="str" cm="1">
        <f t="array" ref="S1920">_xlfn.IFS(I1920 &gt;= 40, "High", I1920&gt;=20, "Medium", I1920&lt;20, "Low")</f>
        <v>High</v>
      </c>
      <c r="T1920" s="1" t="str" cm="1">
        <f t="array" ref="T1920">_xlfn.IFS(O1920&lt;18200, "Low", O1920&lt;=50000, "Medium", O1920&gt;50000, "High")</f>
        <v>Medium</v>
      </c>
    </row>
    <row r="1921" spans="1:20" x14ac:dyDescent="0.25">
      <c r="A1921" s="2">
        <v>2012</v>
      </c>
      <c r="B1921" s="1" t="s">
        <v>921</v>
      </c>
      <c r="C1921" s="1" t="s">
        <v>922</v>
      </c>
      <c r="D1921" s="1" t="s">
        <v>1093</v>
      </c>
      <c r="E1921" s="1" t="s">
        <v>32</v>
      </c>
      <c r="F1921" s="1"/>
      <c r="G1921" s="1" t="s">
        <v>2776</v>
      </c>
      <c r="H1921" s="1" t="s">
        <v>22</v>
      </c>
      <c r="I1921" s="1">
        <v>29</v>
      </c>
      <c r="J1921" s="1">
        <v>33112</v>
      </c>
      <c r="K1921" s="1" t="s">
        <v>34</v>
      </c>
      <c r="L1921" s="1" t="s">
        <v>24</v>
      </c>
      <c r="M1921" s="1" t="s">
        <v>377</v>
      </c>
      <c r="N1921" s="1">
        <v>10150</v>
      </c>
      <c r="O1921" s="12">
        <v>9900</v>
      </c>
      <c r="P1921" s="3" t="s">
        <v>57</v>
      </c>
      <c r="Q1921" s="1" cm="1">
        <f t="array" ref="Q1921">VALUE(INDEX(_xlfn.TEXTSPLIT(P1921, " "), 4))</f>
        <v>2014</v>
      </c>
      <c r="R1921" s="1" t="str">
        <f t="shared" si="29"/>
        <v>Volkswagen Passat S PZEV</v>
      </c>
      <c r="S1921" s="1" t="str" cm="1">
        <f t="array" ref="S1921">_xlfn.IFS(I1921 &gt;= 40, "High", I1921&gt;=20, "Medium", I1921&lt;20, "Low")</f>
        <v>Medium</v>
      </c>
      <c r="T1921" s="1" t="str" cm="1">
        <f t="array" ref="T1921">_xlfn.IFS(O1921&lt;18200, "Low", O1921&lt;=50000, "Medium", O1921&gt;50000, "High")</f>
        <v>Low</v>
      </c>
    </row>
    <row r="1922" spans="1:20" x14ac:dyDescent="0.25">
      <c r="A1922" s="2">
        <v>2011</v>
      </c>
      <c r="B1922" s="1" t="s">
        <v>29</v>
      </c>
      <c r="C1922" s="1" t="s">
        <v>30</v>
      </c>
      <c r="D1922" s="1" t="s">
        <v>1282</v>
      </c>
      <c r="E1922" s="1" t="s">
        <v>71</v>
      </c>
      <c r="F1922" s="1" t="s">
        <v>20</v>
      </c>
      <c r="G1922" s="1" t="s">
        <v>2777</v>
      </c>
      <c r="H1922" s="1" t="s">
        <v>22</v>
      </c>
      <c r="I1922" s="1">
        <v>46</v>
      </c>
      <c r="J1922" s="1">
        <v>30816</v>
      </c>
      <c r="K1922" s="1" t="s">
        <v>34</v>
      </c>
      <c r="L1922" s="1" t="s">
        <v>24</v>
      </c>
      <c r="M1922" s="1" t="s">
        <v>35</v>
      </c>
      <c r="N1922" s="1">
        <v>25500</v>
      </c>
      <c r="O1922" s="12">
        <v>23500</v>
      </c>
      <c r="P1922" s="3" t="s">
        <v>36</v>
      </c>
      <c r="Q1922" s="1" cm="1">
        <f t="array" ref="Q1922">VALUE(INDEX(_xlfn.TEXTSPLIT(P1922, " "), 4))</f>
        <v>2015</v>
      </c>
      <c r="R1922" s="1" t="str">
        <f t="shared" si="29"/>
        <v>BMW 3 Series 328i</v>
      </c>
      <c r="S1922" s="1" t="str" cm="1">
        <f t="array" ref="S1922">_xlfn.IFS(I1922 &gt;= 40, "High", I1922&gt;=20, "Medium", I1922&lt;20, "Low")</f>
        <v>High</v>
      </c>
      <c r="T1922" s="1" t="str" cm="1">
        <f t="array" ref="T1922">_xlfn.IFS(O1922&lt;18200, "Low", O1922&lt;=50000, "Medium", O1922&gt;50000, "High")</f>
        <v>Medium</v>
      </c>
    </row>
    <row r="1923" spans="1:20" x14ac:dyDescent="0.25">
      <c r="A1923" s="2">
        <v>2011</v>
      </c>
      <c r="B1923" s="1" t="s">
        <v>29</v>
      </c>
      <c r="C1923" s="1" t="s">
        <v>30</v>
      </c>
      <c r="D1923" s="1" t="s">
        <v>2603</v>
      </c>
      <c r="E1923" s="1" t="s">
        <v>32</v>
      </c>
      <c r="F1923" s="1" t="s">
        <v>20</v>
      </c>
      <c r="G1923" s="1" t="s">
        <v>2778</v>
      </c>
      <c r="H1923" s="1" t="s">
        <v>22</v>
      </c>
      <c r="I1923" s="1">
        <v>44</v>
      </c>
      <c r="J1923" s="1">
        <v>29932</v>
      </c>
      <c r="K1923" s="1" t="s">
        <v>94</v>
      </c>
      <c r="L1923" s="1" t="s">
        <v>82</v>
      </c>
      <c r="M1923" s="1" t="s">
        <v>35</v>
      </c>
      <c r="N1923" s="1">
        <v>20500</v>
      </c>
      <c r="O1923" s="12">
        <v>20500</v>
      </c>
      <c r="P1923" s="3" t="s">
        <v>46</v>
      </c>
      <c r="Q1923" s="1" cm="1">
        <f t="array" ref="Q1923">VALUE(INDEX(_xlfn.TEXTSPLIT(P1923, " "), 4))</f>
        <v>2014</v>
      </c>
      <c r="R1923" s="1" t="str">
        <f t="shared" ref="R1923:R1986" si="30">_xlfn.TEXTJOIN(" ", TRUE, B1923, C1923, D1923)</f>
        <v>BMW 3 Series 328i xDrive</v>
      </c>
      <c r="S1923" s="1" t="str" cm="1">
        <f t="array" ref="S1923">_xlfn.IFS(I1923 &gt;= 40, "High", I1923&gt;=20, "Medium", I1923&lt;20, "Low")</f>
        <v>High</v>
      </c>
      <c r="T1923" s="1" t="str" cm="1">
        <f t="array" ref="T1923">_xlfn.IFS(O1923&lt;18200, "Low", O1923&lt;=50000, "Medium", O1923&gt;50000, "High")</f>
        <v>Medium</v>
      </c>
    </row>
    <row r="1924" spans="1:20" x14ac:dyDescent="0.25">
      <c r="A1924" s="2">
        <v>2011</v>
      </c>
      <c r="B1924" s="1" t="s">
        <v>29</v>
      </c>
      <c r="C1924" s="1" t="s">
        <v>30</v>
      </c>
      <c r="D1924" s="1" t="s">
        <v>2603</v>
      </c>
      <c r="E1924" s="1" t="s">
        <v>32</v>
      </c>
      <c r="F1924" s="1" t="s">
        <v>20</v>
      </c>
      <c r="G1924" s="1" t="s">
        <v>2779</v>
      </c>
      <c r="H1924" s="1" t="s">
        <v>22</v>
      </c>
      <c r="I1924" s="1">
        <v>43</v>
      </c>
      <c r="J1924" s="1">
        <v>30185</v>
      </c>
      <c r="K1924" s="1" t="s">
        <v>24</v>
      </c>
      <c r="L1924" s="1" t="s">
        <v>24</v>
      </c>
      <c r="M1924" s="1" t="s">
        <v>35</v>
      </c>
      <c r="N1924" s="1">
        <v>20500</v>
      </c>
      <c r="O1924" s="12">
        <v>20500</v>
      </c>
      <c r="P1924" s="3" t="s">
        <v>46</v>
      </c>
      <c r="Q1924" s="1" cm="1">
        <f t="array" ref="Q1924">VALUE(INDEX(_xlfn.TEXTSPLIT(P1924, " "), 4))</f>
        <v>2014</v>
      </c>
      <c r="R1924" s="1" t="str">
        <f t="shared" si="30"/>
        <v>BMW 3 Series 328i xDrive</v>
      </c>
      <c r="S1924" s="1" t="str" cm="1">
        <f t="array" ref="S1924">_xlfn.IFS(I1924 &gt;= 40, "High", I1924&gt;=20, "Medium", I1924&lt;20, "Low")</f>
        <v>High</v>
      </c>
      <c r="T1924" s="1" t="str" cm="1">
        <f t="array" ref="T1924">_xlfn.IFS(O1924&lt;18200, "Low", O1924&lt;=50000, "Medium", O1924&gt;50000, "High")</f>
        <v>Medium</v>
      </c>
    </row>
    <row r="1925" spans="1:20" x14ac:dyDescent="0.25">
      <c r="A1925" s="2">
        <v>2012</v>
      </c>
      <c r="B1925" s="1" t="s">
        <v>37</v>
      </c>
      <c r="C1925" s="1" t="s">
        <v>38</v>
      </c>
      <c r="D1925" s="1" t="s">
        <v>39</v>
      </c>
      <c r="E1925" s="1" t="s">
        <v>32</v>
      </c>
      <c r="F1925" s="1" t="s">
        <v>20</v>
      </c>
      <c r="G1925" s="1" t="s">
        <v>2780</v>
      </c>
      <c r="H1925" s="1" t="s">
        <v>22</v>
      </c>
      <c r="I1925" s="1">
        <v>42</v>
      </c>
      <c r="J1925" s="1">
        <v>43827</v>
      </c>
      <c r="K1925" s="1" t="s">
        <v>23</v>
      </c>
      <c r="L1925" s="1" t="s">
        <v>24</v>
      </c>
      <c r="M1925" s="1" t="s">
        <v>1606</v>
      </c>
      <c r="N1925" s="1">
        <v>15500</v>
      </c>
      <c r="O1925" s="12">
        <v>16500</v>
      </c>
      <c r="P1925" s="3" t="s">
        <v>26</v>
      </c>
      <c r="Q1925" s="1" cm="1">
        <f t="array" ref="Q1925">VALUE(INDEX(_xlfn.TEXTSPLIT(P1925, " "), 4))</f>
        <v>2014</v>
      </c>
      <c r="R1925" s="1" t="str">
        <f t="shared" si="30"/>
        <v>Volvo S60 T5</v>
      </c>
      <c r="S1925" s="1" t="str" cm="1">
        <f t="array" ref="S1925">_xlfn.IFS(I1925 &gt;= 40, "High", I1925&gt;=20, "Medium", I1925&lt;20, "Low")</f>
        <v>High</v>
      </c>
      <c r="T1925" s="1" t="str" cm="1">
        <f t="array" ref="T1925">_xlfn.IFS(O1925&lt;18200, "Low", O1925&lt;=50000, "Medium", O1925&gt;50000, "High")</f>
        <v>Low</v>
      </c>
    </row>
    <row r="1926" spans="1:20" x14ac:dyDescent="0.25">
      <c r="A1926" s="2">
        <v>2011</v>
      </c>
      <c r="B1926" s="1" t="s">
        <v>29</v>
      </c>
      <c r="C1926" s="1" t="s">
        <v>30</v>
      </c>
      <c r="D1926" s="1" t="s">
        <v>1282</v>
      </c>
      <c r="E1926" s="1" t="s">
        <v>32</v>
      </c>
      <c r="F1926" s="1" t="s">
        <v>20</v>
      </c>
      <c r="G1926" s="1" t="s">
        <v>2781</v>
      </c>
      <c r="H1926" s="1" t="s">
        <v>22</v>
      </c>
      <c r="I1926" s="1">
        <v>4</v>
      </c>
      <c r="J1926" s="1">
        <v>35905</v>
      </c>
      <c r="K1926" s="1" t="s">
        <v>23</v>
      </c>
      <c r="L1926" s="1" t="s">
        <v>24</v>
      </c>
      <c r="M1926" s="1" t="s">
        <v>35</v>
      </c>
      <c r="N1926" s="1">
        <v>19250</v>
      </c>
      <c r="O1926" s="12">
        <v>20250</v>
      </c>
      <c r="P1926" s="3" t="s">
        <v>46</v>
      </c>
      <c r="Q1926" s="1" cm="1">
        <f t="array" ref="Q1926">VALUE(INDEX(_xlfn.TEXTSPLIT(P1926, " "), 4))</f>
        <v>2014</v>
      </c>
      <c r="R1926" s="1" t="str">
        <f t="shared" si="30"/>
        <v>BMW 3 Series 328i</v>
      </c>
      <c r="S1926" s="1" t="str" cm="1">
        <f t="array" ref="S1926">_xlfn.IFS(I1926 &gt;= 40, "High", I1926&gt;=20, "Medium", I1926&lt;20, "Low")</f>
        <v>Low</v>
      </c>
      <c r="T1926" s="1" t="str" cm="1">
        <f t="array" ref="T1926">_xlfn.IFS(O1926&lt;18200, "Low", O1926&lt;=50000, "Medium", O1926&gt;50000, "High")</f>
        <v>Medium</v>
      </c>
    </row>
    <row r="1927" spans="1:20" x14ac:dyDescent="0.25">
      <c r="A1927" s="2">
        <v>2011</v>
      </c>
      <c r="B1927" s="1" t="s">
        <v>29</v>
      </c>
      <c r="C1927" s="1" t="s">
        <v>30</v>
      </c>
      <c r="D1927" s="1" t="s">
        <v>1282</v>
      </c>
      <c r="E1927" s="1" t="s">
        <v>32</v>
      </c>
      <c r="F1927" s="1" t="s">
        <v>20</v>
      </c>
      <c r="G1927" s="1" t="s">
        <v>2782</v>
      </c>
      <c r="H1927" s="1" t="s">
        <v>22</v>
      </c>
      <c r="I1927" s="1">
        <v>47</v>
      </c>
      <c r="J1927" s="1">
        <v>50414</v>
      </c>
      <c r="K1927" s="1" t="s">
        <v>23</v>
      </c>
      <c r="L1927" s="1" t="s">
        <v>34</v>
      </c>
      <c r="M1927" s="1" t="s">
        <v>35</v>
      </c>
      <c r="N1927" s="1">
        <v>17300</v>
      </c>
      <c r="O1927" s="12">
        <v>18000</v>
      </c>
      <c r="P1927" s="3" t="s">
        <v>46</v>
      </c>
      <c r="Q1927" s="1" cm="1">
        <f t="array" ref="Q1927">VALUE(INDEX(_xlfn.TEXTSPLIT(P1927, " "), 4))</f>
        <v>2014</v>
      </c>
      <c r="R1927" s="1" t="str">
        <f t="shared" si="30"/>
        <v>BMW 3 Series 328i</v>
      </c>
      <c r="S1927" s="1" t="str" cm="1">
        <f t="array" ref="S1927">_xlfn.IFS(I1927 &gt;= 40, "High", I1927&gt;=20, "Medium", I1927&lt;20, "Low")</f>
        <v>High</v>
      </c>
      <c r="T1927" s="1" t="str" cm="1">
        <f t="array" ref="T1927">_xlfn.IFS(O1927&lt;18200, "Low", O1927&lt;=50000, "Medium", O1927&gt;50000, "High")</f>
        <v>Low</v>
      </c>
    </row>
    <row r="1928" spans="1:20" x14ac:dyDescent="0.25">
      <c r="A1928" s="2">
        <v>2012</v>
      </c>
      <c r="B1928" s="1" t="s">
        <v>927</v>
      </c>
      <c r="C1928" s="1" t="s">
        <v>2783</v>
      </c>
      <c r="D1928" s="1" t="s">
        <v>54</v>
      </c>
      <c r="E1928" s="1" t="s">
        <v>227</v>
      </c>
      <c r="F1928" s="1" t="s">
        <v>20</v>
      </c>
      <c r="G1928" s="1" t="s">
        <v>2784</v>
      </c>
      <c r="H1928" s="1" t="s">
        <v>22</v>
      </c>
      <c r="I1928" s="1">
        <v>37</v>
      </c>
      <c r="J1928" s="1">
        <v>46288</v>
      </c>
      <c r="K1928" s="1" t="s">
        <v>549</v>
      </c>
      <c r="L1928" s="1" t="s">
        <v>34</v>
      </c>
      <c r="M1928" s="1" t="s">
        <v>1561</v>
      </c>
      <c r="N1928" s="1">
        <v>16800</v>
      </c>
      <c r="O1928" s="12">
        <v>22200</v>
      </c>
      <c r="P1928" s="3" t="s">
        <v>783</v>
      </c>
      <c r="Q1928" s="1" cm="1">
        <f t="array" ref="Q1928">VALUE(INDEX(_xlfn.TEXTSPLIT(P1928, " "), 4))</f>
        <v>2015</v>
      </c>
      <c r="R1928" s="1" t="str">
        <f t="shared" si="30"/>
        <v>Toyota Prius Plug-in Base</v>
      </c>
      <c r="S1928" s="1" t="str" cm="1">
        <f t="array" ref="S1928">_xlfn.IFS(I1928 &gt;= 40, "High", I1928&gt;=20, "Medium", I1928&lt;20, "Low")</f>
        <v>Medium</v>
      </c>
      <c r="T1928" s="1" t="str" cm="1">
        <f t="array" ref="T1928">_xlfn.IFS(O1928&lt;18200, "Low", O1928&lt;=50000, "Medium", O1928&gt;50000, "High")</f>
        <v>Medium</v>
      </c>
    </row>
    <row r="1929" spans="1:20" x14ac:dyDescent="0.25">
      <c r="A1929" s="2">
        <v>2012</v>
      </c>
      <c r="B1929" s="1" t="s">
        <v>927</v>
      </c>
      <c r="C1929" s="1" t="s">
        <v>928</v>
      </c>
      <c r="D1929" s="1" t="s">
        <v>936</v>
      </c>
      <c r="E1929" s="1" t="s">
        <v>32</v>
      </c>
      <c r="F1929" s="1" t="s">
        <v>20</v>
      </c>
      <c r="G1929" s="1" t="s">
        <v>2785</v>
      </c>
      <c r="H1929" s="1" t="s">
        <v>22</v>
      </c>
      <c r="I1929" s="1">
        <v>32</v>
      </c>
      <c r="J1929" s="1">
        <v>46204</v>
      </c>
      <c r="K1929" s="1" t="s">
        <v>34</v>
      </c>
      <c r="L1929" s="1" t="s">
        <v>24</v>
      </c>
      <c r="M1929" s="1" t="s">
        <v>1096</v>
      </c>
      <c r="N1929" s="1">
        <v>11450</v>
      </c>
      <c r="O1929" s="12">
        <v>10900</v>
      </c>
      <c r="P1929" s="3" t="s">
        <v>1097</v>
      </c>
      <c r="Q1929" s="1" cm="1">
        <f t="array" ref="Q1929">VALUE(INDEX(_xlfn.TEXTSPLIT(P1929, " "), 4))</f>
        <v>2014</v>
      </c>
      <c r="R1929" s="1" t="str">
        <f t="shared" si="30"/>
        <v>Toyota Corolla S</v>
      </c>
      <c r="S1929" s="1" t="str" cm="1">
        <f t="array" ref="S1929">_xlfn.IFS(I1929 &gt;= 40, "High", I1929&gt;=20, "Medium", I1929&lt;20, "Low")</f>
        <v>Medium</v>
      </c>
      <c r="T1929" s="1" t="str" cm="1">
        <f t="array" ref="T1929">_xlfn.IFS(O1929&lt;18200, "Low", O1929&lt;=50000, "Medium", O1929&gt;50000, "High")</f>
        <v>Low</v>
      </c>
    </row>
    <row r="1930" spans="1:20" x14ac:dyDescent="0.25">
      <c r="A1930" s="2">
        <v>2011</v>
      </c>
      <c r="B1930" s="1" t="s">
        <v>63</v>
      </c>
      <c r="C1930" s="1" t="s">
        <v>64</v>
      </c>
      <c r="D1930" s="1" t="s">
        <v>2563</v>
      </c>
      <c r="E1930" s="1" t="s">
        <v>32</v>
      </c>
      <c r="F1930" s="1" t="s">
        <v>20</v>
      </c>
      <c r="G1930" s="1" t="s">
        <v>2786</v>
      </c>
      <c r="H1930" s="1" t="s">
        <v>22</v>
      </c>
      <c r="I1930" s="1">
        <v>1</v>
      </c>
      <c r="J1930" s="1">
        <v>42301</v>
      </c>
      <c r="K1930" s="1" t="s">
        <v>34</v>
      </c>
      <c r="L1930" s="1" t="s">
        <v>24</v>
      </c>
      <c r="M1930" s="1" t="s">
        <v>925</v>
      </c>
      <c r="N1930" s="1">
        <v>16650</v>
      </c>
      <c r="O1930" s="12">
        <v>14100</v>
      </c>
      <c r="P1930" s="3" t="s">
        <v>84</v>
      </c>
      <c r="Q1930" s="1" cm="1">
        <f t="array" ref="Q1930">VALUE(INDEX(_xlfn.TEXTSPLIT(P1930, " "), 4))</f>
        <v>2014</v>
      </c>
      <c r="R1930" s="1" t="str">
        <f t="shared" si="30"/>
        <v>Audi A4 2.0T Premium</v>
      </c>
      <c r="S1930" s="1" t="str" cm="1">
        <f t="array" ref="S1930">_xlfn.IFS(I1930 &gt;= 40, "High", I1930&gt;=20, "Medium", I1930&lt;20, "Low")</f>
        <v>Low</v>
      </c>
      <c r="T1930" s="1" t="str" cm="1">
        <f t="array" ref="T1930">_xlfn.IFS(O1930&lt;18200, "Low", O1930&lt;=50000, "Medium", O1930&gt;50000, "High")</f>
        <v>Low</v>
      </c>
    </row>
    <row r="1931" spans="1:20" x14ac:dyDescent="0.25">
      <c r="A1931" s="2">
        <v>2012</v>
      </c>
      <c r="B1931" s="1" t="s">
        <v>37</v>
      </c>
      <c r="C1931" s="1" t="s">
        <v>930</v>
      </c>
      <c r="D1931" s="1">
        <v>3.2</v>
      </c>
      <c r="E1931" s="1" t="s">
        <v>19</v>
      </c>
      <c r="F1931" s="1" t="s">
        <v>20</v>
      </c>
      <c r="G1931" s="1" t="s">
        <v>2787</v>
      </c>
      <c r="H1931" s="1" t="s">
        <v>22</v>
      </c>
      <c r="I1931" s="1">
        <v>42</v>
      </c>
      <c r="J1931" s="1">
        <v>49150</v>
      </c>
      <c r="K1931" s="1" t="s">
        <v>24</v>
      </c>
      <c r="L1931" s="1" t="s">
        <v>24</v>
      </c>
      <c r="M1931" s="1" t="s">
        <v>2617</v>
      </c>
      <c r="N1931" s="1">
        <v>19200</v>
      </c>
      <c r="O1931" s="12">
        <v>17000</v>
      </c>
      <c r="P1931" s="3" t="s">
        <v>210</v>
      </c>
      <c r="Q1931" s="1" cm="1">
        <f t="array" ref="Q1931">VALUE(INDEX(_xlfn.TEXTSPLIT(P1931, " "), 4))</f>
        <v>2015</v>
      </c>
      <c r="R1931" s="1" t="str">
        <f t="shared" si="30"/>
        <v>Volvo XC60 3.2</v>
      </c>
      <c r="S1931" s="1" t="str" cm="1">
        <f t="array" ref="S1931">_xlfn.IFS(I1931 &gt;= 40, "High", I1931&gt;=20, "Medium", I1931&lt;20, "Low")</f>
        <v>High</v>
      </c>
      <c r="T1931" s="1" t="str" cm="1">
        <f t="array" ref="T1931">_xlfn.IFS(O1931&lt;18200, "Low", O1931&lt;=50000, "Medium", O1931&gt;50000, "High")</f>
        <v>Low</v>
      </c>
    </row>
    <row r="1932" spans="1:20" x14ac:dyDescent="0.25">
      <c r="A1932" s="2">
        <v>2011</v>
      </c>
      <c r="B1932" s="1" t="s">
        <v>29</v>
      </c>
      <c r="C1932" s="1" t="s">
        <v>30</v>
      </c>
      <c r="D1932" s="1" t="s">
        <v>1282</v>
      </c>
      <c r="E1932" s="1" t="s">
        <v>32</v>
      </c>
      <c r="F1932" s="1" t="s">
        <v>20</v>
      </c>
      <c r="G1932" s="1" t="s">
        <v>2788</v>
      </c>
      <c r="H1932" s="1" t="s">
        <v>22</v>
      </c>
      <c r="I1932" s="1">
        <v>36</v>
      </c>
      <c r="J1932" s="1">
        <v>36996</v>
      </c>
      <c r="K1932" s="1" t="s">
        <v>24</v>
      </c>
      <c r="L1932" s="1" t="s">
        <v>24</v>
      </c>
      <c r="M1932" s="1" t="s">
        <v>35</v>
      </c>
      <c r="N1932" s="1">
        <v>19100</v>
      </c>
      <c r="O1932" s="12">
        <v>19500</v>
      </c>
      <c r="P1932" s="3" t="s">
        <v>46</v>
      </c>
      <c r="Q1932" s="1" cm="1">
        <f t="array" ref="Q1932">VALUE(INDEX(_xlfn.TEXTSPLIT(P1932, " "), 4))</f>
        <v>2014</v>
      </c>
      <c r="R1932" s="1" t="str">
        <f t="shared" si="30"/>
        <v>BMW 3 Series 328i</v>
      </c>
      <c r="S1932" s="1" t="str" cm="1">
        <f t="array" ref="S1932">_xlfn.IFS(I1932 &gt;= 40, "High", I1932&gt;=20, "Medium", I1932&lt;20, "Low")</f>
        <v>Medium</v>
      </c>
      <c r="T1932" s="1" t="str" cm="1">
        <f t="array" ref="T1932">_xlfn.IFS(O1932&lt;18200, "Low", O1932&lt;=50000, "Medium", O1932&gt;50000, "High")</f>
        <v>Medium</v>
      </c>
    </row>
    <row r="1933" spans="1:20" x14ac:dyDescent="0.25">
      <c r="A1933" s="2">
        <v>2011</v>
      </c>
      <c r="B1933" s="1" t="s">
        <v>29</v>
      </c>
      <c r="C1933" s="1" t="s">
        <v>30</v>
      </c>
      <c r="D1933" s="1" t="s">
        <v>2603</v>
      </c>
      <c r="E1933" s="1" t="s">
        <v>32</v>
      </c>
      <c r="F1933" s="1" t="s">
        <v>20</v>
      </c>
      <c r="G1933" s="1" t="s">
        <v>2789</v>
      </c>
      <c r="H1933" s="1" t="s">
        <v>22</v>
      </c>
      <c r="I1933" s="1">
        <v>4</v>
      </c>
      <c r="J1933" s="1">
        <v>24304</v>
      </c>
      <c r="K1933" s="1" t="s">
        <v>24</v>
      </c>
      <c r="L1933" s="1" t="s">
        <v>28</v>
      </c>
      <c r="M1933" s="1" t="s">
        <v>35</v>
      </c>
      <c r="N1933" s="1">
        <v>21100</v>
      </c>
      <c r="O1933" s="12">
        <v>21750</v>
      </c>
      <c r="P1933" s="3" t="s">
        <v>46</v>
      </c>
      <c r="Q1933" s="1" cm="1">
        <f t="array" ref="Q1933">VALUE(INDEX(_xlfn.TEXTSPLIT(P1933, " "), 4))</f>
        <v>2014</v>
      </c>
      <c r="R1933" s="1" t="str">
        <f t="shared" si="30"/>
        <v>BMW 3 Series 328i xDrive</v>
      </c>
      <c r="S1933" s="1" t="str" cm="1">
        <f t="array" ref="S1933">_xlfn.IFS(I1933 &gt;= 40, "High", I1933&gt;=20, "Medium", I1933&lt;20, "Low")</f>
        <v>Low</v>
      </c>
      <c r="T1933" s="1" t="str" cm="1">
        <f t="array" ref="T1933">_xlfn.IFS(O1933&lt;18200, "Low", O1933&lt;=50000, "Medium", O1933&gt;50000, "High")</f>
        <v>Medium</v>
      </c>
    </row>
    <row r="1934" spans="1:20" x14ac:dyDescent="0.25">
      <c r="A1934" s="2">
        <v>2011</v>
      </c>
      <c r="B1934" s="1" t="s">
        <v>85</v>
      </c>
      <c r="C1934" s="1" t="s">
        <v>86</v>
      </c>
      <c r="D1934" s="1" t="s">
        <v>87</v>
      </c>
      <c r="E1934" s="1" t="s">
        <v>32</v>
      </c>
      <c r="F1934" s="1" t="s">
        <v>20</v>
      </c>
      <c r="G1934" s="1" t="s">
        <v>2790</v>
      </c>
      <c r="H1934" s="1" t="s">
        <v>22</v>
      </c>
      <c r="I1934" s="1">
        <v>29</v>
      </c>
      <c r="J1934" s="1">
        <v>88759</v>
      </c>
      <c r="K1934" s="1" t="s">
        <v>24</v>
      </c>
      <c r="L1934" s="1" t="s">
        <v>24</v>
      </c>
      <c r="M1934" s="1" t="s">
        <v>692</v>
      </c>
      <c r="N1934" s="1">
        <v>7575</v>
      </c>
      <c r="O1934" s="12">
        <v>6100</v>
      </c>
      <c r="P1934" s="3" t="s">
        <v>68</v>
      </c>
      <c r="Q1934" s="1" cm="1">
        <f t="array" ref="Q1934">VALUE(INDEX(_xlfn.TEXTSPLIT(P1934, " "), 4))</f>
        <v>2014</v>
      </c>
      <c r="R1934" s="1" t="str">
        <f t="shared" si="30"/>
        <v>Ford Fusion SE</v>
      </c>
      <c r="S1934" s="1" t="str" cm="1">
        <f t="array" ref="S1934">_xlfn.IFS(I1934 &gt;= 40, "High", I1934&gt;=20, "Medium", I1934&lt;20, "Low")</f>
        <v>Medium</v>
      </c>
      <c r="T1934" s="1" t="str" cm="1">
        <f t="array" ref="T1934">_xlfn.IFS(O1934&lt;18200, "Low", O1934&lt;=50000, "Medium", O1934&gt;50000, "High")</f>
        <v>Low</v>
      </c>
    </row>
    <row r="1935" spans="1:20" x14ac:dyDescent="0.25">
      <c r="A1935" s="2">
        <v>2011</v>
      </c>
      <c r="B1935" s="1" t="s">
        <v>318</v>
      </c>
      <c r="C1935" s="1" t="s">
        <v>323</v>
      </c>
      <c r="D1935" s="1" t="s">
        <v>1817</v>
      </c>
      <c r="E1935" s="1" t="s">
        <v>323</v>
      </c>
      <c r="F1935" s="1" t="s">
        <v>20</v>
      </c>
      <c r="G1935" s="1" t="s">
        <v>2791</v>
      </c>
      <c r="H1935" s="1" t="s">
        <v>22</v>
      </c>
      <c r="I1935" s="1">
        <v>44</v>
      </c>
      <c r="J1935" s="1">
        <v>42648</v>
      </c>
      <c r="K1935" s="1" t="s">
        <v>34</v>
      </c>
      <c r="L1935" s="1" t="s">
        <v>34</v>
      </c>
      <c r="M1935" s="1" t="s">
        <v>322</v>
      </c>
      <c r="N1935" s="1">
        <v>16500</v>
      </c>
      <c r="O1935" s="12">
        <v>17000</v>
      </c>
      <c r="P1935" s="3" t="s">
        <v>46</v>
      </c>
      <c r="Q1935" s="1" cm="1">
        <f t="array" ref="Q1935">VALUE(INDEX(_xlfn.TEXTSPLIT(P1935, " "), 4))</f>
        <v>2014</v>
      </c>
      <c r="R1935" s="1" t="str">
        <f t="shared" si="30"/>
        <v>Infiniti G Sedan G25</v>
      </c>
      <c r="S1935" s="1" t="str" cm="1">
        <f t="array" ref="S1935">_xlfn.IFS(I1935 &gt;= 40, "High", I1935&gt;=20, "Medium", I1935&lt;20, "Low")</f>
        <v>High</v>
      </c>
      <c r="T1935" s="1" t="str" cm="1">
        <f t="array" ref="T1935">_xlfn.IFS(O1935&lt;18200, "Low", O1935&lt;=50000, "Medium", O1935&gt;50000, "High")</f>
        <v>Low</v>
      </c>
    </row>
    <row r="1936" spans="1:20" x14ac:dyDescent="0.25">
      <c r="A1936" s="2">
        <v>2011</v>
      </c>
      <c r="B1936" s="1" t="s">
        <v>1507</v>
      </c>
      <c r="C1936" s="1" t="s">
        <v>1577</v>
      </c>
      <c r="D1936" s="1" t="s">
        <v>54</v>
      </c>
      <c r="E1936" s="1" t="s">
        <v>32</v>
      </c>
      <c r="F1936" s="1" t="s">
        <v>20</v>
      </c>
      <c r="G1936" s="1" t="s">
        <v>2792</v>
      </c>
      <c r="H1936" s="1" t="s">
        <v>22</v>
      </c>
      <c r="I1936" s="1">
        <v>2</v>
      </c>
      <c r="J1936" s="1">
        <v>71171</v>
      </c>
      <c r="K1936" s="1" t="s">
        <v>34</v>
      </c>
      <c r="L1936" s="1" t="s">
        <v>24</v>
      </c>
      <c r="M1936" s="1" t="s">
        <v>809</v>
      </c>
      <c r="N1936" s="1">
        <v>12150</v>
      </c>
      <c r="O1936" s="12">
        <v>12250</v>
      </c>
      <c r="P1936" s="3" t="s">
        <v>26</v>
      </c>
      <c r="Q1936" s="1" cm="1">
        <f t="array" ref="Q1936">VALUE(INDEX(_xlfn.TEXTSPLIT(P1936, " "), 4))</f>
        <v>2014</v>
      </c>
      <c r="R1936" s="1" t="str">
        <f t="shared" si="30"/>
        <v>Dodge Charger Base</v>
      </c>
      <c r="S1936" s="1" t="str" cm="1">
        <f t="array" ref="S1936">_xlfn.IFS(I1936 &gt;= 40, "High", I1936&gt;=20, "Medium", I1936&lt;20, "Low")</f>
        <v>Low</v>
      </c>
      <c r="T1936" s="1" t="str" cm="1">
        <f t="array" ref="T1936">_xlfn.IFS(O1936&lt;18200, "Low", O1936&lt;=50000, "Medium", O1936&gt;50000, "High")</f>
        <v>Low</v>
      </c>
    </row>
    <row r="1937" spans="1:20" x14ac:dyDescent="0.25">
      <c r="A1937" s="2">
        <v>2011</v>
      </c>
      <c r="B1937" s="1" t="s">
        <v>318</v>
      </c>
      <c r="C1937" s="1" t="s">
        <v>323</v>
      </c>
      <c r="D1937" s="1" t="s">
        <v>1817</v>
      </c>
      <c r="E1937" s="1" t="s">
        <v>323</v>
      </c>
      <c r="F1937" s="1" t="s">
        <v>20</v>
      </c>
      <c r="G1937" s="1" t="s">
        <v>2793</v>
      </c>
      <c r="H1937" s="1" t="s">
        <v>22</v>
      </c>
      <c r="I1937" s="1">
        <v>35</v>
      </c>
      <c r="J1937" s="1">
        <v>39834</v>
      </c>
      <c r="K1937" s="1" t="s">
        <v>23</v>
      </c>
      <c r="L1937" s="1" t="s">
        <v>34</v>
      </c>
      <c r="M1937" s="1" t="s">
        <v>322</v>
      </c>
      <c r="N1937" s="1">
        <v>16700</v>
      </c>
      <c r="O1937" s="12">
        <v>17000</v>
      </c>
      <c r="P1937" s="3" t="s">
        <v>46</v>
      </c>
      <c r="Q1937" s="1" cm="1">
        <f t="array" ref="Q1937">VALUE(INDEX(_xlfn.TEXTSPLIT(P1937, " "), 4))</f>
        <v>2014</v>
      </c>
      <c r="R1937" s="1" t="str">
        <f t="shared" si="30"/>
        <v>Infiniti G Sedan G25</v>
      </c>
      <c r="S1937" s="1" t="str" cm="1">
        <f t="array" ref="S1937">_xlfn.IFS(I1937 &gt;= 40, "High", I1937&gt;=20, "Medium", I1937&lt;20, "Low")</f>
        <v>Medium</v>
      </c>
      <c r="T1937" s="1" t="str" cm="1">
        <f t="array" ref="T1937">_xlfn.IFS(O1937&lt;18200, "Low", O1937&lt;=50000, "Medium", O1937&gt;50000, "High")</f>
        <v>Low</v>
      </c>
    </row>
    <row r="1938" spans="1:20" x14ac:dyDescent="0.25">
      <c r="A1938" s="2">
        <v>2011</v>
      </c>
      <c r="B1938" s="1" t="s">
        <v>318</v>
      </c>
      <c r="C1938" s="1" t="s">
        <v>323</v>
      </c>
      <c r="D1938" s="1" t="s">
        <v>1817</v>
      </c>
      <c r="E1938" s="1" t="s">
        <v>323</v>
      </c>
      <c r="F1938" s="1" t="s">
        <v>20</v>
      </c>
      <c r="G1938" s="1" t="s">
        <v>2794</v>
      </c>
      <c r="H1938" s="1" t="s">
        <v>22</v>
      </c>
      <c r="I1938" s="1">
        <v>42</v>
      </c>
      <c r="J1938" s="1">
        <v>31234</v>
      </c>
      <c r="K1938" s="1" t="s">
        <v>24</v>
      </c>
      <c r="L1938" s="1" t="s">
        <v>24</v>
      </c>
      <c r="M1938" s="1" t="s">
        <v>322</v>
      </c>
      <c r="N1938" s="1">
        <v>17350</v>
      </c>
      <c r="O1938" s="12">
        <v>18500</v>
      </c>
      <c r="P1938" s="3" t="s">
        <v>46</v>
      </c>
      <c r="Q1938" s="1" cm="1">
        <f t="array" ref="Q1938">VALUE(INDEX(_xlfn.TEXTSPLIT(P1938, " "), 4))</f>
        <v>2014</v>
      </c>
      <c r="R1938" s="1" t="str">
        <f t="shared" si="30"/>
        <v>Infiniti G Sedan G25</v>
      </c>
      <c r="S1938" s="1" t="str" cm="1">
        <f t="array" ref="S1938">_xlfn.IFS(I1938 &gt;= 40, "High", I1938&gt;=20, "Medium", I1938&lt;20, "Low")</f>
        <v>High</v>
      </c>
      <c r="T1938" s="1" t="str" cm="1">
        <f t="array" ref="T1938">_xlfn.IFS(O1938&lt;18200, "Low", O1938&lt;=50000, "Medium", O1938&gt;50000, "High")</f>
        <v>Medium</v>
      </c>
    </row>
    <row r="1939" spans="1:20" x14ac:dyDescent="0.25">
      <c r="A1939" s="2">
        <v>2011</v>
      </c>
      <c r="B1939" s="1" t="s">
        <v>318</v>
      </c>
      <c r="C1939" s="1" t="s">
        <v>323</v>
      </c>
      <c r="D1939" s="1" t="s">
        <v>1817</v>
      </c>
      <c r="E1939" s="1" t="s">
        <v>323</v>
      </c>
      <c r="F1939" s="1" t="s">
        <v>20</v>
      </c>
      <c r="G1939" s="1" t="s">
        <v>2795</v>
      </c>
      <c r="H1939" s="1" t="s">
        <v>22</v>
      </c>
      <c r="I1939" s="1">
        <v>35</v>
      </c>
      <c r="J1939" s="1">
        <v>31757</v>
      </c>
      <c r="K1939" s="1" t="s">
        <v>24</v>
      </c>
      <c r="L1939" s="1" t="s">
        <v>24</v>
      </c>
      <c r="M1939" s="1" t="s">
        <v>322</v>
      </c>
      <c r="N1939" s="1">
        <v>17300</v>
      </c>
      <c r="O1939" s="12">
        <v>17000</v>
      </c>
      <c r="P1939" s="3" t="s">
        <v>46</v>
      </c>
      <c r="Q1939" s="1" cm="1">
        <f t="array" ref="Q1939">VALUE(INDEX(_xlfn.TEXTSPLIT(P1939, " "), 4))</f>
        <v>2014</v>
      </c>
      <c r="R1939" s="1" t="str">
        <f t="shared" si="30"/>
        <v>Infiniti G Sedan G25</v>
      </c>
      <c r="S1939" s="1" t="str" cm="1">
        <f t="array" ref="S1939">_xlfn.IFS(I1939 &gt;= 40, "High", I1939&gt;=20, "Medium", I1939&lt;20, "Low")</f>
        <v>Medium</v>
      </c>
      <c r="T1939" s="1" t="str" cm="1">
        <f t="array" ref="T1939">_xlfn.IFS(O1939&lt;18200, "Low", O1939&lt;=50000, "Medium", O1939&gt;50000, "High")</f>
        <v>Low</v>
      </c>
    </row>
    <row r="1940" spans="1:20" x14ac:dyDescent="0.25">
      <c r="A1940" s="2">
        <v>2011</v>
      </c>
      <c r="B1940" s="1" t="s">
        <v>318</v>
      </c>
      <c r="C1940" s="1" t="s">
        <v>323</v>
      </c>
      <c r="D1940" s="1" t="s">
        <v>1817</v>
      </c>
      <c r="E1940" s="1" t="s">
        <v>323</v>
      </c>
      <c r="F1940" s="1" t="s">
        <v>20</v>
      </c>
      <c r="G1940" s="1" t="s">
        <v>2796</v>
      </c>
      <c r="H1940" s="1" t="s">
        <v>22</v>
      </c>
      <c r="I1940" s="1">
        <v>36</v>
      </c>
      <c r="J1940" s="1">
        <v>28066</v>
      </c>
      <c r="K1940" s="1" t="s">
        <v>24</v>
      </c>
      <c r="L1940" s="1" t="s">
        <v>24</v>
      </c>
      <c r="M1940" s="1" t="s">
        <v>322</v>
      </c>
      <c r="N1940" s="1">
        <v>17550</v>
      </c>
      <c r="O1940" s="12">
        <v>17000</v>
      </c>
      <c r="P1940" s="3" t="s">
        <v>46</v>
      </c>
      <c r="Q1940" s="1" cm="1">
        <f t="array" ref="Q1940">VALUE(INDEX(_xlfn.TEXTSPLIT(P1940, " "), 4))</f>
        <v>2014</v>
      </c>
      <c r="R1940" s="1" t="str">
        <f t="shared" si="30"/>
        <v>Infiniti G Sedan G25</v>
      </c>
      <c r="S1940" s="1" t="str" cm="1">
        <f t="array" ref="S1940">_xlfn.IFS(I1940 &gt;= 40, "High", I1940&gt;=20, "Medium", I1940&lt;20, "Low")</f>
        <v>Medium</v>
      </c>
      <c r="T1940" s="1" t="str" cm="1">
        <f t="array" ref="T1940">_xlfn.IFS(O1940&lt;18200, "Low", O1940&lt;=50000, "Medium", O1940&gt;50000, "High")</f>
        <v>Low</v>
      </c>
    </row>
    <row r="1941" spans="1:20" x14ac:dyDescent="0.25">
      <c r="A1941" s="2">
        <v>2011</v>
      </c>
      <c r="B1941" s="1" t="s">
        <v>1562</v>
      </c>
      <c r="C1941" s="1">
        <v>200</v>
      </c>
      <c r="D1941" s="1" t="s">
        <v>337</v>
      </c>
      <c r="E1941" s="1" t="s">
        <v>32</v>
      </c>
      <c r="F1941" s="1" t="s">
        <v>20</v>
      </c>
      <c r="G1941" s="1" t="s">
        <v>2797</v>
      </c>
      <c r="H1941" s="1" t="s">
        <v>22</v>
      </c>
      <c r="I1941" s="1">
        <v>19</v>
      </c>
      <c r="J1941" s="1">
        <v>78503</v>
      </c>
      <c r="K1941" s="1" t="s">
        <v>94</v>
      </c>
      <c r="L1941" s="1" t="s">
        <v>24</v>
      </c>
      <c r="M1941" s="1" t="s">
        <v>1623</v>
      </c>
      <c r="N1941" s="1">
        <v>8875</v>
      </c>
      <c r="O1941" s="12">
        <v>7300</v>
      </c>
      <c r="P1941" s="3" t="s">
        <v>57</v>
      </c>
      <c r="Q1941" s="1" cm="1">
        <f t="array" ref="Q1941">VALUE(INDEX(_xlfn.TEXTSPLIT(P1941, " "), 4))</f>
        <v>2014</v>
      </c>
      <c r="R1941" s="1" t="str">
        <f t="shared" si="30"/>
        <v>Chrysler 200 Limited</v>
      </c>
      <c r="S1941" s="1" t="str" cm="1">
        <f t="array" ref="S1941">_xlfn.IFS(I1941 &gt;= 40, "High", I1941&gt;=20, "Medium", I1941&lt;20, "Low")</f>
        <v>Low</v>
      </c>
      <c r="T1941" s="1" t="str" cm="1">
        <f t="array" ref="T1941">_xlfn.IFS(O1941&lt;18200, "Low", O1941&lt;=50000, "Medium", O1941&gt;50000, "High")</f>
        <v>Low</v>
      </c>
    </row>
    <row r="1942" spans="1:20" x14ac:dyDescent="0.25">
      <c r="A1942" s="2">
        <v>2011</v>
      </c>
      <c r="B1942" s="1" t="s">
        <v>58</v>
      </c>
      <c r="C1942" s="1" t="s">
        <v>1594</v>
      </c>
      <c r="D1942" s="1" t="s">
        <v>2798</v>
      </c>
      <c r="E1942" s="1" t="s">
        <v>19</v>
      </c>
      <c r="F1942" s="1" t="s">
        <v>20</v>
      </c>
      <c r="G1942" s="1" t="s">
        <v>2799</v>
      </c>
      <c r="H1942" s="1" t="s">
        <v>22</v>
      </c>
      <c r="I1942" s="1">
        <v>27</v>
      </c>
      <c r="J1942" s="1">
        <v>29994</v>
      </c>
      <c r="K1942" s="1" t="s">
        <v>34</v>
      </c>
      <c r="L1942" s="1" t="s">
        <v>34</v>
      </c>
      <c r="M1942" s="1" t="s">
        <v>1100</v>
      </c>
      <c r="N1942" s="1">
        <v>14750</v>
      </c>
      <c r="O1942" s="12">
        <v>12500</v>
      </c>
      <c r="P1942" s="3" t="s">
        <v>68</v>
      </c>
      <c r="Q1942" s="1" cm="1">
        <f t="array" ref="Q1942">VALUE(INDEX(_xlfn.TEXTSPLIT(P1942, " "), 4))</f>
        <v>2014</v>
      </c>
      <c r="R1942" s="1" t="str">
        <f t="shared" si="30"/>
        <v>Chevrolet Equinox LT1</v>
      </c>
      <c r="S1942" s="1" t="str" cm="1">
        <f t="array" ref="S1942">_xlfn.IFS(I1942 &gt;= 40, "High", I1942&gt;=20, "Medium", I1942&lt;20, "Low")</f>
        <v>Medium</v>
      </c>
      <c r="T1942" s="1" t="str" cm="1">
        <f t="array" ref="T1942">_xlfn.IFS(O1942&lt;18200, "Low", O1942&lt;=50000, "Medium", O1942&gt;50000, "High")</f>
        <v>Low</v>
      </c>
    </row>
    <row r="1943" spans="1:20" x14ac:dyDescent="0.25">
      <c r="A1943" s="2">
        <v>2011</v>
      </c>
      <c r="B1943" s="1" t="s">
        <v>85</v>
      </c>
      <c r="C1943" s="1" t="s">
        <v>1513</v>
      </c>
      <c r="D1943" s="1" t="s">
        <v>1601</v>
      </c>
      <c r="E1943" s="1" t="s">
        <v>19</v>
      </c>
      <c r="F1943" s="1" t="s">
        <v>20</v>
      </c>
      <c r="G1943" s="1" t="s">
        <v>2800</v>
      </c>
      <c r="H1943" s="1" t="s">
        <v>22</v>
      </c>
      <c r="I1943" s="1">
        <v>39</v>
      </c>
      <c r="J1943" s="1">
        <v>95391</v>
      </c>
      <c r="K1943" s="1" t="s">
        <v>23</v>
      </c>
      <c r="L1943" s="1" t="s">
        <v>28</v>
      </c>
      <c r="M1943" s="1" t="s">
        <v>1089</v>
      </c>
      <c r="N1943" s="1">
        <v>7975</v>
      </c>
      <c r="O1943" s="12">
        <v>9750</v>
      </c>
      <c r="P1943" s="3" t="s">
        <v>84</v>
      </c>
      <c r="Q1943" s="1" cm="1">
        <f t="array" ref="Q1943">VALUE(INDEX(_xlfn.TEXTSPLIT(P1943, " "), 4))</f>
        <v>2014</v>
      </c>
      <c r="R1943" s="1" t="str">
        <f t="shared" si="30"/>
        <v>Ford Escape XLT</v>
      </c>
      <c r="S1943" s="1" t="str" cm="1">
        <f t="array" ref="S1943">_xlfn.IFS(I1943 &gt;= 40, "High", I1943&gt;=20, "Medium", I1943&lt;20, "Low")</f>
        <v>Medium</v>
      </c>
      <c r="T1943" s="1" t="str" cm="1">
        <f t="array" ref="T1943">_xlfn.IFS(O1943&lt;18200, "Low", O1943&lt;=50000, "Medium", O1943&gt;50000, "High")</f>
        <v>Low</v>
      </c>
    </row>
    <row r="1944" spans="1:20" x14ac:dyDescent="0.25">
      <c r="A1944" s="2">
        <v>2011</v>
      </c>
      <c r="B1944" s="1" t="s">
        <v>85</v>
      </c>
      <c r="C1944" s="1" t="s">
        <v>1551</v>
      </c>
      <c r="D1944" s="1" t="s">
        <v>87</v>
      </c>
      <c r="E1944" s="1" t="s">
        <v>32</v>
      </c>
      <c r="F1944" s="1" t="s">
        <v>20</v>
      </c>
      <c r="G1944" s="1" t="s">
        <v>2801</v>
      </c>
      <c r="H1944" s="1" t="s">
        <v>22</v>
      </c>
      <c r="I1944" s="1">
        <v>41</v>
      </c>
      <c r="J1944" s="1">
        <v>73147</v>
      </c>
      <c r="K1944" s="1" t="s">
        <v>91</v>
      </c>
      <c r="L1944" s="1" t="s">
        <v>24</v>
      </c>
      <c r="M1944" s="1" t="s">
        <v>1554</v>
      </c>
      <c r="N1944" s="1">
        <v>6500</v>
      </c>
      <c r="O1944" s="12">
        <v>6800</v>
      </c>
      <c r="P1944" s="3" t="s">
        <v>26</v>
      </c>
      <c r="Q1944" s="1" cm="1">
        <f t="array" ref="Q1944">VALUE(INDEX(_xlfn.TEXTSPLIT(P1944, " "), 4))</f>
        <v>2014</v>
      </c>
      <c r="R1944" s="1" t="str">
        <f t="shared" si="30"/>
        <v>Ford Fiesta SE</v>
      </c>
      <c r="S1944" s="1" t="str" cm="1">
        <f t="array" ref="S1944">_xlfn.IFS(I1944 &gt;= 40, "High", I1944&gt;=20, "Medium", I1944&lt;20, "Low")</f>
        <v>High</v>
      </c>
      <c r="T1944" s="1" t="str" cm="1">
        <f t="array" ref="T1944">_xlfn.IFS(O1944&lt;18200, "Low", O1944&lt;=50000, "Medium", O1944&gt;50000, "High")</f>
        <v>Low</v>
      </c>
    </row>
    <row r="1945" spans="1:20" x14ac:dyDescent="0.25">
      <c r="A1945" s="2">
        <v>2011</v>
      </c>
      <c r="B1945" s="1" t="s">
        <v>85</v>
      </c>
      <c r="C1945" s="1" t="s">
        <v>1517</v>
      </c>
      <c r="D1945" s="1" t="s">
        <v>1518</v>
      </c>
      <c r="E1945" s="1" t="s">
        <v>19</v>
      </c>
      <c r="F1945" s="1" t="s">
        <v>20</v>
      </c>
      <c r="G1945" s="1" t="s">
        <v>2802</v>
      </c>
      <c r="H1945" s="1" t="s">
        <v>22</v>
      </c>
      <c r="I1945" s="1">
        <v>47</v>
      </c>
      <c r="J1945" s="1">
        <v>27219</v>
      </c>
      <c r="K1945" s="1" t="s">
        <v>23</v>
      </c>
      <c r="L1945" s="1" t="s">
        <v>82</v>
      </c>
      <c r="M1945" s="1" t="s">
        <v>1515</v>
      </c>
      <c r="N1945" s="1">
        <v>18750</v>
      </c>
      <c r="O1945" s="12">
        <v>21400</v>
      </c>
      <c r="P1945" s="3" t="s">
        <v>68</v>
      </c>
      <c r="Q1945" s="1" cm="1">
        <f t="array" ref="Q1945">VALUE(INDEX(_xlfn.TEXTSPLIT(P1945, " "), 4))</f>
        <v>2014</v>
      </c>
      <c r="R1945" s="1" t="str">
        <f t="shared" si="30"/>
        <v>Ford Edge SEL</v>
      </c>
      <c r="S1945" s="1" t="str" cm="1">
        <f t="array" ref="S1945">_xlfn.IFS(I1945 &gt;= 40, "High", I1945&gt;=20, "Medium", I1945&lt;20, "Low")</f>
        <v>High</v>
      </c>
      <c r="T1945" s="1" t="str" cm="1">
        <f t="array" ref="T1945">_xlfn.IFS(O1945&lt;18200, "Low", O1945&lt;=50000, "Medium", O1945&gt;50000, "High")</f>
        <v>Medium</v>
      </c>
    </row>
    <row r="1946" spans="1:20" x14ac:dyDescent="0.25">
      <c r="A1946" s="2">
        <v>2011</v>
      </c>
      <c r="B1946" s="1" t="s">
        <v>29</v>
      </c>
      <c r="C1946" s="1" t="s">
        <v>1456</v>
      </c>
      <c r="D1946" s="1" t="s">
        <v>1457</v>
      </c>
      <c r="E1946" s="1" t="s">
        <v>19</v>
      </c>
      <c r="F1946" s="1" t="s">
        <v>20</v>
      </c>
      <c r="G1946" s="1" t="s">
        <v>2803</v>
      </c>
      <c r="H1946" s="1" t="s">
        <v>22</v>
      </c>
      <c r="I1946" s="1">
        <v>41</v>
      </c>
      <c r="J1946" s="1">
        <v>37428</v>
      </c>
      <c r="K1946" s="1" t="s">
        <v>132</v>
      </c>
      <c r="L1946" s="1" t="s">
        <v>132</v>
      </c>
      <c r="M1946" s="1" t="s">
        <v>908</v>
      </c>
      <c r="N1946" s="1">
        <v>26300</v>
      </c>
      <c r="O1946" s="12">
        <v>25250</v>
      </c>
      <c r="P1946" s="3" t="s">
        <v>46</v>
      </c>
      <c r="Q1946" s="1" cm="1">
        <f t="array" ref="Q1946">VALUE(INDEX(_xlfn.TEXTSPLIT(P1946, " "), 4))</f>
        <v>2014</v>
      </c>
      <c r="R1946" s="1" t="str">
        <f t="shared" si="30"/>
        <v>BMW X3 xDrive28i</v>
      </c>
      <c r="S1946" s="1" t="str" cm="1">
        <f t="array" ref="S1946">_xlfn.IFS(I1946 &gt;= 40, "High", I1946&gt;=20, "Medium", I1946&lt;20, "Low")</f>
        <v>High</v>
      </c>
      <c r="T1946" s="1" t="str" cm="1">
        <f t="array" ref="T1946">_xlfn.IFS(O1946&lt;18200, "Low", O1946&lt;=50000, "Medium", O1946&gt;50000, "High")</f>
        <v>Medium</v>
      </c>
    </row>
    <row r="1947" spans="1:20" x14ac:dyDescent="0.25">
      <c r="A1947" s="2">
        <v>2011</v>
      </c>
      <c r="B1947" s="1" t="s">
        <v>58</v>
      </c>
      <c r="C1947" s="1" t="s">
        <v>283</v>
      </c>
      <c r="D1947" s="1" t="s">
        <v>106</v>
      </c>
      <c r="E1947" s="1" t="s">
        <v>1648</v>
      </c>
      <c r="F1947" s="1" t="s">
        <v>20</v>
      </c>
      <c r="G1947" s="1" t="s">
        <v>2804</v>
      </c>
      <c r="H1947" s="1" t="s">
        <v>22</v>
      </c>
      <c r="I1947" s="1">
        <v>37</v>
      </c>
      <c r="J1947" s="1">
        <v>106535</v>
      </c>
      <c r="K1947" s="1" t="s">
        <v>94</v>
      </c>
      <c r="L1947" s="1" t="s">
        <v>24</v>
      </c>
      <c r="M1947" s="1" t="s">
        <v>2805</v>
      </c>
      <c r="N1947" s="1">
        <v>11550</v>
      </c>
      <c r="O1947" s="12">
        <v>12750</v>
      </c>
      <c r="P1947" s="3" t="s">
        <v>68</v>
      </c>
      <c r="Q1947" s="1" cm="1">
        <f t="array" ref="Q1947">VALUE(INDEX(_xlfn.TEXTSPLIT(P1947, " "), 4))</f>
        <v>2014</v>
      </c>
      <c r="R1947" s="1" t="str">
        <f t="shared" si="30"/>
        <v>Chevrolet Silverado 1500 LS</v>
      </c>
      <c r="S1947" s="1" t="str" cm="1">
        <f t="array" ref="S1947">_xlfn.IFS(I1947 &gt;= 40, "High", I1947&gt;=20, "Medium", I1947&lt;20, "Low")</f>
        <v>Medium</v>
      </c>
      <c r="T1947" s="1" t="str" cm="1">
        <f t="array" ref="T1947">_xlfn.IFS(O1947&lt;18200, "Low", O1947&lt;=50000, "Medium", O1947&gt;50000, "High")</f>
        <v>Low</v>
      </c>
    </row>
    <row r="1948" spans="1:20" x14ac:dyDescent="0.25">
      <c r="A1948" s="2">
        <v>2011</v>
      </c>
      <c r="B1948" s="1" t="s">
        <v>1806</v>
      </c>
      <c r="C1948" s="1" t="s">
        <v>1807</v>
      </c>
      <c r="D1948" s="1" t="s">
        <v>87</v>
      </c>
      <c r="E1948" s="1" t="s">
        <v>32</v>
      </c>
      <c r="F1948" s="1" t="s">
        <v>20</v>
      </c>
      <c r="G1948" s="1" t="s">
        <v>2806</v>
      </c>
      <c r="H1948" s="1" t="s">
        <v>22</v>
      </c>
      <c r="I1948" s="1">
        <v>33</v>
      </c>
      <c r="J1948" s="1">
        <v>29864</v>
      </c>
      <c r="K1948" s="1" t="s">
        <v>34</v>
      </c>
      <c r="L1948" s="1" t="s">
        <v>24</v>
      </c>
      <c r="M1948" s="1" t="s">
        <v>1266</v>
      </c>
      <c r="N1948" s="1">
        <v>12450</v>
      </c>
      <c r="O1948" s="12">
        <v>13400</v>
      </c>
      <c r="P1948" s="3" t="s">
        <v>68</v>
      </c>
      <c r="Q1948" s="1" cm="1">
        <f t="array" ref="Q1948">VALUE(INDEX(_xlfn.TEXTSPLIT(P1948, " "), 4))</f>
        <v>2014</v>
      </c>
      <c r="R1948" s="1" t="str">
        <f t="shared" si="30"/>
        <v>Honda Accord SE</v>
      </c>
      <c r="S1948" s="1" t="str" cm="1">
        <f t="array" ref="S1948">_xlfn.IFS(I1948 &gt;= 40, "High", I1948&gt;=20, "Medium", I1948&lt;20, "Low")</f>
        <v>Medium</v>
      </c>
      <c r="T1948" s="1" t="str" cm="1">
        <f t="array" ref="T1948">_xlfn.IFS(O1948&lt;18200, "Low", O1948&lt;=50000, "Medium", O1948&gt;50000, "High")</f>
        <v>Low</v>
      </c>
    </row>
    <row r="1949" spans="1:20" x14ac:dyDescent="0.25">
      <c r="A1949" s="2">
        <v>2011</v>
      </c>
      <c r="B1949" s="1" t="s">
        <v>1806</v>
      </c>
      <c r="C1949" s="1" t="s">
        <v>1807</v>
      </c>
      <c r="D1949" s="1" t="s">
        <v>18</v>
      </c>
      <c r="E1949" s="1" t="s">
        <v>32</v>
      </c>
      <c r="F1949" s="1" t="s">
        <v>20</v>
      </c>
      <c r="G1949" s="1" t="s">
        <v>2807</v>
      </c>
      <c r="H1949" s="1" t="s">
        <v>22</v>
      </c>
      <c r="I1949" s="1">
        <v>39</v>
      </c>
      <c r="J1949" s="1">
        <v>32555</v>
      </c>
      <c r="K1949" s="1" t="s">
        <v>94</v>
      </c>
      <c r="L1949" s="1" t="s">
        <v>24</v>
      </c>
      <c r="M1949" s="1" t="s">
        <v>635</v>
      </c>
      <c r="N1949" s="1">
        <v>10800</v>
      </c>
      <c r="O1949" s="12">
        <v>12800</v>
      </c>
      <c r="P1949" s="3" t="s">
        <v>68</v>
      </c>
      <c r="Q1949" s="1" cm="1">
        <f t="array" ref="Q1949">VALUE(INDEX(_xlfn.TEXTSPLIT(P1949, " "), 4))</f>
        <v>2014</v>
      </c>
      <c r="R1949" s="1" t="str">
        <f t="shared" si="30"/>
        <v>Honda Accord LX</v>
      </c>
      <c r="S1949" s="1" t="str" cm="1">
        <f t="array" ref="S1949">_xlfn.IFS(I1949 &gt;= 40, "High", I1949&gt;=20, "Medium", I1949&lt;20, "Low")</f>
        <v>Medium</v>
      </c>
      <c r="T1949" s="1" t="str" cm="1">
        <f t="array" ref="T1949">_xlfn.IFS(O1949&lt;18200, "Low", O1949&lt;=50000, "Medium", O1949&gt;50000, "High")</f>
        <v>Low</v>
      </c>
    </row>
    <row r="1950" spans="1:20" x14ac:dyDescent="0.25">
      <c r="A1950" s="2">
        <v>2011</v>
      </c>
      <c r="B1950" s="1" t="s">
        <v>1585</v>
      </c>
      <c r="C1950" s="1" t="s">
        <v>1691</v>
      </c>
      <c r="D1950" s="1" t="s">
        <v>1587</v>
      </c>
      <c r="E1950" s="1"/>
      <c r="F1950" s="1" t="s">
        <v>20</v>
      </c>
      <c r="G1950" s="1" t="s">
        <v>2808</v>
      </c>
      <c r="H1950" s="1" t="s">
        <v>22</v>
      </c>
      <c r="I1950" s="1">
        <v>38</v>
      </c>
      <c r="J1950" s="1">
        <v>70945</v>
      </c>
      <c r="K1950" s="1" t="s">
        <v>23</v>
      </c>
      <c r="L1950" s="1" t="s">
        <v>34</v>
      </c>
      <c r="M1950" s="1" t="s">
        <v>1589</v>
      </c>
      <c r="N1950" s="1">
        <v>10950</v>
      </c>
      <c r="O1950" s="12">
        <v>14400</v>
      </c>
      <c r="P1950" s="3" t="s">
        <v>57</v>
      </c>
      <c r="Q1950" s="1" cm="1">
        <f t="array" ref="Q1950">VALUE(INDEX(_xlfn.TEXTSPLIT(P1950, " "), 4))</f>
        <v>2014</v>
      </c>
      <c r="R1950" s="1" t="str">
        <f t="shared" si="30"/>
        <v>ford e150 wagon v8 xlt</v>
      </c>
      <c r="S1950" s="1" t="str" cm="1">
        <f t="array" ref="S1950">_xlfn.IFS(I1950 &gt;= 40, "High", I1950&gt;=20, "Medium", I1950&lt;20, "Low")</f>
        <v>Medium</v>
      </c>
      <c r="T1950" s="1" t="str" cm="1">
        <f t="array" ref="T1950">_xlfn.IFS(O1950&lt;18200, "Low", O1950&lt;=50000, "Medium", O1950&gt;50000, "High")</f>
        <v>Low</v>
      </c>
    </row>
    <row r="1951" spans="1:20" x14ac:dyDescent="0.25">
      <c r="A1951" s="2">
        <v>2011</v>
      </c>
      <c r="B1951" s="1" t="s">
        <v>1806</v>
      </c>
      <c r="C1951" s="1" t="s">
        <v>2809</v>
      </c>
      <c r="D1951" s="1" t="s">
        <v>54</v>
      </c>
      <c r="E1951" s="1" t="s">
        <v>227</v>
      </c>
      <c r="F1951" s="1" t="s">
        <v>214</v>
      </c>
      <c r="G1951" s="1" t="s">
        <v>2810</v>
      </c>
      <c r="H1951" s="1" t="s">
        <v>22</v>
      </c>
      <c r="I1951" s="1">
        <v>27</v>
      </c>
      <c r="J1951" s="1">
        <v>53684</v>
      </c>
      <c r="K1951" s="1" t="s">
        <v>24</v>
      </c>
      <c r="L1951" s="1" t="s">
        <v>34</v>
      </c>
      <c r="M1951" s="1" t="s">
        <v>555</v>
      </c>
      <c r="N1951" s="1">
        <v>8050</v>
      </c>
      <c r="O1951" s="12">
        <v>8800</v>
      </c>
      <c r="P1951" s="3" t="s">
        <v>68</v>
      </c>
      <c r="Q1951" s="1" cm="1">
        <f t="array" ref="Q1951">VALUE(INDEX(_xlfn.TEXTSPLIT(P1951, " "), 4))</f>
        <v>2014</v>
      </c>
      <c r="R1951" s="1" t="str">
        <f t="shared" si="30"/>
        <v>Honda CR-Z Base</v>
      </c>
      <c r="S1951" s="1" t="str" cm="1">
        <f t="array" ref="S1951">_xlfn.IFS(I1951 &gt;= 40, "High", I1951&gt;=20, "Medium", I1951&lt;20, "Low")</f>
        <v>Medium</v>
      </c>
      <c r="T1951" s="1" t="str" cm="1">
        <f t="array" ref="T1951">_xlfn.IFS(O1951&lt;18200, "Low", O1951&lt;=50000, "Medium", O1951&gt;50000, "High")</f>
        <v>Low</v>
      </c>
    </row>
    <row r="1952" spans="1:20" x14ac:dyDescent="0.25">
      <c r="A1952" s="2">
        <v>2011</v>
      </c>
      <c r="B1952" s="1" t="s">
        <v>85</v>
      </c>
      <c r="C1952" s="1" t="s">
        <v>1600</v>
      </c>
      <c r="D1952" s="1" t="s">
        <v>1652</v>
      </c>
      <c r="E1952" s="1" t="s">
        <v>1602</v>
      </c>
      <c r="F1952" s="1" t="s">
        <v>20</v>
      </c>
      <c r="G1952" s="1" t="s">
        <v>2811</v>
      </c>
      <c r="H1952" s="1" t="s">
        <v>22</v>
      </c>
      <c r="I1952" s="1">
        <v>35</v>
      </c>
      <c r="J1952" s="1">
        <v>62174</v>
      </c>
      <c r="K1952" s="1" t="s">
        <v>91</v>
      </c>
      <c r="L1952" s="1" t="s">
        <v>24</v>
      </c>
      <c r="M1952" s="1" t="s">
        <v>1581</v>
      </c>
      <c r="N1952" s="1">
        <v>19750</v>
      </c>
      <c r="O1952" s="12">
        <v>20900</v>
      </c>
      <c r="P1952" s="3" t="s">
        <v>68</v>
      </c>
      <c r="Q1952" s="1" cm="1">
        <f t="array" ref="Q1952">VALUE(INDEX(_xlfn.TEXTSPLIT(P1952, " "), 4))</f>
        <v>2014</v>
      </c>
      <c r="R1952" s="1" t="str">
        <f t="shared" si="30"/>
        <v>Ford F-150 FX2</v>
      </c>
      <c r="S1952" s="1" t="str" cm="1">
        <f t="array" ref="S1952">_xlfn.IFS(I1952 &gt;= 40, "High", I1952&gt;=20, "Medium", I1952&lt;20, "Low")</f>
        <v>Medium</v>
      </c>
      <c r="T1952" s="1" t="str" cm="1">
        <f t="array" ref="T1952">_xlfn.IFS(O1952&lt;18200, "Low", O1952&lt;=50000, "Medium", O1952&gt;50000, "High")</f>
        <v>Medium</v>
      </c>
    </row>
    <row r="1953" spans="1:20" x14ac:dyDescent="0.25">
      <c r="A1953" s="2">
        <v>2011</v>
      </c>
      <c r="B1953" s="1" t="s">
        <v>318</v>
      </c>
      <c r="C1953" s="1" t="s">
        <v>323</v>
      </c>
      <c r="D1953" s="1" t="s">
        <v>1817</v>
      </c>
      <c r="E1953" s="1" t="s">
        <v>323</v>
      </c>
      <c r="F1953" s="1" t="s">
        <v>20</v>
      </c>
      <c r="G1953" s="1" t="s">
        <v>2812</v>
      </c>
      <c r="H1953" s="1" t="s">
        <v>22</v>
      </c>
      <c r="I1953" s="1">
        <v>24</v>
      </c>
      <c r="J1953" s="1">
        <v>33501</v>
      </c>
      <c r="K1953" s="1" t="s">
        <v>34</v>
      </c>
      <c r="L1953" s="1" t="s">
        <v>24</v>
      </c>
      <c r="M1953" s="1" t="s">
        <v>322</v>
      </c>
      <c r="N1953" s="1">
        <v>17200</v>
      </c>
      <c r="O1953" s="12">
        <v>14000</v>
      </c>
      <c r="P1953" s="3" t="s">
        <v>26</v>
      </c>
      <c r="Q1953" s="1" cm="1">
        <f t="array" ref="Q1953">VALUE(INDEX(_xlfn.TEXTSPLIT(P1953, " "), 4))</f>
        <v>2014</v>
      </c>
      <c r="R1953" s="1" t="str">
        <f t="shared" si="30"/>
        <v>Infiniti G Sedan G25</v>
      </c>
      <c r="S1953" s="1" t="str" cm="1">
        <f t="array" ref="S1953">_xlfn.IFS(I1953 &gt;= 40, "High", I1953&gt;=20, "Medium", I1953&lt;20, "Low")</f>
        <v>Medium</v>
      </c>
      <c r="T1953" s="1" t="str" cm="1">
        <f t="array" ref="T1953">_xlfn.IFS(O1953&lt;18200, "Low", O1953&lt;=50000, "Medium", O1953&gt;50000, "High")</f>
        <v>Low</v>
      </c>
    </row>
    <row r="1954" spans="1:20" x14ac:dyDescent="0.25">
      <c r="A1954" s="2">
        <v>2011</v>
      </c>
      <c r="B1954" s="1" t="s">
        <v>98</v>
      </c>
      <c r="C1954" s="1" t="s">
        <v>99</v>
      </c>
      <c r="D1954" s="1" t="s">
        <v>348</v>
      </c>
      <c r="E1954" s="1" t="s">
        <v>32</v>
      </c>
      <c r="F1954" s="1" t="s">
        <v>20</v>
      </c>
      <c r="G1954" s="1" t="s">
        <v>2813</v>
      </c>
      <c r="H1954" s="1" t="s">
        <v>22</v>
      </c>
      <c r="I1954" s="1">
        <v>43</v>
      </c>
      <c r="J1954" s="1">
        <v>49429</v>
      </c>
      <c r="K1954" s="1" t="s">
        <v>23</v>
      </c>
      <c r="L1954" s="1" t="s">
        <v>28</v>
      </c>
      <c r="M1954" s="1" t="s">
        <v>555</v>
      </c>
      <c r="N1954" s="1">
        <v>9575</v>
      </c>
      <c r="O1954" s="12">
        <v>11600</v>
      </c>
      <c r="P1954" s="3" t="s">
        <v>68</v>
      </c>
      <c r="Q1954" s="1" cm="1">
        <f t="array" ref="Q1954">VALUE(INDEX(_xlfn.TEXTSPLIT(P1954, " "), 4))</f>
        <v>2014</v>
      </c>
      <c r="R1954" s="1" t="str">
        <f t="shared" si="30"/>
        <v>Hyundai Sonata GLS</v>
      </c>
      <c r="S1954" s="1" t="str" cm="1">
        <f t="array" ref="S1954">_xlfn.IFS(I1954 &gt;= 40, "High", I1954&gt;=20, "Medium", I1954&lt;20, "Low")</f>
        <v>High</v>
      </c>
      <c r="T1954" s="1" t="str" cm="1">
        <f t="array" ref="T1954">_xlfn.IFS(O1954&lt;18200, "Low", O1954&lt;=50000, "Medium", O1954&gt;50000, "High")</f>
        <v>Low</v>
      </c>
    </row>
    <row r="1955" spans="1:20" x14ac:dyDescent="0.25">
      <c r="A1955" s="2">
        <v>2011</v>
      </c>
      <c r="B1955" s="1" t="s">
        <v>1562</v>
      </c>
      <c r="C1955" s="1">
        <v>300</v>
      </c>
      <c r="D1955" s="1" t="s">
        <v>2814</v>
      </c>
      <c r="E1955" s="1" t="s">
        <v>32</v>
      </c>
      <c r="F1955" s="1" t="s">
        <v>20</v>
      </c>
      <c r="G1955" s="1" t="s">
        <v>2815</v>
      </c>
      <c r="H1955" s="1" t="s">
        <v>22</v>
      </c>
      <c r="I1955" s="1">
        <v>26</v>
      </c>
      <c r="J1955" s="1">
        <v>22319</v>
      </c>
      <c r="K1955" s="1" t="s">
        <v>24</v>
      </c>
      <c r="L1955" s="1" t="s">
        <v>24</v>
      </c>
      <c r="M1955" s="1" t="s">
        <v>2816</v>
      </c>
      <c r="N1955" s="1">
        <v>21500</v>
      </c>
      <c r="O1955" s="12">
        <v>20000</v>
      </c>
      <c r="P1955" s="3" t="s">
        <v>57</v>
      </c>
      <c r="Q1955" s="1" cm="1">
        <f t="array" ref="Q1955">VALUE(INDEX(_xlfn.TEXTSPLIT(P1955, " "), 4))</f>
        <v>2014</v>
      </c>
      <c r="R1955" s="1" t="str">
        <f t="shared" si="30"/>
        <v>Chrysler 300 C</v>
      </c>
      <c r="S1955" s="1" t="str" cm="1">
        <f t="array" ref="S1955">_xlfn.IFS(I1955 &gt;= 40, "High", I1955&gt;=20, "Medium", I1955&lt;20, "Low")</f>
        <v>Medium</v>
      </c>
      <c r="T1955" s="1" t="str" cm="1">
        <f t="array" ref="T1955">_xlfn.IFS(O1955&lt;18200, "Low", O1955&lt;=50000, "Medium", O1955&gt;50000, "High")</f>
        <v>Medium</v>
      </c>
    </row>
    <row r="1956" spans="1:20" x14ac:dyDescent="0.25">
      <c r="A1956" s="2">
        <v>2011</v>
      </c>
      <c r="B1956" s="1" t="s">
        <v>58</v>
      </c>
      <c r="C1956" s="1" t="s">
        <v>199</v>
      </c>
      <c r="D1956" s="1" t="s">
        <v>2798</v>
      </c>
      <c r="E1956" s="1" t="s">
        <v>32</v>
      </c>
      <c r="F1956" s="1" t="s">
        <v>20</v>
      </c>
      <c r="G1956" s="1" t="s">
        <v>2817</v>
      </c>
      <c r="H1956" s="1" t="s">
        <v>22</v>
      </c>
      <c r="I1956" s="1">
        <v>31</v>
      </c>
      <c r="J1956" s="1">
        <v>53919</v>
      </c>
      <c r="K1956" s="1" t="s">
        <v>91</v>
      </c>
      <c r="L1956" s="1" t="s">
        <v>24</v>
      </c>
      <c r="M1956" s="1" t="s">
        <v>431</v>
      </c>
      <c r="N1956" s="1">
        <v>8475</v>
      </c>
      <c r="O1956" s="12">
        <v>9500</v>
      </c>
      <c r="P1956" s="3" t="s">
        <v>270</v>
      </c>
      <c r="Q1956" s="1" cm="1">
        <f t="array" ref="Q1956">VALUE(INDEX(_xlfn.TEXTSPLIT(P1956, " "), 4))</f>
        <v>2014</v>
      </c>
      <c r="R1956" s="1" t="str">
        <f t="shared" si="30"/>
        <v>Chevrolet Malibu LT1</v>
      </c>
      <c r="S1956" s="1" t="str" cm="1">
        <f t="array" ref="S1956">_xlfn.IFS(I1956 &gt;= 40, "High", I1956&gt;=20, "Medium", I1956&lt;20, "Low")</f>
        <v>Medium</v>
      </c>
      <c r="T1956" s="1" t="str" cm="1">
        <f t="array" ref="T1956">_xlfn.IFS(O1956&lt;18200, "Low", O1956&lt;=50000, "Medium", O1956&gt;50000, "High")</f>
        <v>Low</v>
      </c>
    </row>
    <row r="1957" spans="1:20" x14ac:dyDescent="0.25">
      <c r="A1957" s="2">
        <v>2011</v>
      </c>
      <c r="B1957" s="1" t="s">
        <v>1507</v>
      </c>
      <c r="C1957" s="1" t="s">
        <v>1628</v>
      </c>
      <c r="D1957" s="1" t="s">
        <v>1757</v>
      </c>
      <c r="E1957" s="1" t="s">
        <v>738</v>
      </c>
      <c r="F1957" s="1" t="s">
        <v>20</v>
      </c>
      <c r="G1957" s="1" t="s">
        <v>2818</v>
      </c>
      <c r="H1957" s="1" t="s">
        <v>22</v>
      </c>
      <c r="I1957" s="1">
        <v>25</v>
      </c>
      <c r="J1957" s="1">
        <v>41605</v>
      </c>
      <c r="K1957" s="1" t="s">
        <v>23</v>
      </c>
      <c r="L1957" s="1" t="s">
        <v>24</v>
      </c>
      <c r="M1957" s="1" t="s">
        <v>1561</v>
      </c>
      <c r="N1957" s="1">
        <v>9925</v>
      </c>
      <c r="O1957" s="12">
        <v>8100</v>
      </c>
      <c r="P1957" s="3" t="s">
        <v>57</v>
      </c>
      <c r="Q1957" s="1" cm="1">
        <f t="array" ref="Q1957">VALUE(INDEX(_xlfn.TEXTSPLIT(P1957, " "), 4))</f>
        <v>2014</v>
      </c>
      <c r="R1957" s="1" t="str">
        <f t="shared" si="30"/>
        <v>Dodge Grand Caravan Express</v>
      </c>
      <c r="S1957" s="1" t="str" cm="1">
        <f t="array" ref="S1957">_xlfn.IFS(I1957 &gt;= 40, "High", I1957&gt;=20, "Medium", I1957&lt;20, "Low")</f>
        <v>Medium</v>
      </c>
      <c r="T1957" s="1" t="str" cm="1">
        <f t="array" ref="T1957">_xlfn.IFS(O1957&lt;18200, "Low", O1957&lt;=50000, "Medium", O1957&gt;50000, "High")</f>
        <v>Low</v>
      </c>
    </row>
    <row r="1958" spans="1:20" x14ac:dyDescent="0.25">
      <c r="A1958" s="2">
        <v>2011</v>
      </c>
      <c r="B1958" s="1" t="s">
        <v>318</v>
      </c>
      <c r="C1958" s="1" t="s">
        <v>323</v>
      </c>
      <c r="D1958" s="1" t="s">
        <v>1817</v>
      </c>
      <c r="E1958" s="1" t="s">
        <v>323</v>
      </c>
      <c r="F1958" s="1" t="s">
        <v>20</v>
      </c>
      <c r="G1958" s="1" t="s">
        <v>2819</v>
      </c>
      <c r="H1958" s="1" t="s">
        <v>22</v>
      </c>
      <c r="I1958" s="1">
        <v>34</v>
      </c>
      <c r="J1958" s="1">
        <v>32832</v>
      </c>
      <c r="K1958" s="1" t="s">
        <v>34</v>
      </c>
      <c r="L1958" s="1" t="s">
        <v>24</v>
      </c>
      <c r="M1958" s="1" t="s">
        <v>322</v>
      </c>
      <c r="N1958" s="1">
        <v>17200</v>
      </c>
      <c r="O1958" s="12">
        <v>17500</v>
      </c>
      <c r="P1958" s="3" t="s">
        <v>46</v>
      </c>
      <c r="Q1958" s="1" cm="1">
        <f t="array" ref="Q1958">VALUE(INDEX(_xlfn.TEXTSPLIT(P1958, " "), 4))</f>
        <v>2014</v>
      </c>
      <c r="R1958" s="1" t="str">
        <f t="shared" si="30"/>
        <v>Infiniti G Sedan G25</v>
      </c>
      <c r="S1958" s="1" t="str" cm="1">
        <f t="array" ref="S1958">_xlfn.IFS(I1958 &gt;= 40, "High", I1958&gt;=20, "Medium", I1958&lt;20, "Low")</f>
        <v>Medium</v>
      </c>
      <c r="T1958" s="1" t="str" cm="1">
        <f t="array" ref="T1958">_xlfn.IFS(O1958&lt;18200, "Low", O1958&lt;=50000, "Medium", O1958&gt;50000, "High")</f>
        <v>Low</v>
      </c>
    </row>
    <row r="1959" spans="1:20" x14ac:dyDescent="0.25">
      <c r="A1959" s="2">
        <v>2011</v>
      </c>
      <c r="B1959" s="1" t="s">
        <v>85</v>
      </c>
      <c r="C1959" s="1" t="s">
        <v>86</v>
      </c>
      <c r="D1959" s="1" t="s">
        <v>87</v>
      </c>
      <c r="E1959" s="1" t="s">
        <v>32</v>
      </c>
      <c r="F1959" s="1" t="s">
        <v>20</v>
      </c>
      <c r="G1959" s="1" t="s">
        <v>2820</v>
      </c>
      <c r="H1959" s="1" t="s">
        <v>22</v>
      </c>
      <c r="I1959" s="1">
        <v>19</v>
      </c>
      <c r="J1959" s="1">
        <v>96063</v>
      </c>
      <c r="K1959" s="1" t="s">
        <v>34</v>
      </c>
      <c r="L1959" s="1" t="s">
        <v>34</v>
      </c>
      <c r="M1959" s="1" t="s">
        <v>2821</v>
      </c>
      <c r="N1959" s="1">
        <v>7225</v>
      </c>
      <c r="O1959" s="12">
        <v>5400</v>
      </c>
      <c r="P1959" s="3" t="s">
        <v>57</v>
      </c>
      <c r="Q1959" s="1" cm="1">
        <f t="array" ref="Q1959">VALUE(INDEX(_xlfn.TEXTSPLIT(P1959, " "), 4))</f>
        <v>2014</v>
      </c>
      <c r="R1959" s="1" t="str">
        <f t="shared" si="30"/>
        <v>Ford Fusion SE</v>
      </c>
      <c r="S1959" s="1" t="str" cm="1">
        <f t="array" ref="S1959">_xlfn.IFS(I1959 &gt;= 40, "High", I1959&gt;=20, "Medium", I1959&lt;20, "Low")</f>
        <v>Low</v>
      </c>
      <c r="T1959" s="1" t="str" cm="1">
        <f t="array" ref="T1959">_xlfn.IFS(O1959&lt;18200, "Low", O1959&lt;=50000, "Medium", O1959&gt;50000, "High")</f>
        <v>Low</v>
      </c>
    </row>
    <row r="1960" spans="1:20" x14ac:dyDescent="0.25">
      <c r="A1960" s="2">
        <v>2011</v>
      </c>
      <c r="B1960" s="1" t="s">
        <v>98</v>
      </c>
      <c r="C1960" s="1" t="s">
        <v>336</v>
      </c>
      <c r="D1960" s="1" t="s">
        <v>337</v>
      </c>
      <c r="E1960" s="1" t="s">
        <v>19</v>
      </c>
      <c r="F1960" s="1" t="s">
        <v>20</v>
      </c>
      <c r="G1960" s="1" t="s">
        <v>2822</v>
      </c>
      <c r="H1960" s="1" t="s">
        <v>22</v>
      </c>
      <c r="I1960" s="1">
        <v>39</v>
      </c>
      <c r="J1960" s="1">
        <v>46390</v>
      </c>
      <c r="K1960" s="1" t="s">
        <v>23</v>
      </c>
      <c r="L1960" s="1" t="s">
        <v>28</v>
      </c>
      <c r="M1960" s="1" t="s">
        <v>339</v>
      </c>
      <c r="N1960" s="1">
        <v>16350</v>
      </c>
      <c r="O1960" s="12">
        <v>13200</v>
      </c>
      <c r="P1960" s="3" t="s">
        <v>84</v>
      </c>
      <c r="Q1960" s="1" cm="1">
        <f t="array" ref="Q1960">VALUE(INDEX(_xlfn.TEXTSPLIT(P1960, " "), 4))</f>
        <v>2014</v>
      </c>
      <c r="R1960" s="1" t="str">
        <f t="shared" si="30"/>
        <v>Hyundai Santa Fe Limited</v>
      </c>
      <c r="S1960" s="1" t="str" cm="1">
        <f t="array" ref="S1960">_xlfn.IFS(I1960 &gt;= 40, "High", I1960&gt;=20, "Medium", I1960&lt;20, "Low")</f>
        <v>Medium</v>
      </c>
      <c r="T1960" s="1" t="str" cm="1">
        <f t="array" ref="T1960">_xlfn.IFS(O1960&lt;18200, "Low", O1960&lt;=50000, "Medium", O1960&gt;50000, "High")</f>
        <v>Low</v>
      </c>
    </row>
    <row r="1961" spans="1:20" x14ac:dyDescent="0.25">
      <c r="A1961" s="2">
        <v>2011</v>
      </c>
      <c r="B1961" s="1" t="s">
        <v>85</v>
      </c>
      <c r="C1961" s="1" t="s">
        <v>1600</v>
      </c>
      <c r="D1961" s="1" t="s">
        <v>2823</v>
      </c>
      <c r="E1961" s="1" t="s">
        <v>1737</v>
      </c>
      <c r="F1961" s="1" t="s">
        <v>20</v>
      </c>
      <c r="G1961" s="1" t="s">
        <v>2824</v>
      </c>
      <c r="H1961" s="1" t="s">
        <v>22</v>
      </c>
      <c r="I1961" s="1">
        <v>37</v>
      </c>
      <c r="J1961" s="1">
        <v>29711</v>
      </c>
      <c r="K1961" s="1" t="s">
        <v>24</v>
      </c>
      <c r="L1961" s="1" t="s">
        <v>24</v>
      </c>
      <c r="M1961" s="1" t="s">
        <v>1515</v>
      </c>
      <c r="N1961" s="1">
        <v>26200</v>
      </c>
      <c r="O1961" s="12">
        <v>27100</v>
      </c>
      <c r="P1961" s="3" t="s">
        <v>1609</v>
      </c>
      <c r="Q1961" s="1" cm="1">
        <f t="array" ref="Q1961">VALUE(INDEX(_xlfn.TEXTSPLIT(P1961, " "), 4))</f>
        <v>2015</v>
      </c>
      <c r="R1961" s="1" t="str">
        <f t="shared" si="30"/>
        <v>Ford F-150 FX4</v>
      </c>
      <c r="S1961" s="1" t="str" cm="1">
        <f t="array" ref="S1961">_xlfn.IFS(I1961 &gt;= 40, "High", I1961&gt;=20, "Medium", I1961&lt;20, "Low")</f>
        <v>Medium</v>
      </c>
      <c r="T1961" s="1" t="str" cm="1">
        <f t="array" ref="T1961">_xlfn.IFS(O1961&lt;18200, "Low", O1961&lt;=50000, "Medium", O1961&gt;50000, "High")</f>
        <v>Medium</v>
      </c>
    </row>
    <row r="1962" spans="1:20" x14ac:dyDescent="0.25">
      <c r="A1962" s="2">
        <v>2011</v>
      </c>
      <c r="B1962" s="1" t="s">
        <v>318</v>
      </c>
      <c r="C1962" s="1" t="s">
        <v>735</v>
      </c>
      <c r="D1962" s="1" t="s">
        <v>2825</v>
      </c>
      <c r="E1962" s="1" t="s">
        <v>19</v>
      </c>
      <c r="F1962" s="1" t="s">
        <v>20</v>
      </c>
      <c r="G1962" s="1" t="s">
        <v>2826</v>
      </c>
      <c r="H1962" s="1" t="s">
        <v>22</v>
      </c>
      <c r="I1962" s="1">
        <v>4</v>
      </c>
      <c r="J1962" s="1">
        <v>44993</v>
      </c>
      <c r="K1962" s="1" t="s">
        <v>24</v>
      </c>
      <c r="L1962" s="1" t="s">
        <v>24</v>
      </c>
      <c r="M1962" s="1" t="s">
        <v>322</v>
      </c>
      <c r="N1962" s="1">
        <v>20600</v>
      </c>
      <c r="O1962" s="12">
        <v>23250</v>
      </c>
      <c r="P1962" s="3" t="s">
        <v>46</v>
      </c>
      <c r="Q1962" s="1" cm="1">
        <f t="array" ref="Q1962">VALUE(INDEX(_xlfn.TEXTSPLIT(P1962, " "), 4))</f>
        <v>2014</v>
      </c>
      <c r="R1962" s="1" t="str">
        <f t="shared" si="30"/>
        <v>Infiniti EX EX35</v>
      </c>
      <c r="S1962" s="1" t="str" cm="1">
        <f t="array" ref="S1962">_xlfn.IFS(I1962 &gt;= 40, "High", I1962&gt;=20, "Medium", I1962&lt;20, "Low")</f>
        <v>Low</v>
      </c>
      <c r="T1962" s="1" t="str" cm="1">
        <f t="array" ref="T1962">_xlfn.IFS(O1962&lt;18200, "Low", O1962&lt;=50000, "Medium", O1962&gt;50000, "High")</f>
        <v>Medium</v>
      </c>
    </row>
    <row r="1963" spans="1:20" x14ac:dyDescent="0.25">
      <c r="A1963" s="2">
        <v>2011</v>
      </c>
      <c r="B1963" s="1" t="s">
        <v>29</v>
      </c>
      <c r="C1963" s="1" t="s">
        <v>136</v>
      </c>
      <c r="D1963" s="1" t="s">
        <v>1583</v>
      </c>
      <c r="E1963" s="1" t="s">
        <v>19</v>
      </c>
      <c r="F1963" s="1" t="s">
        <v>20</v>
      </c>
      <c r="G1963" s="1" t="s">
        <v>2827</v>
      </c>
      <c r="H1963" s="1" t="s">
        <v>22</v>
      </c>
      <c r="I1963" s="1">
        <v>29</v>
      </c>
      <c r="J1963" s="1">
        <v>38650</v>
      </c>
      <c r="K1963" s="1" t="s">
        <v>24</v>
      </c>
      <c r="L1963" s="1" t="s">
        <v>24</v>
      </c>
      <c r="M1963" s="1" t="s">
        <v>35</v>
      </c>
      <c r="N1963" s="1">
        <v>31700</v>
      </c>
      <c r="O1963" s="12">
        <v>25000</v>
      </c>
      <c r="P1963" s="3" t="s">
        <v>26</v>
      </c>
      <c r="Q1963" s="1" cm="1">
        <f t="array" ref="Q1963">VALUE(INDEX(_xlfn.TEXTSPLIT(P1963, " "), 4))</f>
        <v>2014</v>
      </c>
      <c r="R1963" s="1" t="str">
        <f t="shared" si="30"/>
        <v>BMW X5 xDrive50i</v>
      </c>
      <c r="S1963" s="1" t="str" cm="1">
        <f t="array" ref="S1963">_xlfn.IFS(I1963 &gt;= 40, "High", I1963&gt;=20, "Medium", I1963&lt;20, "Low")</f>
        <v>Medium</v>
      </c>
      <c r="T1963" s="1" t="str" cm="1">
        <f t="array" ref="T1963">_xlfn.IFS(O1963&lt;18200, "Low", O1963&lt;=50000, "Medium", O1963&gt;50000, "High")</f>
        <v>Medium</v>
      </c>
    </row>
    <row r="1964" spans="1:20" x14ac:dyDescent="0.25">
      <c r="A1964" s="2">
        <v>2011</v>
      </c>
      <c r="B1964" s="1" t="s">
        <v>85</v>
      </c>
      <c r="C1964" s="1" t="s">
        <v>1517</v>
      </c>
      <c r="D1964" s="1" t="s">
        <v>1518</v>
      </c>
      <c r="E1964" s="1" t="s">
        <v>19</v>
      </c>
      <c r="F1964" s="1" t="s">
        <v>20</v>
      </c>
      <c r="G1964" s="1" t="s">
        <v>2828</v>
      </c>
      <c r="H1964" s="1" t="s">
        <v>22</v>
      </c>
      <c r="I1964" s="1">
        <v>33</v>
      </c>
      <c r="J1964" s="1">
        <v>43357</v>
      </c>
      <c r="K1964" s="1" t="s">
        <v>24</v>
      </c>
      <c r="L1964" s="1" t="s">
        <v>24</v>
      </c>
      <c r="M1964" s="1" t="s">
        <v>1515</v>
      </c>
      <c r="N1964" s="1">
        <v>19500</v>
      </c>
      <c r="O1964" s="12">
        <v>19000</v>
      </c>
      <c r="P1964" s="3" t="s">
        <v>68</v>
      </c>
      <c r="Q1964" s="1" cm="1">
        <f t="array" ref="Q1964">VALUE(INDEX(_xlfn.TEXTSPLIT(P1964, " "), 4))</f>
        <v>2014</v>
      </c>
      <c r="R1964" s="1" t="str">
        <f t="shared" si="30"/>
        <v>Ford Edge SEL</v>
      </c>
      <c r="S1964" s="1" t="str" cm="1">
        <f t="array" ref="S1964">_xlfn.IFS(I1964 &gt;= 40, "High", I1964&gt;=20, "Medium", I1964&lt;20, "Low")</f>
        <v>Medium</v>
      </c>
      <c r="T1964" s="1" t="str" cm="1">
        <f t="array" ref="T1964">_xlfn.IFS(O1964&lt;18200, "Low", O1964&lt;=50000, "Medium", O1964&gt;50000, "High")</f>
        <v>Medium</v>
      </c>
    </row>
    <row r="1965" spans="1:20" x14ac:dyDescent="0.25">
      <c r="A1965" s="2">
        <v>2011</v>
      </c>
      <c r="B1965" s="1" t="s">
        <v>58</v>
      </c>
      <c r="C1965" s="1" t="s">
        <v>160</v>
      </c>
      <c r="D1965" s="1" t="s">
        <v>2829</v>
      </c>
      <c r="E1965" s="1" t="s">
        <v>19</v>
      </c>
      <c r="F1965" s="1" t="s">
        <v>20</v>
      </c>
      <c r="G1965" s="1" t="s">
        <v>2830</v>
      </c>
      <c r="H1965" s="1" t="s">
        <v>22</v>
      </c>
      <c r="I1965" s="1">
        <v>36</v>
      </c>
      <c r="J1965" s="1">
        <v>110465</v>
      </c>
      <c r="K1965" s="1" t="s">
        <v>34</v>
      </c>
      <c r="L1965" s="1" t="s">
        <v>24</v>
      </c>
      <c r="M1965" s="1" t="s">
        <v>2112</v>
      </c>
      <c r="N1965" s="1">
        <v>22500</v>
      </c>
      <c r="O1965" s="12">
        <v>21500</v>
      </c>
      <c r="P1965" s="3" t="s">
        <v>2686</v>
      </c>
      <c r="Q1965" s="1" cm="1">
        <f t="array" ref="Q1965">VALUE(INDEX(_xlfn.TEXTSPLIT(P1965, " "), 4))</f>
        <v>2015</v>
      </c>
      <c r="R1965" s="1" t="str">
        <f t="shared" si="30"/>
        <v>Chevrolet Suburban LTZ 1500</v>
      </c>
      <c r="S1965" s="1" t="str" cm="1">
        <f t="array" ref="S1965">_xlfn.IFS(I1965 &gt;= 40, "High", I1965&gt;=20, "Medium", I1965&lt;20, "Low")</f>
        <v>Medium</v>
      </c>
      <c r="T1965" s="1" t="str" cm="1">
        <f t="array" ref="T1965">_xlfn.IFS(O1965&lt;18200, "Low", O1965&lt;=50000, "Medium", O1965&gt;50000, "High")</f>
        <v>Medium</v>
      </c>
    </row>
    <row r="1966" spans="1:20" x14ac:dyDescent="0.25">
      <c r="A1966" s="2">
        <v>2011</v>
      </c>
      <c r="B1966" s="1" t="s">
        <v>85</v>
      </c>
      <c r="C1966" s="1" t="s">
        <v>86</v>
      </c>
      <c r="D1966" s="1" t="s">
        <v>87</v>
      </c>
      <c r="E1966" s="1" t="s">
        <v>32</v>
      </c>
      <c r="F1966" s="1" t="s">
        <v>20</v>
      </c>
      <c r="G1966" s="1" t="s">
        <v>2831</v>
      </c>
      <c r="H1966" s="1" t="s">
        <v>22</v>
      </c>
      <c r="I1966" s="1">
        <v>41</v>
      </c>
      <c r="J1966" s="1">
        <v>88004</v>
      </c>
      <c r="K1966" s="1" t="s">
        <v>23</v>
      </c>
      <c r="L1966" s="1" t="s">
        <v>28</v>
      </c>
      <c r="M1966" s="1" t="s">
        <v>1623</v>
      </c>
      <c r="N1966" s="1">
        <v>7600</v>
      </c>
      <c r="O1966" s="12">
        <v>8750</v>
      </c>
      <c r="P1966" s="3" t="s">
        <v>57</v>
      </c>
      <c r="Q1966" s="1" cm="1">
        <f t="array" ref="Q1966">VALUE(INDEX(_xlfn.TEXTSPLIT(P1966, " "), 4))</f>
        <v>2014</v>
      </c>
      <c r="R1966" s="1" t="str">
        <f t="shared" si="30"/>
        <v>Ford Fusion SE</v>
      </c>
      <c r="S1966" s="1" t="str" cm="1">
        <f t="array" ref="S1966">_xlfn.IFS(I1966 &gt;= 40, "High", I1966&gt;=20, "Medium", I1966&lt;20, "Low")</f>
        <v>High</v>
      </c>
      <c r="T1966" s="1" t="str" cm="1">
        <f t="array" ref="T1966">_xlfn.IFS(O1966&lt;18200, "Low", O1966&lt;=50000, "Medium", O1966&gt;50000, "High")</f>
        <v>Low</v>
      </c>
    </row>
    <row r="1967" spans="1:20" x14ac:dyDescent="0.25">
      <c r="A1967" s="2">
        <v>2011</v>
      </c>
      <c r="B1967" s="1" t="s">
        <v>318</v>
      </c>
      <c r="C1967" s="1" t="s">
        <v>323</v>
      </c>
      <c r="D1967" s="1" t="s">
        <v>1817</v>
      </c>
      <c r="E1967" s="1" t="s">
        <v>323</v>
      </c>
      <c r="F1967" s="1" t="s">
        <v>20</v>
      </c>
      <c r="G1967" s="1" t="s">
        <v>2832</v>
      </c>
      <c r="H1967" s="1" t="s">
        <v>22</v>
      </c>
      <c r="I1967" s="1">
        <v>37</v>
      </c>
      <c r="J1967" s="1">
        <v>25606</v>
      </c>
      <c r="K1967" s="1" t="s">
        <v>34</v>
      </c>
      <c r="L1967" s="1" t="s">
        <v>24</v>
      </c>
      <c r="M1967" s="1" t="s">
        <v>322</v>
      </c>
      <c r="N1967" s="1">
        <v>17800</v>
      </c>
      <c r="O1967" s="12">
        <v>17500</v>
      </c>
      <c r="P1967" s="3" t="s">
        <v>57</v>
      </c>
      <c r="Q1967" s="1" cm="1">
        <f t="array" ref="Q1967">VALUE(INDEX(_xlfn.TEXTSPLIT(P1967, " "), 4))</f>
        <v>2014</v>
      </c>
      <c r="R1967" s="1" t="str">
        <f t="shared" si="30"/>
        <v>Infiniti G Sedan G25</v>
      </c>
      <c r="S1967" s="1" t="str" cm="1">
        <f t="array" ref="S1967">_xlfn.IFS(I1967 &gt;= 40, "High", I1967&gt;=20, "Medium", I1967&lt;20, "Low")</f>
        <v>Medium</v>
      </c>
      <c r="T1967" s="1" t="str" cm="1">
        <f t="array" ref="T1967">_xlfn.IFS(O1967&lt;18200, "Low", O1967&lt;=50000, "Medium", O1967&gt;50000, "High")</f>
        <v>Low</v>
      </c>
    </row>
    <row r="1968" spans="1:20" x14ac:dyDescent="0.25">
      <c r="A1968" s="2">
        <v>2011</v>
      </c>
      <c r="B1968" s="1" t="s">
        <v>29</v>
      </c>
      <c r="C1968" s="1" t="s">
        <v>136</v>
      </c>
      <c r="D1968" s="1" t="s">
        <v>1534</v>
      </c>
      <c r="E1968" s="1" t="s">
        <v>19</v>
      </c>
      <c r="F1968" s="1" t="s">
        <v>20</v>
      </c>
      <c r="G1968" s="1" t="s">
        <v>2833</v>
      </c>
      <c r="H1968" s="1" t="s">
        <v>22</v>
      </c>
      <c r="I1968" s="1">
        <v>38</v>
      </c>
      <c r="J1968" s="1">
        <v>39989</v>
      </c>
      <c r="K1968" s="1" t="s">
        <v>101</v>
      </c>
      <c r="L1968" s="1" t="s">
        <v>24</v>
      </c>
      <c r="M1968" s="1" t="s">
        <v>35</v>
      </c>
      <c r="N1968" s="1">
        <v>30300</v>
      </c>
      <c r="O1968" s="12">
        <v>33750</v>
      </c>
      <c r="P1968" s="3" t="s">
        <v>46</v>
      </c>
      <c r="Q1968" s="1" cm="1">
        <f t="array" ref="Q1968">VALUE(INDEX(_xlfn.TEXTSPLIT(P1968, " "), 4))</f>
        <v>2014</v>
      </c>
      <c r="R1968" s="1" t="str">
        <f t="shared" si="30"/>
        <v>BMW X5 xDrive35d</v>
      </c>
      <c r="S1968" s="1" t="str" cm="1">
        <f t="array" ref="S1968">_xlfn.IFS(I1968 &gt;= 40, "High", I1968&gt;=20, "Medium", I1968&lt;20, "Low")</f>
        <v>Medium</v>
      </c>
      <c r="T1968" s="1" t="str" cm="1">
        <f t="array" ref="T1968">_xlfn.IFS(O1968&lt;18200, "Low", O1968&lt;=50000, "Medium", O1968&gt;50000, "High")</f>
        <v>Medium</v>
      </c>
    </row>
    <row r="1969" spans="1:20" x14ac:dyDescent="0.25">
      <c r="A1969" s="2">
        <v>2011</v>
      </c>
      <c r="B1969" s="1" t="s">
        <v>318</v>
      </c>
      <c r="C1969" s="1" t="s">
        <v>323</v>
      </c>
      <c r="D1969" s="1" t="s">
        <v>1817</v>
      </c>
      <c r="E1969" s="1" t="s">
        <v>323</v>
      </c>
      <c r="F1969" s="1" t="s">
        <v>20</v>
      </c>
      <c r="G1969" s="1" t="s">
        <v>2834</v>
      </c>
      <c r="H1969" s="1" t="s">
        <v>22</v>
      </c>
      <c r="I1969" s="1">
        <v>36</v>
      </c>
      <c r="J1969" s="1">
        <v>37823</v>
      </c>
      <c r="K1969" s="1" t="s">
        <v>94</v>
      </c>
      <c r="L1969" s="1" t="s">
        <v>24</v>
      </c>
      <c r="M1969" s="1" t="s">
        <v>322</v>
      </c>
      <c r="N1969" s="1">
        <v>16850</v>
      </c>
      <c r="O1969" s="12">
        <v>16500</v>
      </c>
      <c r="P1969" s="3" t="s">
        <v>46</v>
      </c>
      <c r="Q1969" s="1" cm="1">
        <f t="array" ref="Q1969">VALUE(INDEX(_xlfn.TEXTSPLIT(P1969, " "), 4))</f>
        <v>2014</v>
      </c>
      <c r="R1969" s="1" t="str">
        <f t="shared" si="30"/>
        <v>Infiniti G Sedan G25</v>
      </c>
      <c r="S1969" s="1" t="str" cm="1">
        <f t="array" ref="S1969">_xlfn.IFS(I1969 &gt;= 40, "High", I1969&gt;=20, "Medium", I1969&lt;20, "Low")</f>
        <v>Medium</v>
      </c>
      <c r="T1969" s="1" t="str" cm="1">
        <f t="array" ref="T1969">_xlfn.IFS(O1969&lt;18200, "Low", O1969&lt;=50000, "Medium", O1969&gt;50000, "High")</f>
        <v>Low</v>
      </c>
    </row>
    <row r="1970" spans="1:20" x14ac:dyDescent="0.25">
      <c r="A1970" s="2">
        <v>2011</v>
      </c>
      <c r="B1970" s="1" t="s">
        <v>58</v>
      </c>
      <c r="C1970" s="1" t="s">
        <v>1539</v>
      </c>
      <c r="D1970" s="1" t="s">
        <v>2798</v>
      </c>
      <c r="E1970" s="1" t="s">
        <v>19</v>
      </c>
      <c r="F1970" s="1" t="s">
        <v>20</v>
      </c>
      <c r="G1970" s="1" t="s">
        <v>2835</v>
      </c>
      <c r="H1970" s="1" t="s">
        <v>22</v>
      </c>
      <c r="I1970" s="1">
        <v>41</v>
      </c>
      <c r="J1970" s="1">
        <v>110618</v>
      </c>
      <c r="K1970" s="1" t="s">
        <v>91</v>
      </c>
      <c r="L1970" s="1" t="s">
        <v>24</v>
      </c>
      <c r="M1970" s="1" t="s">
        <v>109</v>
      </c>
      <c r="N1970" s="1">
        <v>9600</v>
      </c>
      <c r="O1970" s="12">
        <v>11300</v>
      </c>
      <c r="P1970" s="3" t="s">
        <v>68</v>
      </c>
      <c r="Q1970" s="1" cm="1">
        <f t="array" ref="Q1970">VALUE(INDEX(_xlfn.TEXTSPLIT(P1970, " "), 4))</f>
        <v>2014</v>
      </c>
      <c r="R1970" s="1" t="str">
        <f t="shared" si="30"/>
        <v>Chevrolet Traverse LT1</v>
      </c>
      <c r="S1970" s="1" t="str" cm="1">
        <f t="array" ref="S1970">_xlfn.IFS(I1970 &gt;= 40, "High", I1970&gt;=20, "Medium", I1970&lt;20, "Low")</f>
        <v>High</v>
      </c>
      <c r="T1970" s="1" t="str" cm="1">
        <f t="array" ref="T1970">_xlfn.IFS(O1970&lt;18200, "Low", O1970&lt;=50000, "Medium", O1970&gt;50000, "High")</f>
        <v>Low</v>
      </c>
    </row>
    <row r="1971" spans="1:20" x14ac:dyDescent="0.25">
      <c r="A1971" s="2">
        <v>2011</v>
      </c>
      <c r="B1971" s="1" t="s">
        <v>98</v>
      </c>
      <c r="C1971" s="1" t="s">
        <v>99</v>
      </c>
      <c r="D1971" s="1" t="s">
        <v>87</v>
      </c>
      <c r="E1971" s="1" t="s">
        <v>32</v>
      </c>
      <c r="F1971" s="1" t="s">
        <v>20</v>
      </c>
      <c r="G1971" s="1" t="s">
        <v>2836</v>
      </c>
      <c r="H1971" s="1" t="s">
        <v>22</v>
      </c>
      <c r="I1971" s="1">
        <v>36</v>
      </c>
      <c r="J1971" s="1">
        <v>38781</v>
      </c>
      <c r="K1971" s="1" t="s">
        <v>24</v>
      </c>
      <c r="L1971" s="1" t="s">
        <v>24</v>
      </c>
      <c r="M1971" s="1" t="s">
        <v>946</v>
      </c>
      <c r="N1971" s="1">
        <v>11900</v>
      </c>
      <c r="O1971" s="12">
        <v>12600</v>
      </c>
      <c r="P1971" s="3" t="s">
        <v>68</v>
      </c>
      <c r="Q1971" s="1" cm="1">
        <f t="array" ref="Q1971">VALUE(INDEX(_xlfn.TEXTSPLIT(P1971, " "), 4))</f>
        <v>2014</v>
      </c>
      <c r="R1971" s="1" t="str">
        <f t="shared" si="30"/>
        <v>Hyundai Sonata SE</v>
      </c>
      <c r="S1971" s="1" t="str" cm="1">
        <f t="array" ref="S1971">_xlfn.IFS(I1971 &gt;= 40, "High", I1971&gt;=20, "Medium", I1971&lt;20, "Low")</f>
        <v>Medium</v>
      </c>
      <c r="T1971" s="1" t="str" cm="1">
        <f t="array" ref="T1971">_xlfn.IFS(O1971&lt;18200, "Low", O1971&lt;=50000, "Medium", O1971&gt;50000, "High")</f>
        <v>Low</v>
      </c>
    </row>
    <row r="1972" spans="1:20" x14ac:dyDescent="0.25">
      <c r="A1972" s="2">
        <v>2011</v>
      </c>
      <c r="B1972" s="1" t="s">
        <v>1925</v>
      </c>
      <c r="C1972" s="1" t="s">
        <v>2837</v>
      </c>
      <c r="D1972" s="1" t="s">
        <v>2838</v>
      </c>
      <c r="E1972" s="1" t="s">
        <v>1648</v>
      </c>
      <c r="F1972" s="1" t="s">
        <v>20</v>
      </c>
      <c r="G1972" s="1" t="s">
        <v>2839</v>
      </c>
      <c r="H1972" s="1" t="s">
        <v>22</v>
      </c>
      <c r="I1972" s="1">
        <v>27</v>
      </c>
      <c r="J1972" s="1">
        <v>31185</v>
      </c>
      <c r="K1972" s="1" t="s">
        <v>91</v>
      </c>
      <c r="L1972" s="1" t="s">
        <v>24</v>
      </c>
      <c r="M1972" s="1" t="s">
        <v>2840</v>
      </c>
      <c r="N1972" s="1">
        <v>19200</v>
      </c>
      <c r="O1972" s="12">
        <v>18000</v>
      </c>
      <c r="P1972" s="3" t="s">
        <v>987</v>
      </c>
      <c r="Q1972" s="1" cm="1">
        <f t="array" ref="Q1972">VALUE(INDEX(_xlfn.TEXTSPLIT(P1972, " "), 4))</f>
        <v>2015</v>
      </c>
      <c r="R1972" s="1" t="str">
        <f t="shared" si="30"/>
        <v>GMC Sierra 1500 SLE</v>
      </c>
      <c r="S1972" s="1" t="str" cm="1">
        <f t="array" ref="S1972">_xlfn.IFS(I1972 &gt;= 40, "High", I1972&gt;=20, "Medium", I1972&lt;20, "Low")</f>
        <v>Medium</v>
      </c>
      <c r="T1972" s="1" t="str" cm="1">
        <f t="array" ref="T1972">_xlfn.IFS(O1972&lt;18200, "Low", O1972&lt;=50000, "Medium", O1972&gt;50000, "High")</f>
        <v>Low</v>
      </c>
    </row>
    <row r="1973" spans="1:20" x14ac:dyDescent="0.25">
      <c r="A1973" s="2">
        <v>2011</v>
      </c>
      <c r="B1973" s="1" t="s">
        <v>85</v>
      </c>
      <c r="C1973" s="1" t="s">
        <v>1819</v>
      </c>
      <c r="D1973" s="1" t="s">
        <v>1196</v>
      </c>
      <c r="E1973" s="1" t="s">
        <v>107</v>
      </c>
      <c r="F1973" s="1" t="s">
        <v>20</v>
      </c>
      <c r="G1973" s="1" t="s">
        <v>2841</v>
      </c>
      <c r="H1973" s="1" t="s">
        <v>22</v>
      </c>
      <c r="I1973" s="1">
        <v>39</v>
      </c>
      <c r="J1973" s="1">
        <v>34154</v>
      </c>
      <c r="K1973" s="1" t="s">
        <v>24</v>
      </c>
      <c r="L1973" s="1" t="s">
        <v>24</v>
      </c>
      <c r="M1973" s="1" t="s">
        <v>1614</v>
      </c>
      <c r="N1973" s="1">
        <v>14250</v>
      </c>
      <c r="O1973" s="12">
        <v>16000</v>
      </c>
      <c r="P1973" s="3" t="s">
        <v>362</v>
      </c>
      <c r="Q1973" s="1" cm="1">
        <f t="array" ref="Q1973">VALUE(INDEX(_xlfn.TEXTSPLIT(P1973, " "), 4))</f>
        <v>2014</v>
      </c>
      <c r="R1973" s="1" t="str">
        <f t="shared" si="30"/>
        <v>Ford Mustang V6</v>
      </c>
      <c r="S1973" s="1" t="str" cm="1">
        <f t="array" ref="S1973">_xlfn.IFS(I1973 &gt;= 40, "High", I1973&gt;=20, "Medium", I1973&lt;20, "Low")</f>
        <v>Medium</v>
      </c>
      <c r="T1973" s="1" t="str" cm="1">
        <f t="array" ref="T1973">_xlfn.IFS(O1973&lt;18200, "Low", O1973&lt;=50000, "Medium", O1973&gt;50000, "High")</f>
        <v>Low</v>
      </c>
    </row>
    <row r="1974" spans="1:20" x14ac:dyDescent="0.25">
      <c r="A1974" s="2">
        <v>2011</v>
      </c>
      <c r="B1974" s="1" t="s">
        <v>85</v>
      </c>
      <c r="C1974" s="1" t="s">
        <v>1919</v>
      </c>
      <c r="D1974" s="1" t="s">
        <v>1920</v>
      </c>
      <c r="E1974" s="1" t="s">
        <v>738</v>
      </c>
      <c r="F1974" s="1" t="s">
        <v>20</v>
      </c>
      <c r="G1974" s="1" t="s">
        <v>2842</v>
      </c>
      <c r="H1974" s="1" t="s">
        <v>22</v>
      </c>
      <c r="I1974" s="1">
        <v>43</v>
      </c>
      <c r="J1974" s="1">
        <v>115751</v>
      </c>
      <c r="K1974" s="1" t="s">
        <v>23</v>
      </c>
      <c r="L1974" s="1" t="s">
        <v>34</v>
      </c>
      <c r="M1974" s="1" t="s">
        <v>2843</v>
      </c>
      <c r="N1974" s="1">
        <v>8575</v>
      </c>
      <c r="O1974" s="12">
        <v>8600</v>
      </c>
      <c r="P1974" s="3" t="s">
        <v>251</v>
      </c>
      <c r="Q1974" s="1" cm="1">
        <f t="array" ref="Q1974">VALUE(INDEX(_xlfn.TEXTSPLIT(P1974, " "), 4))</f>
        <v>2014</v>
      </c>
      <c r="R1974" s="1" t="str">
        <f t="shared" si="30"/>
        <v>Ford Transit Connect Cargo Van XLT</v>
      </c>
      <c r="S1974" s="1" t="str" cm="1">
        <f t="array" ref="S1974">_xlfn.IFS(I1974 &gt;= 40, "High", I1974&gt;=20, "Medium", I1974&lt;20, "Low")</f>
        <v>High</v>
      </c>
      <c r="T1974" s="1" t="str" cm="1">
        <f t="array" ref="T1974">_xlfn.IFS(O1974&lt;18200, "Low", O1974&lt;=50000, "Medium", O1974&gt;50000, "High")</f>
        <v>Low</v>
      </c>
    </row>
    <row r="1975" spans="1:20" x14ac:dyDescent="0.25">
      <c r="A1975" s="2">
        <v>2011</v>
      </c>
      <c r="B1975" s="1" t="s">
        <v>318</v>
      </c>
      <c r="C1975" s="1" t="s">
        <v>323</v>
      </c>
      <c r="D1975" s="1" t="s">
        <v>1817</v>
      </c>
      <c r="E1975" s="1" t="s">
        <v>323</v>
      </c>
      <c r="F1975" s="1" t="s">
        <v>20</v>
      </c>
      <c r="G1975" s="1" t="s">
        <v>2844</v>
      </c>
      <c r="H1975" s="1" t="s">
        <v>22</v>
      </c>
      <c r="I1975" s="1">
        <v>29</v>
      </c>
      <c r="J1975" s="1">
        <v>32303</v>
      </c>
      <c r="K1975" s="1" t="s">
        <v>23</v>
      </c>
      <c r="L1975" s="1" t="s">
        <v>549</v>
      </c>
      <c r="M1975" s="1" t="s">
        <v>322</v>
      </c>
      <c r="N1975" s="1">
        <v>17250</v>
      </c>
      <c r="O1975" s="12">
        <v>15750</v>
      </c>
      <c r="P1975" s="3" t="s">
        <v>173</v>
      </c>
      <c r="Q1975" s="1" cm="1">
        <f t="array" ref="Q1975">VALUE(INDEX(_xlfn.TEXTSPLIT(P1975, " "), 4))</f>
        <v>2015</v>
      </c>
      <c r="R1975" s="1" t="str">
        <f t="shared" si="30"/>
        <v>Infiniti G Sedan G25</v>
      </c>
      <c r="S1975" s="1" t="str" cm="1">
        <f t="array" ref="S1975">_xlfn.IFS(I1975 &gt;= 40, "High", I1975&gt;=20, "Medium", I1975&lt;20, "Low")</f>
        <v>Medium</v>
      </c>
      <c r="T1975" s="1" t="str" cm="1">
        <f t="array" ref="T1975">_xlfn.IFS(O1975&lt;18200, "Low", O1975&lt;=50000, "Medium", O1975&gt;50000, "High")</f>
        <v>Low</v>
      </c>
    </row>
    <row r="1976" spans="1:20" x14ac:dyDescent="0.25">
      <c r="A1976" s="2">
        <v>2011</v>
      </c>
      <c r="B1976" s="1" t="s">
        <v>29</v>
      </c>
      <c r="C1976" s="1" t="s">
        <v>1356</v>
      </c>
      <c r="D1976" s="1" t="s">
        <v>54</v>
      </c>
      <c r="E1976" s="1" t="s">
        <v>32</v>
      </c>
      <c r="F1976" s="1" t="s">
        <v>20</v>
      </c>
      <c r="G1976" s="1" t="s">
        <v>2845</v>
      </c>
      <c r="H1976" s="1" t="s">
        <v>22</v>
      </c>
      <c r="I1976" s="1">
        <v>24</v>
      </c>
      <c r="J1976" s="1">
        <v>30463</v>
      </c>
      <c r="K1976" s="1" t="s">
        <v>34</v>
      </c>
      <c r="L1976" s="1" t="s">
        <v>101</v>
      </c>
      <c r="M1976" s="1" t="s">
        <v>35</v>
      </c>
      <c r="N1976" s="1">
        <v>41000</v>
      </c>
      <c r="O1976" s="12">
        <v>38500</v>
      </c>
      <c r="P1976" s="3" t="s">
        <v>173</v>
      </c>
      <c r="Q1976" s="1" cm="1">
        <f t="array" ref="Q1976">VALUE(INDEX(_xlfn.TEXTSPLIT(P1976, " "), 4))</f>
        <v>2015</v>
      </c>
      <c r="R1976" s="1" t="str">
        <f t="shared" si="30"/>
        <v>BMW M3 Base</v>
      </c>
      <c r="S1976" s="1" t="str" cm="1">
        <f t="array" ref="S1976">_xlfn.IFS(I1976 &gt;= 40, "High", I1976&gt;=20, "Medium", I1976&lt;20, "Low")</f>
        <v>Medium</v>
      </c>
      <c r="T1976" s="1" t="str" cm="1">
        <f t="array" ref="T1976">_xlfn.IFS(O1976&lt;18200, "Low", O1976&lt;=50000, "Medium", O1976&gt;50000, "High")</f>
        <v>Medium</v>
      </c>
    </row>
    <row r="1977" spans="1:20" x14ac:dyDescent="0.25">
      <c r="A1977" s="2">
        <v>2011</v>
      </c>
      <c r="B1977" s="1" t="s">
        <v>155</v>
      </c>
      <c r="C1977" s="1" t="s">
        <v>2846</v>
      </c>
      <c r="D1977" s="1" t="s">
        <v>2847</v>
      </c>
      <c r="E1977" s="1" t="s">
        <v>32</v>
      </c>
      <c r="F1977" s="1" t="s">
        <v>20</v>
      </c>
      <c r="G1977" s="1" t="s">
        <v>2848</v>
      </c>
      <c r="H1977" s="1" t="s">
        <v>22</v>
      </c>
      <c r="I1977" s="1">
        <v>37</v>
      </c>
      <c r="J1977" s="1">
        <v>67592</v>
      </c>
      <c r="K1977" s="1" t="s">
        <v>91</v>
      </c>
      <c r="L1977" s="1" t="s">
        <v>91</v>
      </c>
      <c r="M1977" s="1" t="s">
        <v>742</v>
      </c>
      <c r="N1977" s="1">
        <v>12350</v>
      </c>
      <c r="O1977" s="12">
        <v>13300</v>
      </c>
      <c r="P1977" s="3" t="s">
        <v>57</v>
      </c>
      <c r="Q1977" s="1" cm="1">
        <f t="array" ref="Q1977">VALUE(INDEX(_xlfn.TEXTSPLIT(P1977, " "), 4))</f>
        <v>2014</v>
      </c>
      <c r="R1977" s="1" t="str">
        <f t="shared" si="30"/>
        <v>Buick LaCrosse CXL</v>
      </c>
      <c r="S1977" s="1" t="str" cm="1">
        <f t="array" ref="S1977">_xlfn.IFS(I1977 &gt;= 40, "High", I1977&gt;=20, "Medium", I1977&lt;20, "Low")</f>
        <v>Medium</v>
      </c>
      <c r="T1977" s="1" t="str" cm="1">
        <f t="array" ref="T1977">_xlfn.IFS(O1977&lt;18200, "Low", O1977&lt;=50000, "Medium", O1977&gt;50000, "High")</f>
        <v>Low</v>
      </c>
    </row>
    <row r="1978" spans="1:20" x14ac:dyDescent="0.25">
      <c r="A1978" s="2">
        <v>2011</v>
      </c>
      <c r="B1978" s="1" t="s">
        <v>58</v>
      </c>
      <c r="C1978" s="1" t="s">
        <v>2849</v>
      </c>
      <c r="D1978" s="1" t="s">
        <v>106</v>
      </c>
      <c r="E1978" s="1" t="s">
        <v>130</v>
      </c>
      <c r="F1978" s="1" t="s">
        <v>20</v>
      </c>
      <c r="G1978" s="1" t="s">
        <v>2850</v>
      </c>
      <c r="H1978" s="1" t="s">
        <v>22</v>
      </c>
      <c r="I1978" s="1">
        <v>34</v>
      </c>
      <c r="J1978" s="1">
        <v>102539</v>
      </c>
      <c r="K1978" s="1" t="s">
        <v>23</v>
      </c>
      <c r="L1978" s="1" t="s">
        <v>34</v>
      </c>
      <c r="M1978" s="1" t="s">
        <v>2851</v>
      </c>
      <c r="N1978" s="1">
        <v>5075</v>
      </c>
      <c r="O1978" s="12">
        <v>6400</v>
      </c>
      <c r="P1978" s="3" t="s">
        <v>26</v>
      </c>
      <c r="Q1978" s="1" cm="1">
        <f t="array" ref="Q1978">VALUE(INDEX(_xlfn.TEXTSPLIT(P1978, " "), 4))</f>
        <v>2014</v>
      </c>
      <c r="R1978" s="1" t="str">
        <f t="shared" si="30"/>
        <v>Chevrolet HHR LS</v>
      </c>
      <c r="S1978" s="1" t="str" cm="1">
        <f t="array" ref="S1978">_xlfn.IFS(I1978 &gt;= 40, "High", I1978&gt;=20, "Medium", I1978&lt;20, "Low")</f>
        <v>Medium</v>
      </c>
      <c r="T1978" s="1" t="str" cm="1">
        <f t="array" ref="T1978">_xlfn.IFS(O1978&lt;18200, "Low", O1978&lt;=50000, "Medium", O1978&gt;50000, "High")</f>
        <v>Low</v>
      </c>
    </row>
    <row r="1979" spans="1:20" x14ac:dyDescent="0.25">
      <c r="A1979" s="2">
        <v>2011</v>
      </c>
      <c r="B1979" s="1" t="s">
        <v>85</v>
      </c>
      <c r="C1979" s="1" t="s">
        <v>1517</v>
      </c>
      <c r="D1979" s="1" t="s">
        <v>87</v>
      </c>
      <c r="E1979" s="1" t="s">
        <v>19</v>
      </c>
      <c r="F1979" s="1" t="s">
        <v>20</v>
      </c>
      <c r="G1979" s="1" t="s">
        <v>2852</v>
      </c>
      <c r="H1979" s="1" t="s">
        <v>22</v>
      </c>
      <c r="I1979" s="1">
        <v>39</v>
      </c>
      <c r="J1979" s="1">
        <v>27355</v>
      </c>
      <c r="K1979" s="1" t="s">
        <v>91</v>
      </c>
      <c r="L1979" s="1" t="s">
        <v>28</v>
      </c>
      <c r="M1979" s="1" t="s">
        <v>2541</v>
      </c>
      <c r="N1979" s="1">
        <v>15150</v>
      </c>
      <c r="O1979" s="12">
        <v>7750</v>
      </c>
      <c r="P1979" s="3" t="s">
        <v>987</v>
      </c>
      <c r="Q1979" s="1" cm="1">
        <f t="array" ref="Q1979">VALUE(INDEX(_xlfn.TEXTSPLIT(P1979, " "), 4))</f>
        <v>2015</v>
      </c>
      <c r="R1979" s="1" t="str">
        <f t="shared" si="30"/>
        <v>Ford Edge SE</v>
      </c>
      <c r="S1979" s="1" t="str" cm="1">
        <f t="array" ref="S1979">_xlfn.IFS(I1979 &gt;= 40, "High", I1979&gt;=20, "Medium", I1979&lt;20, "Low")</f>
        <v>Medium</v>
      </c>
      <c r="T1979" s="1" t="str" cm="1">
        <f t="array" ref="T1979">_xlfn.IFS(O1979&lt;18200, "Low", O1979&lt;=50000, "Medium", O1979&gt;50000, "High")</f>
        <v>Low</v>
      </c>
    </row>
    <row r="1980" spans="1:20" x14ac:dyDescent="0.25">
      <c r="A1980" s="2">
        <v>2011</v>
      </c>
      <c r="B1980" s="1" t="s">
        <v>58</v>
      </c>
      <c r="C1980" s="1" t="s">
        <v>113</v>
      </c>
      <c r="D1980" s="1" t="s">
        <v>1541</v>
      </c>
      <c r="E1980" s="1" t="s">
        <v>32</v>
      </c>
      <c r="F1980" s="1" t="s">
        <v>20</v>
      </c>
      <c r="G1980" s="1" t="s">
        <v>2853</v>
      </c>
      <c r="H1980" s="1" t="s">
        <v>22</v>
      </c>
      <c r="I1980" s="1">
        <v>35</v>
      </c>
      <c r="J1980" s="1">
        <v>82905</v>
      </c>
      <c r="K1980" s="1" t="s">
        <v>23</v>
      </c>
      <c r="L1980" s="1" t="s">
        <v>24</v>
      </c>
      <c r="M1980" s="1" t="s">
        <v>292</v>
      </c>
      <c r="N1980" s="1">
        <v>7200</v>
      </c>
      <c r="O1980" s="12">
        <v>6400</v>
      </c>
      <c r="P1980" s="3" t="s">
        <v>26</v>
      </c>
      <c r="Q1980" s="1" cm="1">
        <f t="array" ref="Q1980">VALUE(INDEX(_xlfn.TEXTSPLIT(P1980, " "), 4))</f>
        <v>2014</v>
      </c>
      <c r="R1980" s="1" t="str">
        <f t="shared" si="30"/>
        <v>Chevrolet Impala LS Fleet</v>
      </c>
      <c r="S1980" s="1" t="str" cm="1">
        <f t="array" ref="S1980">_xlfn.IFS(I1980 &gt;= 40, "High", I1980&gt;=20, "Medium", I1980&lt;20, "Low")</f>
        <v>Medium</v>
      </c>
      <c r="T1980" s="1" t="str" cm="1">
        <f t="array" ref="T1980">_xlfn.IFS(O1980&lt;18200, "Low", O1980&lt;=50000, "Medium", O1980&gt;50000, "High")</f>
        <v>Low</v>
      </c>
    </row>
    <row r="1981" spans="1:20" x14ac:dyDescent="0.25">
      <c r="A1981" s="2">
        <v>2011</v>
      </c>
      <c r="B1981" s="1" t="s">
        <v>85</v>
      </c>
      <c r="C1981" s="1" t="s">
        <v>86</v>
      </c>
      <c r="D1981" s="1" t="s">
        <v>87</v>
      </c>
      <c r="E1981" s="1" t="s">
        <v>32</v>
      </c>
      <c r="F1981" s="1" t="s">
        <v>20</v>
      </c>
      <c r="G1981" s="1" t="s">
        <v>2854</v>
      </c>
      <c r="H1981" s="1" t="s">
        <v>22</v>
      </c>
      <c r="I1981" s="1">
        <v>45</v>
      </c>
      <c r="J1981" s="1">
        <v>36395</v>
      </c>
      <c r="K1981" s="1" t="s">
        <v>24</v>
      </c>
      <c r="L1981" s="1" t="s">
        <v>24</v>
      </c>
      <c r="M1981" s="1" t="s">
        <v>555</v>
      </c>
      <c r="N1981" s="1">
        <v>9950</v>
      </c>
      <c r="O1981" s="12">
        <v>10000</v>
      </c>
      <c r="P1981" s="3" t="s">
        <v>68</v>
      </c>
      <c r="Q1981" s="1" cm="1">
        <f t="array" ref="Q1981">VALUE(INDEX(_xlfn.TEXTSPLIT(P1981, " "), 4))</f>
        <v>2014</v>
      </c>
      <c r="R1981" s="1" t="str">
        <f t="shared" si="30"/>
        <v>Ford Fusion SE</v>
      </c>
      <c r="S1981" s="1" t="str" cm="1">
        <f t="array" ref="S1981">_xlfn.IFS(I1981 &gt;= 40, "High", I1981&gt;=20, "Medium", I1981&lt;20, "Low")</f>
        <v>High</v>
      </c>
      <c r="T1981" s="1" t="str" cm="1">
        <f t="array" ref="T1981">_xlfn.IFS(O1981&lt;18200, "Low", O1981&lt;=50000, "Medium", O1981&gt;50000, "High")</f>
        <v>Low</v>
      </c>
    </row>
    <row r="1982" spans="1:20" x14ac:dyDescent="0.25">
      <c r="A1982" s="2">
        <v>2011</v>
      </c>
      <c r="B1982" s="1" t="s">
        <v>85</v>
      </c>
      <c r="C1982" s="1" t="s">
        <v>1600</v>
      </c>
      <c r="D1982" s="1" t="s">
        <v>2855</v>
      </c>
      <c r="E1982" s="1" t="s">
        <v>1767</v>
      </c>
      <c r="F1982" s="1" t="s">
        <v>20</v>
      </c>
      <c r="G1982" s="1" t="s">
        <v>2856</v>
      </c>
      <c r="H1982" s="1" t="s">
        <v>22</v>
      </c>
      <c r="I1982" s="1">
        <v>39</v>
      </c>
      <c r="J1982" s="1">
        <v>67718</v>
      </c>
      <c r="K1982" s="1" t="s">
        <v>73</v>
      </c>
      <c r="L1982" s="1" t="s">
        <v>34</v>
      </c>
      <c r="M1982" s="1" t="s">
        <v>303</v>
      </c>
      <c r="N1982" s="1">
        <v>11500</v>
      </c>
      <c r="O1982" s="12">
        <v>11800</v>
      </c>
      <c r="P1982" s="3" t="s">
        <v>57</v>
      </c>
      <c r="Q1982" s="1" cm="1">
        <f t="array" ref="Q1982">VALUE(INDEX(_xlfn.TEXTSPLIT(P1982, " "), 4))</f>
        <v>2014</v>
      </c>
      <c r="R1982" s="1" t="str">
        <f t="shared" si="30"/>
        <v>Ford F-150 STX</v>
      </c>
      <c r="S1982" s="1" t="str" cm="1">
        <f t="array" ref="S1982">_xlfn.IFS(I1982 &gt;= 40, "High", I1982&gt;=20, "Medium", I1982&lt;20, "Low")</f>
        <v>Medium</v>
      </c>
      <c r="T1982" s="1" t="str" cm="1">
        <f t="array" ref="T1982">_xlfn.IFS(O1982&lt;18200, "Low", O1982&lt;=50000, "Medium", O1982&gt;50000, "High")</f>
        <v>Low</v>
      </c>
    </row>
    <row r="1983" spans="1:20" x14ac:dyDescent="0.25">
      <c r="A1983" s="2">
        <v>2011</v>
      </c>
      <c r="B1983" s="1" t="s">
        <v>1806</v>
      </c>
      <c r="C1983" s="1" t="s">
        <v>1807</v>
      </c>
      <c r="D1983" s="1" t="s">
        <v>18</v>
      </c>
      <c r="E1983" s="1" t="s">
        <v>32</v>
      </c>
      <c r="F1983" s="1" t="s">
        <v>20</v>
      </c>
      <c r="G1983" s="1" t="s">
        <v>2857</v>
      </c>
      <c r="H1983" s="1" t="s">
        <v>22</v>
      </c>
      <c r="I1983" s="1">
        <v>29</v>
      </c>
      <c r="J1983" s="1">
        <v>26920</v>
      </c>
      <c r="K1983" s="1" t="s">
        <v>34</v>
      </c>
      <c r="L1983" s="1" t="s">
        <v>82</v>
      </c>
      <c r="M1983" s="1" t="s">
        <v>1266</v>
      </c>
      <c r="N1983" s="1">
        <v>10950</v>
      </c>
      <c r="O1983" s="12">
        <v>12600</v>
      </c>
      <c r="P1983" s="3" t="s">
        <v>68</v>
      </c>
      <c r="Q1983" s="1" cm="1">
        <f t="array" ref="Q1983">VALUE(INDEX(_xlfn.TEXTSPLIT(P1983, " "), 4))</f>
        <v>2014</v>
      </c>
      <c r="R1983" s="1" t="str">
        <f t="shared" si="30"/>
        <v>Honda Accord LX</v>
      </c>
      <c r="S1983" s="1" t="str" cm="1">
        <f t="array" ref="S1983">_xlfn.IFS(I1983 &gt;= 40, "High", I1983&gt;=20, "Medium", I1983&lt;20, "Low")</f>
        <v>Medium</v>
      </c>
      <c r="T1983" s="1" t="str" cm="1">
        <f t="array" ref="T1983">_xlfn.IFS(O1983&lt;18200, "Low", O1983&lt;=50000, "Medium", O1983&gt;50000, "High")</f>
        <v>Low</v>
      </c>
    </row>
    <row r="1984" spans="1:20" x14ac:dyDescent="0.25">
      <c r="A1984" s="2">
        <v>2011</v>
      </c>
      <c r="B1984" s="1" t="s">
        <v>1806</v>
      </c>
      <c r="C1984" s="1" t="s">
        <v>1807</v>
      </c>
      <c r="D1984" s="1" t="s">
        <v>1824</v>
      </c>
      <c r="E1984" s="1" t="s">
        <v>32</v>
      </c>
      <c r="F1984" s="1" t="s">
        <v>20</v>
      </c>
      <c r="G1984" s="1" t="s">
        <v>2858</v>
      </c>
      <c r="H1984" s="1" t="s">
        <v>22</v>
      </c>
      <c r="I1984" s="1">
        <v>19</v>
      </c>
      <c r="J1984" s="1">
        <v>16545</v>
      </c>
      <c r="K1984" s="1" t="s">
        <v>24</v>
      </c>
      <c r="L1984" s="1" t="s">
        <v>28</v>
      </c>
      <c r="M1984" s="1" t="s">
        <v>1266</v>
      </c>
      <c r="N1984" s="1">
        <v>12700</v>
      </c>
      <c r="O1984" s="12">
        <v>11000</v>
      </c>
      <c r="P1984" s="3" t="s">
        <v>110</v>
      </c>
      <c r="Q1984" s="1" cm="1">
        <f t="array" ref="Q1984">VALUE(INDEX(_xlfn.TEXTSPLIT(P1984, " "), 4))</f>
        <v>2014</v>
      </c>
      <c r="R1984" s="1" t="str">
        <f t="shared" si="30"/>
        <v>Honda Accord LX-P</v>
      </c>
      <c r="S1984" s="1" t="str" cm="1">
        <f t="array" ref="S1984">_xlfn.IFS(I1984 &gt;= 40, "High", I1984&gt;=20, "Medium", I1984&lt;20, "Low")</f>
        <v>Low</v>
      </c>
      <c r="T1984" s="1" t="str" cm="1">
        <f t="array" ref="T1984">_xlfn.IFS(O1984&lt;18200, "Low", O1984&lt;=50000, "Medium", O1984&gt;50000, "High")</f>
        <v>Low</v>
      </c>
    </row>
    <row r="1985" spans="1:20" x14ac:dyDescent="0.25">
      <c r="A1985" s="2">
        <v>2011</v>
      </c>
      <c r="B1985" s="1" t="s">
        <v>1806</v>
      </c>
      <c r="C1985" s="1" t="s">
        <v>2859</v>
      </c>
      <c r="D1985" s="1" t="s">
        <v>1868</v>
      </c>
      <c r="E1985" s="1" t="s">
        <v>227</v>
      </c>
      <c r="F1985" s="1" t="s">
        <v>20</v>
      </c>
      <c r="G1985" s="1" t="s">
        <v>2860</v>
      </c>
      <c r="H1985" s="1" t="s">
        <v>22</v>
      </c>
      <c r="I1985" s="1">
        <v>41</v>
      </c>
      <c r="J1985" s="1">
        <v>66829</v>
      </c>
      <c r="K1985" s="1" t="s">
        <v>91</v>
      </c>
      <c r="L1985" s="1" t="s">
        <v>24</v>
      </c>
      <c r="M1985" s="1" t="s">
        <v>1266</v>
      </c>
      <c r="N1985" s="1">
        <v>13700</v>
      </c>
      <c r="O1985" s="12">
        <v>15000</v>
      </c>
      <c r="P1985" s="3" t="s">
        <v>68</v>
      </c>
      <c r="Q1985" s="1" cm="1">
        <f t="array" ref="Q1985">VALUE(INDEX(_xlfn.TEXTSPLIT(P1985, " "), 4))</f>
        <v>2014</v>
      </c>
      <c r="R1985" s="1" t="str">
        <f t="shared" si="30"/>
        <v>Honda Accord Crosstour EX-L</v>
      </c>
      <c r="S1985" s="1" t="str" cm="1">
        <f t="array" ref="S1985">_xlfn.IFS(I1985 &gt;= 40, "High", I1985&gt;=20, "Medium", I1985&lt;20, "Low")</f>
        <v>High</v>
      </c>
      <c r="T1985" s="1" t="str" cm="1">
        <f t="array" ref="T1985">_xlfn.IFS(O1985&lt;18200, "Low", O1985&lt;=50000, "Medium", O1985&gt;50000, "High")</f>
        <v>Low</v>
      </c>
    </row>
    <row r="1986" spans="1:20" x14ac:dyDescent="0.25">
      <c r="A1986" s="2">
        <v>2011</v>
      </c>
      <c r="B1986" s="1" t="s">
        <v>85</v>
      </c>
      <c r="C1986" s="1" t="s">
        <v>1517</v>
      </c>
      <c r="D1986" s="1" t="s">
        <v>1518</v>
      </c>
      <c r="E1986" s="1" t="s">
        <v>19</v>
      </c>
      <c r="F1986" s="1" t="s">
        <v>20</v>
      </c>
      <c r="G1986" s="1" t="s">
        <v>2861</v>
      </c>
      <c r="H1986" s="1" t="s">
        <v>22</v>
      </c>
      <c r="I1986" s="1">
        <v>23</v>
      </c>
      <c r="J1986" s="1">
        <v>37826</v>
      </c>
      <c r="K1986" s="1" t="s">
        <v>24</v>
      </c>
      <c r="L1986" s="1" t="s">
        <v>82</v>
      </c>
      <c r="M1986" s="1" t="s">
        <v>1581</v>
      </c>
      <c r="N1986" s="1">
        <v>17800</v>
      </c>
      <c r="O1986" s="12">
        <v>17300</v>
      </c>
      <c r="P1986" s="3" t="s">
        <v>68</v>
      </c>
      <c r="Q1986" s="1" cm="1">
        <f t="array" ref="Q1986">VALUE(INDEX(_xlfn.TEXTSPLIT(P1986, " "), 4))</f>
        <v>2014</v>
      </c>
      <c r="R1986" s="1" t="str">
        <f t="shared" si="30"/>
        <v>Ford Edge SEL</v>
      </c>
      <c r="S1986" s="1" t="str" cm="1">
        <f t="array" ref="S1986">_xlfn.IFS(I1986 &gt;= 40, "High", I1986&gt;=20, "Medium", I1986&lt;20, "Low")</f>
        <v>Medium</v>
      </c>
      <c r="T1986" s="1" t="str" cm="1">
        <f t="array" ref="T1986">_xlfn.IFS(O1986&lt;18200, "Low", O1986&lt;=50000, "Medium", O1986&gt;50000, "High")</f>
        <v>Low</v>
      </c>
    </row>
    <row r="1987" spans="1:20" x14ac:dyDescent="0.25">
      <c r="A1987" s="2">
        <v>2011</v>
      </c>
      <c r="B1987" s="1" t="s">
        <v>58</v>
      </c>
      <c r="C1987" s="1" t="s">
        <v>265</v>
      </c>
      <c r="D1987" s="1" t="s">
        <v>114</v>
      </c>
      <c r="E1987" s="1" t="s">
        <v>267</v>
      </c>
      <c r="F1987" s="1" t="s">
        <v>20</v>
      </c>
      <c r="G1987" s="1" t="s">
        <v>2862</v>
      </c>
      <c r="H1987" s="1" t="s">
        <v>22</v>
      </c>
      <c r="I1987" s="1">
        <v>3</v>
      </c>
      <c r="J1987" s="1">
        <v>113585</v>
      </c>
      <c r="K1987" s="1" t="s">
        <v>23</v>
      </c>
      <c r="L1987" s="1" t="s">
        <v>28</v>
      </c>
      <c r="M1987" s="1" t="s">
        <v>1756</v>
      </c>
      <c r="N1987" s="1">
        <v>30300</v>
      </c>
      <c r="O1987" s="12">
        <v>30000</v>
      </c>
      <c r="P1987" s="3" t="s">
        <v>84</v>
      </c>
      <c r="Q1987" s="1" cm="1">
        <f t="array" ref="Q1987">VALUE(INDEX(_xlfn.TEXTSPLIT(P1987, " "), 4))</f>
        <v>2014</v>
      </c>
      <c r="R1987" s="1" t="str">
        <f t="shared" ref="R1987:R2000" si="31">_xlfn.TEXTJOIN(" ", TRUE, B1987, C1987, D1987)</f>
        <v>Chevrolet Silverado 2500HD LTZ</v>
      </c>
      <c r="S1987" s="1" t="str" cm="1">
        <f t="array" ref="S1987">_xlfn.IFS(I1987 &gt;= 40, "High", I1987&gt;=20, "Medium", I1987&lt;20, "Low")</f>
        <v>Low</v>
      </c>
      <c r="T1987" s="1" t="str" cm="1">
        <f t="array" ref="T1987">_xlfn.IFS(O1987&lt;18200, "Low", O1987&lt;=50000, "Medium", O1987&gt;50000, "High")</f>
        <v>Medium</v>
      </c>
    </row>
    <row r="1988" spans="1:20" x14ac:dyDescent="0.25">
      <c r="A1988" s="2">
        <v>2011</v>
      </c>
      <c r="B1988" s="1" t="s">
        <v>318</v>
      </c>
      <c r="C1988" s="1" t="s">
        <v>323</v>
      </c>
      <c r="D1988" s="1" t="s">
        <v>1817</v>
      </c>
      <c r="E1988" s="1" t="s">
        <v>323</v>
      </c>
      <c r="F1988" s="1" t="s">
        <v>20</v>
      </c>
      <c r="G1988" s="1" t="s">
        <v>2863</v>
      </c>
      <c r="H1988" s="1" t="s">
        <v>22</v>
      </c>
      <c r="I1988" s="1">
        <v>35</v>
      </c>
      <c r="J1988" s="1">
        <v>35358</v>
      </c>
      <c r="K1988" s="1" t="s">
        <v>24</v>
      </c>
      <c r="L1988" s="1" t="s">
        <v>24</v>
      </c>
      <c r="M1988" s="1" t="s">
        <v>322</v>
      </c>
      <c r="N1988" s="1">
        <v>17050</v>
      </c>
      <c r="O1988" s="12">
        <v>17000</v>
      </c>
      <c r="P1988" s="3" t="s">
        <v>46</v>
      </c>
      <c r="Q1988" s="1" cm="1">
        <f t="array" ref="Q1988">VALUE(INDEX(_xlfn.TEXTSPLIT(P1988, " "), 4))</f>
        <v>2014</v>
      </c>
      <c r="R1988" s="1" t="str">
        <f t="shared" si="31"/>
        <v>Infiniti G Sedan G25</v>
      </c>
      <c r="S1988" s="1" t="str" cm="1">
        <f t="array" ref="S1988">_xlfn.IFS(I1988 &gt;= 40, "High", I1988&gt;=20, "Medium", I1988&lt;20, "Low")</f>
        <v>Medium</v>
      </c>
      <c r="T1988" s="1" t="str" cm="1">
        <f t="array" ref="T1988">_xlfn.IFS(O1988&lt;18200, "Low", O1988&lt;=50000, "Medium", O1988&gt;50000, "High")</f>
        <v>Low</v>
      </c>
    </row>
    <row r="1989" spans="1:20" x14ac:dyDescent="0.25">
      <c r="A1989" s="2">
        <v>2011</v>
      </c>
      <c r="B1989" s="1" t="s">
        <v>85</v>
      </c>
      <c r="C1989" s="1" t="s">
        <v>1513</v>
      </c>
      <c r="D1989" s="1" t="s">
        <v>1601</v>
      </c>
      <c r="E1989" s="1" t="s">
        <v>19</v>
      </c>
      <c r="F1989" s="1" t="s">
        <v>20</v>
      </c>
      <c r="G1989" s="1" t="s">
        <v>2864</v>
      </c>
      <c r="H1989" s="1" t="s">
        <v>22</v>
      </c>
      <c r="I1989" s="1">
        <v>41</v>
      </c>
      <c r="J1989" s="1">
        <v>57710</v>
      </c>
      <c r="K1989" s="1" t="s">
        <v>101</v>
      </c>
      <c r="L1989" s="1" t="s">
        <v>28</v>
      </c>
      <c r="M1989" s="1" t="s">
        <v>742</v>
      </c>
      <c r="N1989" s="1">
        <v>12050</v>
      </c>
      <c r="O1989" s="12">
        <v>12600</v>
      </c>
      <c r="P1989" s="3" t="s">
        <v>57</v>
      </c>
      <c r="Q1989" s="1" cm="1">
        <f t="array" ref="Q1989">VALUE(INDEX(_xlfn.TEXTSPLIT(P1989, " "), 4))</f>
        <v>2014</v>
      </c>
      <c r="R1989" s="1" t="str">
        <f t="shared" si="31"/>
        <v>Ford Escape XLT</v>
      </c>
      <c r="S1989" s="1" t="str" cm="1">
        <f t="array" ref="S1989">_xlfn.IFS(I1989 &gt;= 40, "High", I1989&gt;=20, "Medium", I1989&lt;20, "Low")</f>
        <v>High</v>
      </c>
      <c r="T1989" s="1" t="str" cm="1">
        <f t="array" ref="T1989">_xlfn.IFS(O1989&lt;18200, "Low", O1989&lt;=50000, "Medium", O1989&gt;50000, "High")</f>
        <v>Low</v>
      </c>
    </row>
    <row r="1990" spans="1:20" x14ac:dyDescent="0.25">
      <c r="A1990" s="2">
        <v>2011</v>
      </c>
      <c r="B1990" s="1" t="s">
        <v>98</v>
      </c>
      <c r="C1990" s="1" t="s">
        <v>99</v>
      </c>
      <c r="D1990" s="1" t="s">
        <v>337</v>
      </c>
      <c r="E1990" s="1" t="s">
        <v>32</v>
      </c>
      <c r="F1990" s="1" t="s">
        <v>20</v>
      </c>
      <c r="G1990" s="1" t="s">
        <v>2865</v>
      </c>
      <c r="H1990" s="1" t="s">
        <v>22</v>
      </c>
      <c r="I1990" s="1">
        <v>45</v>
      </c>
      <c r="J1990" s="1">
        <v>79131</v>
      </c>
      <c r="K1990" s="1" t="s">
        <v>23</v>
      </c>
      <c r="L1990" s="1" t="s">
        <v>216</v>
      </c>
      <c r="M1990" s="1" t="s">
        <v>555</v>
      </c>
      <c r="N1990" s="1">
        <v>10950</v>
      </c>
      <c r="O1990" s="12">
        <v>11500</v>
      </c>
      <c r="P1990" s="3" t="s">
        <v>68</v>
      </c>
      <c r="Q1990" s="1" cm="1">
        <f t="array" ref="Q1990">VALUE(INDEX(_xlfn.TEXTSPLIT(P1990, " "), 4))</f>
        <v>2014</v>
      </c>
      <c r="R1990" s="1" t="str">
        <f t="shared" si="31"/>
        <v>Hyundai Sonata Limited</v>
      </c>
      <c r="S1990" s="1" t="str" cm="1">
        <f t="array" ref="S1990">_xlfn.IFS(I1990 &gt;= 40, "High", I1990&gt;=20, "Medium", I1990&lt;20, "Low")</f>
        <v>High</v>
      </c>
      <c r="T1990" s="1" t="str" cm="1">
        <f t="array" ref="T1990">_xlfn.IFS(O1990&lt;18200, "Low", O1990&lt;=50000, "Medium", O1990&gt;50000, "High")</f>
        <v>Low</v>
      </c>
    </row>
    <row r="1991" spans="1:20" x14ac:dyDescent="0.25">
      <c r="A1991" s="2">
        <v>2011</v>
      </c>
      <c r="B1991" s="1" t="s">
        <v>318</v>
      </c>
      <c r="C1991" s="1" t="s">
        <v>323</v>
      </c>
      <c r="D1991" s="1" t="s">
        <v>1817</v>
      </c>
      <c r="E1991" s="1" t="s">
        <v>323</v>
      </c>
      <c r="F1991" s="1" t="s">
        <v>20</v>
      </c>
      <c r="G1991" s="1" t="s">
        <v>2866</v>
      </c>
      <c r="H1991" s="1" t="s">
        <v>22</v>
      </c>
      <c r="I1991" s="1">
        <v>48</v>
      </c>
      <c r="J1991" s="1">
        <v>34378</v>
      </c>
      <c r="K1991" s="1" t="s">
        <v>23</v>
      </c>
      <c r="L1991" s="1" t="s">
        <v>34</v>
      </c>
      <c r="M1991" s="1" t="s">
        <v>322</v>
      </c>
      <c r="N1991" s="1">
        <v>15700</v>
      </c>
      <c r="O1991" s="12">
        <v>17250</v>
      </c>
      <c r="P1991" s="3" t="s">
        <v>46</v>
      </c>
      <c r="Q1991" s="1" cm="1">
        <f t="array" ref="Q1991">VALUE(INDEX(_xlfn.TEXTSPLIT(P1991, " "), 4))</f>
        <v>2014</v>
      </c>
      <c r="R1991" s="1" t="str">
        <f t="shared" si="31"/>
        <v>Infiniti G Sedan G25</v>
      </c>
      <c r="S1991" s="1" t="str" cm="1">
        <f t="array" ref="S1991">_xlfn.IFS(I1991 &gt;= 40, "High", I1991&gt;=20, "Medium", I1991&lt;20, "Low")</f>
        <v>High</v>
      </c>
      <c r="T1991" s="1" t="str" cm="1">
        <f t="array" ref="T1991">_xlfn.IFS(O1991&lt;18200, "Low", O1991&lt;=50000, "Medium", O1991&gt;50000, "High")</f>
        <v>Low</v>
      </c>
    </row>
    <row r="1992" spans="1:20" x14ac:dyDescent="0.25">
      <c r="A1992" s="2">
        <v>2011</v>
      </c>
      <c r="B1992" s="1" t="s">
        <v>85</v>
      </c>
      <c r="C1992" s="1" t="s">
        <v>86</v>
      </c>
      <c r="D1992" s="1" t="s">
        <v>87</v>
      </c>
      <c r="E1992" s="1" t="s">
        <v>32</v>
      </c>
      <c r="F1992" s="1" t="s">
        <v>20</v>
      </c>
      <c r="G1992" s="1" t="s">
        <v>2867</v>
      </c>
      <c r="H1992" s="1" t="s">
        <v>22</v>
      </c>
      <c r="I1992" s="1"/>
      <c r="J1992" s="1">
        <v>80828</v>
      </c>
      <c r="K1992" s="1" t="s">
        <v>23</v>
      </c>
      <c r="L1992" s="1" t="s">
        <v>28</v>
      </c>
      <c r="M1992" s="1" t="s">
        <v>1189</v>
      </c>
      <c r="N1992" s="1">
        <v>7900</v>
      </c>
      <c r="O1992" s="12">
        <v>7300</v>
      </c>
      <c r="P1992" s="3" t="s">
        <v>1190</v>
      </c>
      <c r="Q1992" s="1" cm="1">
        <f t="array" ref="Q1992">VALUE(INDEX(_xlfn.TEXTSPLIT(P1992, " "), 4))</f>
        <v>2014</v>
      </c>
      <c r="R1992" s="1" t="str">
        <f t="shared" si="31"/>
        <v>Ford Fusion SE</v>
      </c>
      <c r="S1992" s="1" t="str" cm="1">
        <f t="array" ref="S1992">_xlfn.IFS(I1992 &gt;= 40, "High", I1992&gt;=20, "Medium", I1992&lt;20, "Low")</f>
        <v>Low</v>
      </c>
      <c r="T1992" s="1" t="str" cm="1">
        <f t="array" ref="T1992">_xlfn.IFS(O1992&lt;18200, "Low", O1992&lt;=50000, "Medium", O1992&gt;50000, "High")</f>
        <v>Low</v>
      </c>
    </row>
    <row r="1993" spans="1:20" x14ac:dyDescent="0.25">
      <c r="A1993" s="2">
        <v>2011</v>
      </c>
      <c r="B1993" s="1" t="s">
        <v>58</v>
      </c>
      <c r="C1993" s="1" t="s">
        <v>1539</v>
      </c>
      <c r="D1993" s="1" t="s">
        <v>2798</v>
      </c>
      <c r="E1993" s="1" t="s">
        <v>19</v>
      </c>
      <c r="F1993" s="1" t="s">
        <v>20</v>
      </c>
      <c r="G1993" s="1" t="s">
        <v>2868</v>
      </c>
      <c r="H1993" s="1" t="s">
        <v>22</v>
      </c>
      <c r="I1993" s="1">
        <v>35</v>
      </c>
      <c r="J1993" s="1">
        <v>67807</v>
      </c>
      <c r="K1993" s="1" t="s">
        <v>34</v>
      </c>
      <c r="L1993" s="1" t="s">
        <v>24</v>
      </c>
      <c r="M1993" s="1" t="s">
        <v>109</v>
      </c>
      <c r="N1993" s="1">
        <v>15550</v>
      </c>
      <c r="O1993" s="12">
        <v>15600</v>
      </c>
      <c r="P1993" s="3" t="s">
        <v>110</v>
      </c>
      <c r="Q1993" s="1" cm="1">
        <f t="array" ref="Q1993">VALUE(INDEX(_xlfn.TEXTSPLIT(P1993, " "), 4))</f>
        <v>2014</v>
      </c>
      <c r="R1993" s="1" t="str">
        <f t="shared" si="31"/>
        <v>Chevrolet Traverse LT1</v>
      </c>
      <c r="S1993" s="1" t="str" cm="1">
        <f t="array" ref="S1993">_xlfn.IFS(I1993 &gt;= 40, "High", I1993&gt;=20, "Medium", I1993&lt;20, "Low")</f>
        <v>Medium</v>
      </c>
      <c r="T1993" s="1" t="str" cm="1">
        <f t="array" ref="T1993">_xlfn.IFS(O1993&lt;18200, "Low", O1993&lt;=50000, "Medium", O1993&gt;50000, "High")</f>
        <v>Low</v>
      </c>
    </row>
    <row r="1994" spans="1:20" x14ac:dyDescent="0.25">
      <c r="A1994" s="2">
        <v>2011</v>
      </c>
      <c r="B1994" s="1" t="s">
        <v>98</v>
      </c>
      <c r="C1994" s="1" t="s">
        <v>344</v>
      </c>
      <c r="D1994" s="1" t="s">
        <v>345</v>
      </c>
      <c r="E1994" s="1" t="s">
        <v>32</v>
      </c>
      <c r="F1994" s="1" t="s">
        <v>20</v>
      </c>
      <c r="G1994" s="1" t="s">
        <v>2869</v>
      </c>
      <c r="H1994" s="1" t="s">
        <v>22</v>
      </c>
      <c r="I1994" s="1">
        <v>37</v>
      </c>
      <c r="J1994" s="1">
        <v>36047</v>
      </c>
      <c r="K1994" s="1" t="s">
        <v>24</v>
      </c>
      <c r="L1994" s="1" t="s">
        <v>24</v>
      </c>
      <c r="M1994" s="1" t="s">
        <v>350</v>
      </c>
      <c r="N1994" s="1">
        <v>25500</v>
      </c>
      <c r="O1994" s="12">
        <v>26000</v>
      </c>
      <c r="P1994" s="3" t="s">
        <v>210</v>
      </c>
      <c r="Q1994" s="1" cm="1">
        <f t="array" ref="Q1994">VALUE(INDEX(_xlfn.TEXTSPLIT(P1994, " "), 4))</f>
        <v>2015</v>
      </c>
      <c r="R1994" s="1" t="str">
        <f t="shared" si="31"/>
        <v>Hyundai Equus Signature</v>
      </c>
      <c r="S1994" s="1" t="str" cm="1">
        <f t="array" ref="S1994">_xlfn.IFS(I1994 &gt;= 40, "High", I1994&gt;=20, "Medium", I1994&lt;20, "Low")</f>
        <v>Medium</v>
      </c>
      <c r="T1994" s="1" t="str" cm="1">
        <f t="array" ref="T1994">_xlfn.IFS(O1994&lt;18200, "Low", O1994&lt;=50000, "Medium", O1994&gt;50000, "High")</f>
        <v>Medium</v>
      </c>
    </row>
    <row r="1995" spans="1:20" x14ac:dyDescent="0.25">
      <c r="A1995" s="2">
        <v>2011</v>
      </c>
      <c r="B1995" s="1" t="s">
        <v>29</v>
      </c>
      <c r="C1995" s="1" t="s">
        <v>1456</v>
      </c>
      <c r="D1995" s="1" t="s">
        <v>1457</v>
      </c>
      <c r="E1995" s="1" t="s">
        <v>19</v>
      </c>
      <c r="F1995" s="1" t="s">
        <v>20</v>
      </c>
      <c r="G1995" s="1" t="s">
        <v>2870</v>
      </c>
      <c r="H1995" s="1" t="s">
        <v>22</v>
      </c>
      <c r="I1995" s="1">
        <v>47</v>
      </c>
      <c r="J1995" s="1">
        <v>24192</v>
      </c>
      <c r="K1995" s="1" t="s">
        <v>23</v>
      </c>
      <c r="L1995" s="1" t="s">
        <v>28</v>
      </c>
      <c r="M1995" s="1" t="s">
        <v>35</v>
      </c>
      <c r="N1995" s="1">
        <v>28400</v>
      </c>
      <c r="O1995" s="12">
        <v>28500</v>
      </c>
      <c r="P1995" s="3" t="s">
        <v>46</v>
      </c>
      <c r="Q1995" s="1" cm="1">
        <f t="array" ref="Q1995">VALUE(INDEX(_xlfn.TEXTSPLIT(P1995, " "), 4))</f>
        <v>2014</v>
      </c>
      <c r="R1995" s="1" t="str">
        <f t="shared" si="31"/>
        <v>BMW X3 xDrive28i</v>
      </c>
      <c r="S1995" s="1" t="str" cm="1">
        <f t="array" ref="S1995">_xlfn.IFS(I1995 &gt;= 40, "High", I1995&gt;=20, "Medium", I1995&lt;20, "Low")</f>
        <v>High</v>
      </c>
      <c r="T1995" s="1" t="str" cm="1">
        <f t="array" ref="T1995">_xlfn.IFS(O1995&lt;18200, "Low", O1995&lt;=50000, "Medium", O1995&gt;50000, "High")</f>
        <v>Medium</v>
      </c>
    </row>
    <row r="1996" spans="1:20" x14ac:dyDescent="0.25">
      <c r="A1996" s="2">
        <v>2011</v>
      </c>
      <c r="B1996" s="1" t="s">
        <v>98</v>
      </c>
      <c r="C1996" s="1" t="s">
        <v>99</v>
      </c>
      <c r="D1996" s="1" t="s">
        <v>348</v>
      </c>
      <c r="E1996" s="1" t="s">
        <v>32</v>
      </c>
      <c r="F1996" s="1" t="s">
        <v>20</v>
      </c>
      <c r="G1996" s="1" t="s">
        <v>2871</v>
      </c>
      <c r="H1996" s="1" t="s">
        <v>22</v>
      </c>
      <c r="I1996" s="1">
        <v>46</v>
      </c>
      <c r="J1996" s="1">
        <v>39274</v>
      </c>
      <c r="K1996" s="1" t="s">
        <v>91</v>
      </c>
      <c r="L1996" s="1" t="s">
        <v>34</v>
      </c>
      <c r="M1996" s="1" t="s">
        <v>350</v>
      </c>
      <c r="N1996" s="1">
        <v>9975</v>
      </c>
      <c r="O1996" s="12">
        <v>11800</v>
      </c>
      <c r="P1996" s="3" t="s">
        <v>84</v>
      </c>
      <c r="Q1996" s="1" cm="1">
        <f t="array" ref="Q1996">VALUE(INDEX(_xlfn.TEXTSPLIT(P1996, " "), 4))</f>
        <v>2014</v>
      </c>
      <c r="R1996" s="1" t="str">
        <f t="shared" si="31"/>
        <v>Hyundai Sonata GLS</v>
      </c>
      <c r="S1996" s="1" t="str" cm="1">
        <f t="array" ref="S1996">_xlfn.IFS(I1996 &gt;= 40, "High", I1996&gt;=20, "Medium", I1996&lt;20, "Low")</f>
        <v>High</v>
      </c>
      <c r="T1996" s="1" t="str" cm="1">
        <f t="array" ref="T1996">_xlfn.IFS(O1996&lt;18200, "Low", O1996&lt;=50000, "Medium", O1996&gt;50000, "High")</f>
        <v>Low</v>
      </c>
    </row>
    <row r="1997" spans="1:20" x14ac:dyDescent="0.25">
      <c r="A1997" s="2">
        <v>2011</v>
      </c>
      <c r="B1997" s="1" t="s">
        <v>155</v>
      </c>
      <c r="C1997" s="1" t="s">
        <v>2846</v>
      </c>
      <c r="D1997" s="1" t="s">
        <v>2872</v>
      </c>
      <c r="E1997" s="1" t="s">
        <v>32</v>
      </c>
      <c r="F1997" s="1" t="s">
        <v>20</v>
      </c>
      <c r="G1997" s="1" t="s">
        <v>2873</v>
      </c>
      <c r="H1997" s="1" t="s">
        <v>22</v>
      </c>
      <c r="I1997" s="1">
        <v>37</v>
      </c>
      <c r="J1997" s="1">
        <v>38455</v>
      </c>
      <c r="K1997" s="1" t="s">
        <v>24</v>
      </c>
      <c r="L1997" s="1" t="s">
        <v>24</v>
      </c>
      <c r="M1997" s="1" t="s">
        <v>1550</v>
      </c>
      <c r="N1997" s="1">
        <v>18100</v>
      </c>
      <c r="O1997" s="12">
        <v>18250</v>
      </c>
      <c r="P1997" s="3" t="s">
        <v>26</v>
      </c>
      <c r="Q1997" s="1" cm="1">
        <f t="array" ref="Q1997">VALUE(INDEX(_xlfn.TEXTSPLIT(P1997, " "), 4))</f>
        <v>2014</v>
      </c>
      <c r="R1997" s="1" t="str">
        <f t="shared" si="31"/>
        <v>Buick LaCrosse CXS</v>
      </c>
      <c r="S1997" s="1" t="str" cm="1">
        <f t="array" ref="S1997">_xlfn.IFS(I1997 &gt;= 40, "High", I1997&gt;=20, "Medium", I1997&lt;20, "Low")</f>
        <v>Medium</v>
      </c>
      <c r="T1997" s="1" t="str" cm="1">
        <f t="array" ref="T1997">_xlfn.IFS(O1997&lt;18200, "Low", O1997&lt;=50000, "Medium", O1997&gt;50000, "High")</f>
        <v>Medium</v>
      </c>
    </row>
    <row r="1998" spans="1:20" x14ac:dyDescent="0.25">
      <c r="A1998" s="2">
        <v>2011</v>
      </c>
      <c r="B1998" s="1" t="s">
        <v>98</v>
      </c>
      <c r="C1998" s="1" t="s">
        <v>219</v>
      </c>
      <c r="D1998" s="1" t="s">
        <v>348</v>
      </c>
      <c r="E1998" s="1" t="s">
        <v>32</v>
      </c>
      <c r="F1998" s="1" t="s">
        <v>20</v>
      </c>
      <c r="G1998" s="1" t="s">
        <v>2874</v>
      </c>
      <c r="H1998" s="1" t="s">
        <v>22</v>
      </c>
      <c r="I1998" s="1">
        <v>19</v>
      </c>
      <c r="J1998" s="1">
        <v>124177</v>
      </c>
      <c r="K1998" s="1" t="s">
        <v>23</v>
      </c>
      <c r="L1998" s="1" t="s">
        <v>82</v>
      </c>
      <c r="M1998" s="1" t="s">
        <v>350</v>
      </c>
      <c r="N1998" s="1">
        <v>6350</v>
      </c>
      <c r="O1998" s="12">
        <v>5400</v>
      </c>
      <c r="P1998" s="3" t="s">
        <v>84</v>
      </c>
      <c r="Q1998" s="1" cm="1">
        <f t="array" ref="Q1998">VALUE(INDEX(_xlfn.TEXTSPLIT(P1998, " "), 4))</f>
        <v>2014</v>
      </c>
      <c r="R1998" s="1" t="str">
        <f t="shared" si="31"/>
        <v>Hyundai Elantra GLS</v>
      </c>
      <c r="S1998" s="1" t="str" cm="1">
        <f t="array" ref="S1998">_xlfn.IFS(I1998 &gt;= 40, "High", I1998&gt;=20, "Medium", I1998&lt;20, "Low")</f>
        <v>Low</v>
      </c>
      <c r="T1998" s="1" t="str" cm="1">
        <f t="array" ref="T1998">_xlfn.IFS(O1998&lt;18200, "Low", O1998&lt;=50000, "Medium", O1998&gt;50000, "High")</f>
        <v>Low</v>
      </c>
    </row>
    <row r="1999" spans="1:20" x14ac:dyDescent="0.25">
      <c r="A1999" s="2">
        <v>2011</v>
      </c>
      <c r="B1999" s="1" t="s">
        <v>318</v>
      </c>
      <c r="C1999" s="1" t="s">
        <v>323</v>
      </c>
      <c r="D1999" s="1" t="s">
        <v>1817</v>
      </c>
      <c r="E1999" s="1" t="s">
        <v>323</v>
      </c>
      <c r="F1999" s="1" t="s">
        <v>20</v>
      </c>
      <c r="G1999" s="1" t="s">
        <v>2875</v>
      </c>
      <c r="H1999" s="1" t="s">
        <v>22</v>
      </c>
      <c r="I1999" s="1">
        <v>34</v>
      </c>
      <c r="J1999" s="1">
        <v>31594</v>
      </c>
      <c r="K1999" s="1" t="s">
        <v>24</v>
      </c>
      <c r="L1999" s="1" t="s">
        <v>24</v>
      </c>
      <c r="M1999" s="1" t="s">
        <v>322</v>
      </c>
      <c r="N1999" s="1">
        <v>17300</v>
      </c>
      <c r="O1999" s="12">
        <v>17000</v>
      </c>
      <c r="P1999" s="3" t="s">
        <v>46</v>
      </c>
      <c r="Q1999" s="1" cm="1">
        <f t="array" ref="Q1999">VALUE(INDEX(_xlfn.TEXTSPLIT(P1999, " "), 4))</f>
        <v>2014</v>
      </c>
      <c r="R1999" s="1" t="str">
        <f t="shared" si="31"/>
        <v>Infiniti G Sedan G25</v>
      </c>
      <c r="S1999" s="1" t="str" cm="1">
        <f t="array" ref="S1999">_xlfn.IFS(I1999 &gt;= 40, "High", I1999&gt;=20, "Medium", I1999&lt;20, "Low")</f>
        <v>Medium</v>
      </c>
      <c r="T1999" s="1" t="str" cm="1">
        <f t="array" ref="T1999">_xlfn.IFS(O1999&lt;18200, "Low", O1999&lt;=50000, "Medium", O1999&gt;50000, "High")</f>
        <v>Low</v>
      </c>
    </row>
    <row r="2000" spans="1:20" x14ac:dyDescent="0.25">
      <c r="A2000" s="7">
        <v>2011</v>
      </c>
      <c r="B2000" s="8" t="s">
        <v>1806</v>
      </c>
      <c r="C2000" s="8" t="s">
        <v>1809</v>
      </c>
      <c r="D2000" s="8" t="s">
        <v>18</v>
      </c>
      <c r="E2000" s="8" t="s">
        <v>19</v>
      </c>
      <c r="F2000" s="8" t="s">
        <v>20</v>
      </c>
      <c r="G2000" s="8" t="s">
        <v>2876</v>
      </c>
      <c r="H2000" s="8" t="s">
        <v>22</v>
      </c>
      <c r="I2000" s="8">
        <v>22</v>
      </c>
      <c r="J2000" s="8">
        <v>39743</v>
      </c>
      <c r="K2000" s="8" t="s">
        <v>34</v>
      </c>
      <c r="L2000" s="8" t="s">
        <v>34</v>
      </c>
      <c r="M2000" s="8" t="s">
        <v>1266</v>
      </c>
      <c r="N2000" s="8">
        <v>13450</v>
      </c>
      <c r="O2000" s="13">
        <v>12600</v>
      </c>
      <c r="P2000" s="9" t="s">
        <v>915</v>
      </c>
      <c r="Q2000" s="1" cm="1">
        <f t="array" ref="Q2000">VALUE(INDEX(_xlfn.TEXTSPLIT(P2000, " "), 4))</f>
        <v>2015</v>
      </c>
      <c r="R2000" s="1" t="str">
        <f t="shared" si="31"/>
        <v>Honda CR-V LX</v>
      </c>
      <c r="S2000" s="1" t="str" cm="1">
        <f t="array" ref="S2000">_xlfn.IFS(I2000 &gt;= 40, "High", I2000&gt;=20, "Medium", I2000&lt;20, "Low")</f>
        <v>Medium</v>
      </c>
      <c r="T2000" s="1" t="str" cm="1">
        <f t="array" ref="T2000">_xlfn.IFS(O2000&lt;18200, "Low", O2000&lt;=50000, "Medium", O2000&gt;50000, "High")</f>
        <v>Low</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D544-D21E-493B-95E3-3CDF857D2157}">
  <dimension ref="A3:E12"/>
  <sheetViews>
    <sheetView tabSelected="1" workbookViewId="0">
      <selection activeCell="H15" sqref="H15"/>
    </sheetView>
  </sheetViews>
  <sheetFormatPr defaultRowHeight="15" x14ac:dyDescent="0.25"/>
  <cols>
    <col min="1" max="1" width="22" bestFit="1" customWidth="1"/>
    <col min="2" max="2" width="16.28515625" bestFit="1" customWidth="1"/>
    <col min="3" max="3" width="4.5703125" bestFit="1" customWidth="1"/>
    <col min="4" max="4" width="8.5703125" bestFit="1" customWidth="1"/>
    <col min="5" max="6" width="11.28515625" bestFit="1" customWidth="1"/>
    <col min="7" max="8" width="22" bestFit="1" customWidth="1"/>
    <col min="9" max="9" width="27" bestFit="1" customWidth="1"/>
    <col min="10" max="10" width="23.140625" bestFit="1" customWidth="1"/>
    <col min="11" max="388" width="16.28515625" bestFit="1" customWidth="1"/>
    <col min="389" max="390" width="11.28515625" bestFit="1" customWidth="1"/>
    <col min="391" max="1942" width="6" bestFit="1" customWidth="1"/>
    <col min="1943" max="1964" width="7" bestFit="1" customWidth="1"/>
    <col min="1965" max="1965" width="7.28515625" bestFit="1" customWidth="1"/>
    <col min="1966" max="1966" width="11.28515625" bestFit="1" customWidth="1"/>
  </cols>
  <sheetData>
    <row r="3" spans="1:5" x14ac:dyDescent="0.25">
      <c r="B3" s="16" t="s">
        <v>2902</v>
      </c>
    </row>
    <row r="4" spans="1:5" x14ac:dyDescent="0.25">
      <c r="B4" t="s">
        <v>2916</v>
      </c>
      <c r="C4" t="s">
        <v>2915</v>
      </c>
      <c r="D4" t="s">
        <v>2914</v>
      </c>
      <c r="E4" t="s">
        <v>2901</v>
      </c>
    </row>
    <row r="5" spans="1:5" x14ac:dyDescent="0.25">
      <c r="A5" t="s">
        <v>2917</v>
      </c>
      <c r="B5" s="18">
        <v>771</v>
      </c>
      <c r="C5" s="18">
        <v>342</v>
      </c>
      <c r="D5" s="18">
        <v>886</v>
      </c>
      <c r="E5" s="18">
        <v>1999</v>
      </c>
    </row>
    <row r="10" spans="1:5" x14ac:dyDescent="0.25">
      <c r="B10" s="16" t="s">
        <v>2902</v>
      </c>
    </row>
    <row r="11" spans="1:5" x14ac:dyDescent="0.25">
      <c r="B11" t="s">
        <v>2916</v>
      </c>
      <c r="C11" t="s">
        <v>2915</v>
      </c>
      <c r="D11" t="s">
        <v>2914</v>
      </c>
      <c r="E11" t="s">
        <v>2901</v>
      </c>
    </row>
    <row r="12" spans="1:5" x14ac:dyDescent="0.25">
      <c r="A12" t="s">
        <v>2918</v>
      </c>
      <c r="B12" s="18">
        <v>771</v>
      </c>
      <c r="C12" s="18">
        <v>342</v>
      </c>
      <c r="D12" s="18">
        <v>886</v>
      </c>
      <c r="E12" s="18">
        <v>1999</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Data_overview</vt:lpstr>
      <vt:lpstr>Data_quality_check</vt:lpstr>
      <vt:lpstr>Top5_Count_make_model_trim_body</vt:lpstr>
      <vt:lpstr>car_sale_raw_dataset</vt:lpstr>
      <vt:lpstr>Price_vs_odometer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PCR</dc:creator>
  <cp:lastModifiedBy>PCR</cp:lastModifiedBy>
  <dcterms:created xsi:type="dcterms:W3CDTF">2015-06-05T18:17:20Z</dcterms:created>
  <dcterms:modified xsi:type="dcterms:W3CDTF">2025-12-16T19:37:09Z</dcterms:modified>
</cp:coreProperties>
</file>